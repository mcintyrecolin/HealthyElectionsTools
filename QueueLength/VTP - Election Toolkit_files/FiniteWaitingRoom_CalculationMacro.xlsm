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MIT/HealthyElections/Queueing_Webpage/VTP - Election Toolkit_files/"/>
    </mc:Choice>
  </mc:AlternateContent>
  <bookViews>
    <workbookView xWindow="0" yWindow="460" windowWidth="28800" windowHeight="17540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Calculations!$J$11</definedName>
    <definedName name="FirstInputPoint">Inputs_Outputs!$I$13</definedName>
    <definedName name="NumberOfPrecincts">Inputs_Outputs!$C$8</definedName>
    <definedName name="OverallAlert">Inputs_Outputs!$AC$9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4" i="3" l="1"/>
  <c r="E14" i="3"/>
  <c r="I14" i="3"/>
  <c r="A15" i="3"/>
  <c r="E15" i="3"/>
  <c r="I15" i="3"/>
  <c r="A16" i="3"/>
  <c r="E16" i="3"/>
  <c r="I16" i="3"/>
  <c r="A17" i="3"/>
  <c r="E17" i="3"/>
  <c r="I17" i="3"/>
  <c r="A18" i="3"/>
  <c r="E18" i="3"/>
  <c r="I18" i="3"/>
  <c r="A19" i="3"/>
  <c r="E19" i="3"/>
  <c r="I19" i="3"/>
  <c r="A20" i="3"/>
  <c r="E20" i="3"/>
  <c r="I20" i="3"/>
  <c r="A21" i="3"/>
  <c r="E21" i="3"/>
  <c r="I21" i="3"/>
  <c r="A22" i="3"/>
  <c r="E22" i="3"/>
  <c r="I22" i="3"/>
  <c r="A23" i="3"/>
  <c r="E23" i="3"/>
  <c r="I23" i="3"/>
  <c r="A24" i="3"/>
  <c r="E24" i="3"/>
  <c r="I24" i="3"/>
  <c r="A25" i="3"/>
  <c r="E25" i="3"/>
  <c r="I25" i="3"/>
  <c r="A26" i="3"/>
  <c r="E26" i="3"/>
  <c r="I26" i="3"/>
  <c r="A27" i="3"/>
  <c r="E27" i="3"/>
  <c r="I27" i="3"/>
  <c r="A28" i="3"/>
  <c r="E28" i="3"/>
  <c r="I28" i="3"/>
  <c r="A29" i="3"/>
  <c r="E29" i="3"/>
  <c r="I29" i="3"/>
  <c r="A30" i="3"/>
  <c r="E30" i="3"/>
  <c r="I30" i="3"/>
  <c r="A31" i="3"/>
  <c r="E31" i="3"/>
  <c r="I31" i="3"/>
  <c r="A32" i="3"/>
  <c r="E32" i="3"/>
  <c r="I32" i="3"/>
  <c r="A33" i="3"/>
  <c r="E33" i="3"/>
  <c r="I33" i="3"/>
  <c r="A34" i="3"/>
  <c r="E34" i="3"/>
  <c r="I34" i="3"/>
  <c r="A35" i="3"/>
  <c r="E35" i="3"/>
  <c r="I35" i="3"/>
  <c r="A36" i="3"/>
  <c r="E36" i="3"/>
  <c r="I36" i="3"/>
  <c r="A37" i="3"/>
  <c r="E37" i="3"/>
  <c r="I37" i="3"/>
  <c r="A38" i="3"/>
  <c r="E38" i="3"/>
  <c r="I38" i="3"/>
  <c r="A39" i="3"/>
  <c r="E39" i="3"/>
  <c r="I39" i="3"/>
  <c r="A40" i="3"/>
  <c r="E40" i="3"/>
  <c r="I40" i="3"/>
  <c r="A41" i="3"/>
  <c r="E41" i="3"/>
  <c r="I41" i="3"/>
  <c r="A42" i="3"/>
  <c r="E42" i="3"/>
  <c r="I42" i="3"/>
  <c r="A43" i="3"/>
  <c r="E43" i="3"/>
  <c r="I43" i="3"/>
  <c r="A44" i="3"/>
  <c r="E44" i="3"/>
  <c r="I44" i="3"/>
  <c r="A45" i="3"/>
  <c r="E45" i="3"/>
  <c r="I45" i="3"/>
  <c r="A46" i="3"/>
  <c r="E46" i="3"/>
  <c r="I46" i="3"/>
  <c r="A47" i="3"/>
  <c r="E47" i="3"/>
  <c r="I47" i="3"/>
  <c r="A48" i="3"/>
  <c r="E48" i="3"/>
  <c r="I48" i="3"/>
  <c r="A49" i="3"/>
  <c r="E49" i="3"/>
  <c r="I49" i="3"/>
  <c r="A50" i="3"/>
  <c r="E50" i="3"/>
  <c r="I50" i="3"/>
  <c r="A51" i="3"/>
  <c r="E51" i="3"/>
  <c r="I51" i="3"/>
  <c r="A52" i="3"/>
  <c r="E52" i="3"/>
  <c r="I52" i="3"/>
  <c r="A53" i="3"/>
  <c r="E53" i="3"/>
  <c r="I53" i="3"/>
  <c r="A54" i="3"/>
  <c r="E54" i="3"/>
  <c r="I54" i="3"/>
  <c r="A55" i="3"/>
  <c r="E55" i="3"/>
  <c r="I55" i="3"/>
  <c r="A56" i="3"/>
  <c r="E56" i="3"/>
  <c r="I56" i="3"/>
  <c r="A57" i="3"/>
  <c r="E57" i="3"/>
  <c r="I57" i="3"/>
  <c r="A58" i="3"/>
  <c r="E58" i="3"/>
  <c r="I58" i="3"/>
  <c r="A59" i="3"/>
  <c r="E59" i="3"/>
  <c r="I59" i="3"/>
  <c r="A60" i="3"/>
  <c r="E60" i="3"/>
  <c r="I60" i="3"/>
  <c r="A61" i="3"/>
  <c r="E61" i="3"/>
  <c r="I61" i="3"/>
  <c r="A62" i="3"/>
  <c r="E62" i="3"/>
  <c r="I62" i="3"/>
  <c r="A63" i="3"/>
  <c r="E63" i="3"/>
  <c r="I63" i="3"/>
  <c r="A64" i="3"/>
  <c r="E64" i="3"/>
  <c r="I64" i="3"/>
  <c r="A65" i="3"/>
  <c r="E65" i="3"/>
  <c r="I65" i="3"/>
  <c r="A66" i="3"/>
  <c r="E66" i="3"/>
  <c r="I66" i="3"/>
  <c r="A67" i="3"/>
  <c r="E67" i="3"/>
  <c r="I67" i="3"/>
  <c r="A68" i="3"/>
  <c r="E68" i="3"/>
  <c r="I68" i="3"/>
  <c r="A69" i="3"/>
  <c r="E69" i="3"/>
  <c r="I69" i="3"/>
  <c r="A70" i="3"/>
  <c r="E70" i="3"/>
  <c r="I70" i="3"/>
  <c r="A71" i="3"/>
  <c r="E71" i="3"/>
  <c r="I71" i="3"/>
  <c r="A72" i="3"/>
  <c r="E72" i="3"/>
  <c r="I72" i="3"/>
  <c r="A73" i="3"/>
  <c r="E73" i="3"/>
  <c r="I73" i="3"/>
  <c r="A74" i="3"/>
  <c r="E74" i="3"/>
  <c r="I74" i="3"/>
  <c r="A75" i="3"/>
  <c r="E75" i="3"/>
  <c r="I75" i="3"/>
  <c r="A76" i="3"/>
  <c r="E76" i="3"/>
  <c r="I76" i="3"/>
  <c r="A77" i="3"/>
  <c r="E77" i="3"/>
  <c r="I77" i="3"/>
  <c r="A78" i="3"/>
  <c r="E78" i="3"/>
  <c r="I78" i="3"/>
  <c r="A79" i="3"/>
  <c r="E79" i="3"/>
  <c r="I79" i="3"/>
  <c r="A80" i="3"/>
  <c r="E80" i="3"/>
  <c r="I80" i="3"/>
  <c r="A81" i="3"/>
  <c r="E81" i="3"/>
  <c r="I81" i="3"/>
  <c r="A82" i="3"/>
  <c r="E82" i="3"/>
  <c r="I82" i="3"/>
  <c r="A83" i="3"/>
  <c r="E83" i="3"/>
  <c r="I83" i="3"/>
  <c r="A84" i="3"/>
  <c r="E84" i="3"/>
  <c r="I84" i="3"/>
  <c r="A85" i="3"/>
  <c r="E85" i="3"/>
  <c r="I85" i="3"/>
  <c r="A86" i="3"/>
  <c r="E86" i="3"/>
  <c r="I86" i="3"/>
  <c r="A87" i="3"/>
  <c r="E87" i="3"/>
  <c r="I87" i="3"/>
  <c r="A88" i="3"/>
  <c r="E88" i="3"/>
  <c r="I88" i="3"/>
  <c r="A89" i="3"/>
  <c r="E89" i="3"/>
  <c r="I89" i="3"/>
  <c r="A90" i="3"/>
  <c r="E90" i="3"/>
  <c r="I90" i="3"/>
  <c r="A91" i="3"/>
  <c r="E91" i="3"/>
  <c r="I91" i="3"/>
  <c r="A92" i="3"/>
  <c r="E92" i="3"/>
  <c r="I92" i="3"/>
  <c r="A93" i="3"/>
  <c r="E93" i="3"/>
  <c r="I93" i="3"/>
  <c r="A94" i="3"/>
  <c r="E94" i="3"/>
  <c r="I94" i="3"/>
  <c r="A95" i="3"/>
  <c r="E95" i="3"/>
  <c r="I95" i="3"/>
  <c r="A96" i="3"/>
  <c r="E96" i="3"/>
  <c r="I96" i="3"/>
  <c r="A97" i="3"/>
  <c r="E97" i="3"/>
  <c r="I97" i="3"/>
  <c r="A98" i="3"/>
  <c r="E98" i="3"/>
  <c r="I98" i="3"/>
  <c r="A99" i="3"/>
  <c r="E99" i="3"/>
  <c r="I99" i="3"/>
  <c r="A100" i="3"/>
  <c r="E100" i="3"/>
  <c r="I100" i="3"/>
  <c r="A101" i="3"/>
  <c r="E101" i="3"/>
  <c r="I101" i="3"/>
  <c r="A102" i="3"/>
  <c r="E102" i="3"/>
  <c r="I102" i="3"/>
  <c r="A103" i="3"/>
  <c r="E103" i="3"/>
  <c r="I103" i="3"/>
  <c r="A104" i="3"/>
  <c r="E104" i="3"/>
  <c r="I104" i="3"/>
  <c r="A105" i="3"/>
  <c r="E105" i="3"/>
  <c r="I105" i="3"/>
  <c r="A106" i="3"/>
  <c r="E106" i="3"/>
  <c r="I106" i="3"/>
  <c r="A107" i="3"/>
  <c r="E107" i="3"/>
  <c r="I107" i="3"/>
  <c r="A108" i="3"/>
  <c r="E108" i="3"/>
  <c r="I108" i="3"/>
  <c r="A109" i="3"/>
  <c r="E109" i="3"/>
  <c r="I109" i="3"/>
  <c r="A110" i="3"/>
  <c r="E110" i="3"/>
  <c r="I110" i="3"/>
  <c r="A111" i="3"/>
  <c r="E111" i="3"/>
  <c r="I111" i="3"/>
  <c r="A112" i="3"/>
  <c r="E112" i="3"/>
  <c r="I112" i="3"/>
  <c r="A113" i="3"/>
  <c r="E113" i="3"/>
  <c r="I113" i="3"/>
  <c r="A114" i="3"/>
  <c r="E114" i="3"/>
  <c r="I114" i="3"/>
  <c r="A115" i="3"/>
  <c r="E115" i="3"/>
  <c r="I115" i="3"/>
  <c r="A116" i="3"/>
  <c r="E116" i="3"/>
  <c r="I116" i="3"/>
  <c r="A117" i="3"/>
  <c r="E117" i="3"/>
  <c r="I117" i="3"/>
  <c r="A118" i="3"/>
  <c r="E118" i="3"/>
  <c r="I118" i="3"/>
  <c r="A119" i="3"/>
  <c r="E119" i="3"/>
  <c r="I119" i="3"/>
  <c r="A120" i="3"/>
  <c r="E120" i="3"/>
  <c r="I120" i="3"/>
  <c r="A121" i="3"/>
  <c r="E121" i="3"/>
  <c r="I121" i="3"/>
  <c r="A122" i="3"/>
  <c r="E122" i="3"/>
  <c r="I122" i="3"/>
  <c r="A123" i="3"/>
  <c r="E123" i="3"/>
  <c r="I123" i="3"/>
  <c r="A124" i="3"/>
  <c r="E124" i="3"/>
  <c r="I124" i="3"/>
  <c r="A125" i="3"/>
  <c r="E125" i="3"/>
  <c r="I125" i="3"/>
  <c r="A126" i="3"/>
  <c r="E126" i="3"/>
  <c r="I126" i="3"/>
  <c r="A127" i="3"/>
  <c r="E127" i="3"/>
  <c r="I127" i="3"/>
  <c r="A128" i="3"/>
  <c r="E128" i="3"/>
  <c r="I128" i="3"/>
  <c r="A129" i="3"/>
  <c r="E129" i="3"/>
  <c r="I129" i="3"/>
  <c r="A130" i="3"/>
  <c r="E130" i="3"/>
  <c r="I130" i="3"/>
  <c r="A131" i="3"/>
  <c r="E131" i="3"/>
  <c r="I131" i="3"/>
  <c r="A132" i="3"/>
  <c r="E132" i="3"/>
  <c r="I132" i="3"/>
  <c r="A133" i="3"/>
  <c r="E133" i="3"/>
  <c r="I133" i="3"/>
  <c r="A134" i="3"/>
  <c r="E134" i="3"/>
  <c r="I134" i="3"/>
  <c r="A135" i="3"/>
  <c r="E135" i="3"/>
  <c r="I135" i="3"/>
  <c r="A136" i="3"/>
  <c r="E136" i="3"/>
  <c r="I136" i="3"/>
  <c r="A137" i="3"/>
  <c r="E137" i="3"/>
  <c r="I137" i="3"/>
  <c r="A138" i="3"/>
  <c r="E138" i="3"/>
  <c r="I138" i="3"/>
  <c r="A139" i="3"/>
  <c r="E139" i="3"/>
  <c r="I139" i="3"/>
  <c r="A140" i="3"/>
  <c r="E140" i="3"/>
  <c r="I140" i="3"/>
  <c r="A141" i="3"/>
  <c r="E141" i="3"/>
  <c r="I141" i="3"/>
  <c r="A142" i="3"/>
  <c r="E142" i="3"/>
  <c r="I142" i="3"/>
  <c r="A143" i="3"/>
  <c r="E143" i="3"/>
  <c r="I143" i="3"/>
  <c r="A144" i="3"/>
  <c r="E144" i="3"/>
  <c r="I144" i="3"/>
  <c r="A145" i="3"/>
  <c r="E145" i="3"/>
  <c r="I145" i="3"/>
  <c r="A146" i="3"/>
  <c r="E146" i="3"/>
  <c r="I146" i="3"/>
  <c r="A147" i="3"/>
  <c r="E147" i="3"/>
  <c r="I147" i="3"/>
  <c r="A148" i="3"/>
  <c r="E148" i="3"/>
  <c r="I148" i="3"/>
  <c r="A149" i="3"/>
  <c r="E149" i="3"/>
  <c r="I149" i="3"/>
  <c r="A150" i="3"/>
  <c r="E150" i="3"/>
  <c r="I150" i="3"/>
  <c r="A151" i="3"/>
  <c r="E151" i="3"/>
  <c r="I151" i="3"/>
  <c r="A152" i="3"/>
  <c r="E152" i="3"/>
  <c r="I152" i="3"/>
  <c r="A153" i="3"/>
  <c r="E153" i="3"/>
  <c r="I153" i="3"/>
  <c r="A154" i="3"/>
  <c r="E154" i="3"/>
  <c r="I154" i="3"/>
  <c r="A155" i="3"/>
  <c r="E155" i="3"/>
  <c r="I155" i="3"/>
  <c r="A156" i="3"/>
  <c r="E156" i="3"/>
  <c r="I156" i="3"/>
  <c r="A157" i="3"/>
  <c r="E157" i="3"/>
  <c r="I157" i="3"/>
  <c r="A158" i="3"/>
  <c r="E158" i="3"/>
  <c r="I158" i="3"/>
  <c r="A159" i="3"/>
  <c r="E159" i="3"/>
  <c r="I159" i="3"/>
  <c r="A160" i="3"/>
  <c r="E160" i="3"/>
  <c r="I160" i="3"/>
  <c r="A161" i="3"/>
  <c r="E161" i="3"/>
  <c r="I161" i="3"/>
  <c r="A162" i="3"/>
  <c r="E162" i="3"/>
  <c r="I162" i="3"/>
  <c r="A163" i="3"/>
  <c r="E163" i="3"/>
  <c r="I163" i="3"/>
  <c r="A164" i="3"/>
  <c r="E164" i="3"/>
  <c r="I164" i="3"/>
  <c r="A165" i="3"/>
  <c r="E165" i="3"/>
  <c r="I165" i="3"/>
  <c r="A166" i="3"/>
  <c r="E166" i="3"/>
  <c r="I166" i="3"/>
  <c r="A167" i="3"/>
  <c r="E167" i="3"/>
  <c r="I167" i="3"/>
  <c r="A168" i="3"/>
  <c r="E168" i="3"/>
  <c r="I168" i="3"/>
  <c r="A169" i="3"/>
  <c r="E169" i="3"/>
  <c r="I169" i="3"/>
  <c r="A170" i="3"/>
  <c r="E170" i="3"/>
  <c r="I170" i="3"/>
  <c r="A171" i="3"/>
  <c r="E171" i="3"/>
  <c r="I171" i="3"/>
  <c r="A172" i="3"/>
  <c r="E172" i="3"/>
  <c r="I172" i="3"/>
  <c r="A173" i="3"/>
  <c r="E173" i="3"/>
  <c r="I173" i="3"/>
  <c r="A174" i="3"/>
  <c r="E174" i="3"/>
  <c r="I174" i="3"/>
  <c r="A175" i="3"/>
  <c r="E175" i="3"/>
  <c r="I175" i="3"/>
  <c r="A176" i="3"/>
  <c r="E176" i="3"/>
  <c r="I176" i="3"/>
  <c r="A177" i="3"/>
  <c r="E177" i="3"/>
  <c r="I177" i="3"/>
  <c r="A178" i="3"/>
  <c r="E178" i="3"/>
  <c r="I178" i="3"/>
  <c r="A179" i="3"/>
  <c r="E179" i="3"/>
  <c r="I179" i="3"/>
  <c r="A180" i="3"/>
  <c r="E180" i="3"/>
  <c r="I180" i="3"/>
  <c r="A181" i="3"/>
  <c r="E181" i="3"/>
  <c r="I181" i="3"/>
  <c r="A182" i="3"/>
  <c r="E182" i="3"/>
  <c r="I182" i="3"/>
  <c r="A183" i="3"/>
  <c r="E183" i="3"/>
  <c r="I183" i="3"/>
  <c r="A184" i="3"/>
  <c r="E184" i="3"/>
  <c r="I184" i="3"/>
  <c r="A185" i="3"/>
  <c r="E185" i="3"/>
  <c r="I185" i="3"/>
  <c r="A186" i="3"/>
  <c r="E186" i="3"/>
  <c r="I186" i="3"/>
  <c r="A187" i="3"/>
  <c r="E187" i="3"/>
  <c r="I187" i="3"/>
  <c r="A188" i="3"/>
  <c r="E188" i="3"/>
  <c r="I188" i="3"/>
  <c r="A189" i="3"/>
  <c r="E189" i="3"/>
  <c r="I189" i="3"/>
  <c r="A190" i="3"/>
  <c r="E190" i="3"/>
  <c r="I190" i="3"/>
  <c r="A191" i="3"/>
  <c r="E191" i="3"/>
  <c r="I191" i="3"/>
  <c r="A192" i="3"/>
  <c r="E192" i="3"/>
  <c r="I192" i="3"/>
  <c r="A193" i="3"/>
  <c r="E193" i="3"/>
  <c r="I193" i="3"/>
  <c r="A194" i="3"/>
  <c r="E194" i="3"/>
  <c r="I194" i="3"/>
  <c r="A195" i="3"/>
  <c r="E195" i="3"/>
  <c r="I195" i="3"/>
  <c r="A196" i="3"/>
  <c r="E196" i="3"/>
  <c r="I196" i="3"/>
  <c r="A197" i="3"/>
  <c r="E197" i="3"/>
  <c r="I197" i="3"/>
  <c r="A198" i="3"/>
  <c r="E198" i="3"/>
  <c r="I198" i="3"/>
  <c r="A199" i="3"/>
  <c r="E199" i="3"/>
  <c r="I199" i="3"/>
  <c r="A200" i="3"/>
  <c r="E200" i="3"/>
  <c r="I200" i="3"/>
  <c r="A201" i="3"/>
  <c r="E201" i="3"/>
  <c r="I201" i="3"/>
  <c r="A202" i="3"/>
  <c r="E202" i="3"/>
  <c r="I202" i="3"/>
  <c r="A203" i="3"/>
  <c r="E203" i="3"/>
  <c r="I203" i="3"/>
  <c r="A204" i="3"/>
  <c r="E204" i="3"/>
  <c r="I204" i="3"/>
  <c r="A205" i="3"/>
  <c r="E205" i="3"/>
  <c r="I205" i="3"/>
  <c r="A206" i="3"/>
  <c r="E206" i="3"/>
  <c r="I206" i="3"/>
  <c r="A207" i="3"/>
  <c r="E207" i="3"/>
  <c r="I207" i="3"/>
  <c r="A208" i="3"/>
  <c r="E208" i="3"/>
  <c r="I208" i="3"/>
  <c r="A209" i="3"/>
  <c r="E209" i="3"/>
  <c r="I209" i="3"/>
  <c r="A210" i="3"/>
  <c r="E210" i="3"/>
  <c r="I210" i="3"/>
  <c r="A211" i="3"/>
  <c r="E211" i="3"/>
  <c r="I211" i="3"/>
  <c r="A212" i="3"/>
  <c r="E212" i="3"/>
  <c r="I212" i="3"/>
  <c r="A213" i="3"/>
  <c r="E213" i="3"/>
  <c r="I213" i="3"/>
  <c r="A214" i="3"/>
  <c r="E214" i="3"/>
  <c r="I214" i="3"/>
  <c r="A215" i="3"/>
  <c r="E215" i="3"/>
  <c r="I215" i="3"/>
  <c r="A216" i="3"/>
  <c r="E216" i="3"/>
  <c r="I216" i="3"/>
  <c r="A217" i="3"/>
  <c r="E217" i="3"/>
  <c r="I217" i="3"/>
  <c r="A218" i="3"/>
  <c r="E218" i="3"/>
  <c r="I218" i="3"/>
  <c r="A219" i="3"/>
  <c r="E219" i="3"/>
  <c r="I219" i="3"/>
  <c r="A220" i="3"/>
  <c r="E220" i="3"/>
  <c r="I220" i="3"/>
  <c r="A221" i="3"/>
  <c r="E221" i="3"/>
  <c r="I221" i="3"/>
  <c r="A222" i="3"/>
  <c r="E222" i="3"/>
  <c r="I222" i="3"/>
  <c r="A223" i="3"/>
  <c r="E223" i="3"/>
  <c r="I223" i="3"/>
  <c r="A224" i="3"/>
  <c r="E224" i="3"/>
  <c r="I224" i="3"/>
  <c r="A225" i="3"/>
  <c r="E225" i="3"/>
  <c r="I225" i="3"/>
  <c r="A226" i="3"/>
  <c r="E226" i="3"/>
  <c r="I226" i="3"/>
  <c r="A227" i="3"/>
  <c r="E227" i="3"/>
  <c r="I227" i="3"/>
  <c r="A228" i="3"/>
  <c r="E228" i="3"/>
  <c r="I228" i="3"/>
  <c r="A229" i="3"/>
  <c r="E229" i="3"/>
  <c r="I229" i="3"/>
  <c r="A230" i="3"/>
  <c r="E230" i="3"/>
  <c r="I230" i="3"/>
  <c r="A231" i="3"/>
  <c r="E231" i="3"/>
  <c r="I231" i="3"/>
  <c r="A232" i="3"/>
  <c r="E232" i="3"/>
  <c r="I232" i="3"/>
  <c r="A233" i="3"/>
  <c r="E233" i="3"/>
  <c r="I233" i="3"/>
  <c r="A234" i="3"/>
  <c r="E234" i="3"/>
  <c r="I234" i="3"/>
  <c r="A235" i="3"/>
  <c r="E235" i="3"/>
  <c r="I235" i="3"/>
  <c r="A236" i="3"/>
  <c r="E236" i="3"/>
  <c r="I236" i="3"/>
  <c r="A237" i="3"/>
  <c r="E237" i="3"/>
  <c r="I237" i="3"/>
  <c r="A238" i="3"/>
  <c r="E238" i="3"/>
  <c r="I238" i="3"/>
  <c r="A239" i="3"/>
  <c r="E239" i="3"/>
  <c r="I239" i="3"/>
  <c r="A240" i="3"/>
  <c r="E240" i="3"/>
  <c r="I240" i="3"/>
  <c r="A241" i="3"/>
  <c r="E241" i="3"/>
  <c r="I241" i="3"/>
  <c r="A242" i="3"/>
  <c r="E242" i="3"/>
  <c r="I242" i="3"/>
  <c r="A243" i="3"/>
  <c r="E243" i="3"/>
  <c r="I243" i="3"/>
  <c r="A244" i="3"/>
  <c r="E244" i="3"/>
  <c r="I244" i="3"/>
  <c r="A245" i="3"/>
  <c r="E245" i="3"/>
  <c r="I245" i="3"/>
  <c r="A246" i="3"/>
  <c r="E246" i="3"/>
  <c r="I246" i="3"/>
  <c r="A247" i="3"/>
  <c r="E247" i="3"/>
  <c r="I247" i="3"/>
  <c r="A248" i="3"/>
  <c r="E248" i="3"/>
  <c r="I248" i="3"/>
  <c r="A249" i="3"/>
  <c r="E249" i="3"/>
  <c r="I249" i="3"/>
  <c r="A250" i="3"/>
  <c r="E250" i="3"/>
  <c r="I250" i="3"/>
  <c r="A251" i="3"/>
  <c r="E251" i="3"/>
  <c r="I251" i="3"/>
  <c r="A252" i="3"/>
  <c r="E252" i="3"/>
  <c r="I252" i="3"/>
  <c r="A253" i="3"/>
  <c r="E253" i="3"/>
  <c r="I253" i="3"/>
  <c r="A254" i="3"/>
  <c r="E254" i="3"/>
  <c r="I254" i="3"/>
  <c r="A255" i="3"/>
  <c r="E255" i="3"/>
  <c r="I255" i="3"/>
  <c r="A256" i="3"/>
  <c r="E256" i="3"/>
  <c r="I256" i="3"/>
  <c r="A257" i="3"/>
  <c r="E257" i="3"/>
  <c r="I257" i="3"/>
  <c r="A258" i="3"/>
  <c r="E258" i="3"/>
  <c r="I258" i="3"/>
  <c r="A259" i="3"/>
  <c r="E259" i="3"/>
  <c r="I259" i="3"/>
  <c r="A260" i="3"/>
  <c r="E260" i="3"/>
  <c r="I260" i="3"/>
  <c r="A261" i="3"/>
  <c r="E261" i="3"/>
  <c r="I261" i="3"/>
  <c r="A262" i="3"/>
  <c r="E262" i="3"/>
  <c r="I262" i="3"/>
  <c r="A263" i="3"/>
  <c r="E263" i="3"/>
  <c r="I263" i="3"/>
  <c r="A264" i="3"/>
  <c r="E264" i="3"/>
  <c r="I264" i="3"/>
  <c r="A265" i="3"/>
  <c r="E265" i="3"/>
  <c r="I265" i="3"/>
  <c r="A266" i="3"/>
  <c r="E266" i="3"/>
  <c r="I266" i="3"/>
  <c r="A267" i="3"/>
  <c r="E267" i="3"/>
  <c r="I267" i="3"/>
  <c r="A268" i="3"/>
  <c r="E268" i="3"/>
  <c r="I268" i="3"/>
  <c r="A269" i="3"/>
  <c r="E269" i="3"/>
  <c r="I269" i="3"/>
  <c r="A270" i="3"/>
  <c r="E270" i="3"/>
  <c r="I270" i="3"/>
  <c r="A271" i="3"/>
  <c r="E271" i="3"/>
  <c r="I271" i="3"/>
  <c r="A272" i="3"/>
  <c r="E272" i="3"/>
  <c r="I272" i="3"/>
  <c r="A273" i="3"/>
  <c r="E273" i="3"/>
  <c r="I273" i="3"/>
  <c r="A274" i="3"/>
  <c r="E274" i="3"/>
  <c r="I274" i="3"/>
  <c r="A275" i="3"/>
  <c r="E275" i="3"/>
  <c r="I275" i="3"/>
  <c r="A276" i="3"/>
  <c r="E276" i="3"/>
  <c r="I276" i="3"/>
  <c r="A277" i="3"/>
  <c r="E277" i="3"/>
  <c r="I277" i="3"/>
  <c r="A278" i="3"/>
  <c r="E278" i="3"/>
  <c r="I278" i="3"/>
  <c r="A279" i="3"/>
  <c r="E279" i="3"/>
  <c r="I279" i="3"/>
  <c r="A280" i="3"/>
  <c r="E280" i="3"/>
  <c r="I280" i="3"/>
  <c r="A281" i="3"/>
  <c r="E281" i="3"/>
  <c r="I281" i="3"/>
  <c r="A282" i="3"/>
  <c r="E282" i="3"/>
  <c r="I282" i="3"/>
  <c r="A283" i="3"/>
  <c r="E283" i="3"/>
  <c r="I283" i="3"/>
  <c r="A284" i="3"/>
  <c r="E284" i="3"/>
  <c r="I284" i="3"/>
  <c r="A285" i="3"/>
  <c r="E285" i="3"/>
  <c r="I285" i="3"/>
  <c r="A286" i="3"/>
  <c r="E286" i="3"/>
  <c r="I286" i="3"/>
  <c r="A287" i="3"/>
  <c r="E287" i="3"/>
  <c r="I287" i="3"/>
  <c r="A288" i="3"/>
  <c r="E288" i="3"/>
  <c r="I288" i="3"/>
  <c r="A289" i="3"/>
  <c r="E289" i="3"/>
  <c r="I289" i="3"/>
  <c r="A290" i="3"/>
  <c r="E290" i="3"/>
  <c r="I290" i="3"/>
  <c r="A291" i="3"/>
  <c r="E291" i="3"/>
  <c r="I291" i="3"/>
  <c r="A292" i="3"/>
  <c r="E292" i="3"/>
  <c r="I292" i="3"/>
  <c r="A293" i="3"/>
  <c r="E293" i="3"/>
  <c r="I293" i="3"/>
  <c r="A294" i="3"/>
  <c r="E294" i="3"/>
  <c r="I294" i="3"/>
  <c r="A295" i="3"/>
  <c r="E295" i="3"/>
  <c r="I295" i="3"/>
  <c r="A296" i="3"/>
  <c r="E296" i="3"/>
  <c r="I296" i="3"/>
  <c r="A297" i="3"/>
  <c r="E297" i="3"/>
  <c r="I297" i="3"/>
  <c r="A298" i="3"/>
  <c r="E298" i="3"/>
  <c r="I298" i="3"/>
  <c r="A299" i="3"/>
  <c r="E299" i="3"/>
  <c r="I299" i="3"/>
  <c r="A300" i="3"/>
  <c r="E300" i="3"/>
  <c r="I300" i="3"/>
  <c r="A301" i="3"/>
  <c r="E301" i="3"/>
  <c r="I301" i="3"/>
  <c r="A302" i="3"/>
  <c r="E302" i="3"/>
  <c r="I302" i="3"/>
  <c r="A303" i="3"/>
  <c r="E303" i="3"/>
  <c r="I303" i="3"/>
  <c r="A304" i="3"/>
  <c r="E304" i="3"/>
  <c r="I304" i="3"/>
  <c r="A305" i="3"/>
  <c r="E305" i="3"/>
  <c r="I305" i="3"/>
  <c r="A306" i="3"/>
  <c r="E306" i="3"/>
  <c r="I306" i="3"/>
  <c r="A307" i="3"/>
  <c r="E307" i="3"/>
  <c r="I307" i="3"/>
  <c r="A308" i="3"/>
  <c r="E308" i="3"/>
  <c r="I308" i="3"/>
  <c r="A309" i="3"/>
  <c r="E309" i="3"/>
  <c r="I309" i="3"/>
  <c r="A310" i="3"/>
  <c r="E310" i="3"/>
  <c r="I310" i="3"/>
  <c r="A311" i="3"/>
  <c r="E311" i="3"/>
  <c r="I311" i="3"/>
  <c r="A312" i="3"/>
  <c r="E312" i="3"/>
  <c r="I312" i="3"/>
  <c r="A313" i="3"/>
  <c r="E313" i="3"/>
  <c r="I313" i="3"/>
  <c r="A314" i="3"/>
  <c r="E314" i="3"/>
  <c r="I314" i="3"/>
  <c r="A315" i="3"/>
  <c r="E315" i="3"/>
  <c r="I315" i="3"/>
  <c r="A316" i="3"/>
  <c r="E316" i="3"/>
  <c r="I316" i="3"/>
  <c r="A317" i="3"/>
  <c r="E317" i="3"/>
  <c r="I317" i="3"/>
  <c r="A318" i="3"/>
  <c r="E318" i="3"/>
  <c r="I318" i="3"/>
  <c r="A319" i="3"/>
  <c r="E319" i="3"/>
  <c r="I319" i="3"/>
  <c r="A320" i="3"/>
  <c r="E320" i="3"/>
  <c r="I320" i="3"/>
  <c r="A321" i="3"/>
  <c r="E321" i="3"/>
  <c r="I321" i="3"/>
  <c r="A322" i="3"/>
  <c r="E322" i="3"/>
  <c r="I322" i="3"/>
  <c r="A323" i="3"/>
  <c r="E323" i="3"/>
  <c r="I323" i="3"/>
  <c r="A324" i="3"/>
  <c r="E324" i="3"/>
  <c r="I324" i="3"/>
  <c r="A325" i="3"/>
  <c r="E325" i="3"/>
  <c r="I325" i="3"/>
  <c r="A326" i="3"/>
  <c r="E326" i="3"/>
  <c r="I326" i="3"/>
  <c r="A327" i="3"/>
  <c r="E327" i="3"/>
  <c r="I327" i="3"/>
  <c r="A328" i="3"/>
  <c r="E328" i="3"/>
  <c r="I328" i="3"/>
  <c r="A329" i="3"/>
  <c r="E329" i="3"/>
  <c r="I329" i="3"/>
  <c r="A330" i="3"/>
  <c r="E330" i="3"/>
  <c r="I330" i="3"/>
  <c r="A331" i="3"/>
  <c r="E331" i="3"/>
  <c r="I331" i="3"/>
  <c r="A332" i="3"/>
  <c r="E332" i="3"/>
  <c r="I332" i="3"/>
  <c r="A333" i="3"/>
  <c r="E333" i="3"/>
  <c r="I333" i="3"/>
  <c r="A334" i="3"/>
  <c r="E334" i="3"/>
  <c r="I334" i="3"/>
  <c r="A335" i="3"/>
  <c r="E335" i="3"/>
  <c r="I335" i="3"/>
  <c r="A336" i="3"/>
  <c r="E336" i="3"/>
  <c r="I336" i="3"/>
  <c r="A337" i="3"/>
  <c r="E337" i="3"/>
  <c r="I337" i="3"/>
  <c r="A338" i="3"/>
  <c r="E338" i="3"/>
  <c r="I338" i="3"/>
  <c r="A339" i="3"/>
  <c r="E339" i="3"/>
  <c r="I339" i="3"/>
  <c r="A340" i="3"/>
  <c r="E340" i="3"/>
  <c r="I340" i="3"/>
  <c r="A341" i="3"/>
  <c r="E341" i="3"/>
  <c r="I341" i="3"/>
  <c r="A342" i="3"/>
  <c r="E342" i="3"/>
  <c r="I342" i="3"/>
  <c r="A343" i="3"/>
  <c r="E343" i="3"/>
  <c r="I343" i="3"/>
  <c r="A344" i="3"/>
  <c r="E344" i="3"/>
  <c r="I344" i="3"/>
  <c r="A345" i="3"/>
  <c r="E345" i="3"/>
  <c r="I345" i="3"/>
  <c r="A346" i="3"/>
  <c r="E346" i="3"/>
  <c r="I346" i="3"/>
  <c r="A347" i="3"/>
  <c r="E347" i="3"/>
  <c r="I347" i="3"/>
  <c r="A348" i="3"/>
  <c r="E348" i="3"/>
  <c r="I348" i="3"/>
  <c r="A349" i="3"/>
  <c r="E349" i="3"/>
  <c r="I349" i="3"/>
  <c r="A350" i="3"/>
  <c r="E350" i="3"/>
  <c r="I350" i="3"/>
  <c r="A351" i="3"/>
  <c r="E351" i="3"/>
  <c r="I351" i="3"/>
  <c r="A352" i="3"/>
  <c r="E352" i="3"/>
  <c r="I352" i="3"/>
  <c r="A353" i="3"/>
  <c r="E353" i="3"/>
  <c r="I353" i="3"/>
  <c r="A354" i="3"/>
  <c r="E354" i="3"/>
  <c r="I354" i="3"/>
  <c r="A355" i="3"/>
  <c r="E355" i="3"/>
  <c r="I355" i="3"/>
  <c r="A356" i="3"/>
  <c r="E356" i="3"/>
  <c r="I356" i="3"/>
  <c r="A357" i="3"/>
  <c r="E357" i="3"/>
  <c r="I357" i="3"/>
  <c r="A358" i="3"/>
  <c r="E358" i="3"/>
  <c r="I358" i="3"/>
  <c r="A359" i="3"/>
  <c r="E359" i="3"/>
  <c r="I359" i="3"/>
  <c r="A360" i="3"/>
  <c r="E360" i="3"/>
  <c r="I360" i="3"/>
  <c r="A361" i="3"/>
  <c r="E361" i="3"/>
  <c r="I361" i="3"/>
  <c r="A362" i="3"/>
  <c r="E362" i="3"/>
  <c r="I362" i="3"/>
  <c r="A363" i="3"/>
  <c r="E363" i="3"/>
  <c r="I363" i="3"/>
  <c r="A364" i="3"/>
  <c r="E364" i="3"/>
  <c r="I364" i="3"/>
  <c r="A365" i="3"/>
  <c r="E365" i="3"/>
  <c r="I365" i="3"/>
  <c r="A366" i="3"/>
  <c r="E366" i="3"/>
  <c r="I366" i="3"/>
  <c r="A367" i="3"/>
  <c r="E367" i="3"/>
  <c r="I367" i="3"/>
  <c r="A368" i="3"/>
  <c r="E368" i="3"/>
  <c r="I368" i="3"/>
  <c r="A369" i="3"/>
  <c r="E369" i="3"/>
  <c r="I369" i="3"/>
  <c r="A370" i="3"/>
  <c r="E370" i="3"/>
  <c r="I370" i="3"/>
  <c r="A371" i="3"/>
  <c r="E371" i="3"/>
  <c r="I371" i="3"/>
  <c r="A372" i="3"/>
  <c r="E372" i="3"/>
  <c r="I372" i="3"/>
  <c r="A373" i="3"/>
  <c r="E373" i="3"/>
  <c r="I373" i="3"/>
  <c r="A374" i="3"/>
  <c r="E374" i="3"/>
  <c r="I374" i="3"/>
  <c r="A375" i="3"/>
  <c r="E375" i="3"/>
  <c r="I375" i="3"/>
  <c r="A376" i="3"/>
  <c r="E376" i="3"/>
  <c r="I376" i="3"/>
  <c r="A377" i="3"/>
  <c r="E377" i="3"/>
  <c r="I377" i="3"/>
  <c r="A378" i="3"/>
  <c r="E378" i="3"/>
  <c r="I378" i="3"/>
  <c r="A379" i="3"/>
  <c r="E379" i="3"/>
  <c r="I379" i="3"/>
  <c r="A380" i="3"/>
  <c r="E380" i="3"/>
  <c r="I380" i="3"/>
  <c r="A381" i="3"/>
  <c r="E381" i="3"/>
  <c r="I381" i="3"/>
  <c r="A382" i="3"/>
  <c r="E382" i="3"/>
  <c r="I382" i="3"/>
  <c r="A383" i="3"/>
  <c r="E383" i="3"/>
  <c r="I383" i="3"/>
  <c r="A384" i="3"/>
  <c r="E384" i="3"/>
  <c r="I384" i="3"/>
  <c r="A385" i="3"/>
  <c r="E385" i="3"/>
  <c r="I385" i="3"/>
  <c r="A386" i="3"/>
  <c r="E386" i="3"/>
  <c r="I386" i="3"/>
  <c r="A387" i="3"/>
  <c r="E387" i="3"/>
  <c r="I387" i="3"/>
  <c r="A388" i="3"/>
  <c r="E388" i="3"/>
  <c r="I388" i="3"/>
  <c r="A389" i="3"/>
  <c r="E389" i="3"/>
  <c r="I389" i="3"/>
  <c r="A390" i="3"/>
  <c r="E390" i="3"/>
  <c r="I390" i="3"/>
  <c r="A391" i="3"/>
  <c r="E391" i="3"/>
  <c r="I391" i="3"/>
  <c r="A392" i="3"/>
  <c r="E392" i="3"/>
  <c r="I392" i="3"/>
  <c r="A393" i="3"/>
  <c r="E393" i="3"/>
  <c r="I393" i="3"/>
  <c r="A394" i="3"/>
  <c r="E394" i="3"/>
  <c r="I394" i="3"/>
  <c r="A395" i="3"/>
  <c r="E395" i="3"/>
  <c r="I395" i="3"/>
  <c r="A396" i="3"/>
  <c r="E396" i="3"/>
  <c r="I396" i="3"/>
  <c r="A397" i="3"/>
  <c r="E397" i="3"/>
  <c r="I397" i="3"/>
  <c r="A398" i="3"/>
  <c r="E398" i="3"/>
  <c r="I398" i="3"/>
  <c r="A399" i="3"/>
  <c r="E399" i="3"/>
  <c r="I399" i="3"/>
  <c r="A400" i="3"/>
  <c r="E400" i="3"/>
  <c r="I400" i="3"/>
  <c r="A401" i="3"/>
  <c r="E401" i="3"/>
  <c r="I401" i="3"/>
  <c r="A402" i="3"/>
  <c r="E402" i="3"/>
  <c r="I402" i="3"/>
  <c r="A403" i="3"/>
  <c r="E403" i="3"/>
  <c r="I403" i="3"/>
  <c r="A404" i="3"/>
  <c r="E404" i="3"/>
  <c r="I404" i="3"/>
  <c r="A405" i="3"/>
  <c r="E405" i="3"/>
  <c r="I405" i="3"/>
  <c r="A406" i="3"/>
  <c r="E406" i="3"/>
  <c r="I406" i="3"/>
  <c r="A407" i="3"/>
  <c r="E407" i="3"/>
  <c r="I407" i="3"/>
  <c r="A408" i="3"/>
  <c r="E408" i="3"/>
  <c r="I408" i="3"/>
  <c r="A409" i="3"/>
  <c r="E409" i="3"/>
  <c r="I409" i="3"/>
  <c r="A410" i="3"/>
  <c r="E410" i="3"/>
  <c r="I410" i="3"/>
  <c r="A411" i="3"/>
  <c r="E411" i="3"/>
  <c r="I411" i="3"/>
  <c r="A412" i="3"/>
  <c r="E412" i="3"/>
  <c r="I412" i="3"/>
  <c r="A413" i="3"/>
  <c r="E413" i="3"/>
  <c r="I413" i="3"/>
  <c r="A414" i="3"/>
  <c r="E414" i="3"/>
  <c r="I414" i="3"/>
  <c r="A415" i="3"/>
  <c r="E415" i="3"/>
  <c r="I415" i="3"/>
  <c r="A416" i="3"/>
  <c r="E416" i="3"/>
  <c r="I416" i="3"/>
  <c r="A417" i="3"/>
  <c r="E417" i="3"/>
  <c r="I417" i="3"/>
  <c r="A418" i="3"/>
  <c r="E418" i="3"/>
  <c r="I418" i="3"/>
  <c r="A419" i="3"/>
  <c r="E419" i="3"/>
  <c r="I419" i="3"/>
  <c r="A420" i="3"/>
  <c r="E420" i="3"/>
  <c r="I420" i="3"/>
  <c r="A421" i="3"/>
  <c r="E421" i="3"/>
  <c r="I421" i="3"/>
  <c r="A422" i="3"/>
  <c r="E422" i="3"/>
  <c r="I422" i="3"/>
  <c r="A423" i="3"/>
  <c r="E423" i="3"/>
  <c r="I423" i="3"/>
  <c r="A424" i="3"/>
  <c r="E424" i="3"/>
  <c r="I424" i="3"/>
  <c r="A425" i="3"/>
  <c r="E425" i="3"/>
  <c r="I425" i="3"/>
  <c r="A426" i="3"/>
  <c r="E426" i="3"/>
  <c r="I426" i="3"/>
  <c r="A427" i="3"/>
  <c r="E427" i="3"/>
  <c r="I427" i="3"/>
  <c r="A428" i="3"/>
  <c r="E428" i="3"/>
  <c r="I428" i="3"/>
  <c r="A429" i="3"/>
  <c r="E429" i="3"/>
  <c r="I429" i="3"/>
  <c r="A430" i="3"/>
  <c r="E430" i="3"/>
  <c r="I430" i="3"/>
  <c r="A431" i="3"/>
  <c r="E431" i="3"/>
  <c r="I431" i="3"/>
  <c r="A432" i="3"/>
  <c r="E432" i="3"/>
  <c r="I432" i="3"/>
  <c r="A433" i="3"/>
  <c r="E433" i="3"/>
  <c r="I433" i="3"/>
  <c r="A434" i="3"/>
  <c r="E434" i="3"/>
  <c r="I434" i="3"/>
  <c r="A435" i="3"/>
  <c r="E435" i="3"/>
  <c r="I435" i="3"/>
  <c r="A436" i="3"/>
  <c r="E436" i="3"/>
  <c r="I436" i="3"/>
  <c r="A437" i="3"/>
  <c r="E437" i="3"/>
  <c r="I437" i="3"/>
  <c r="A438" i="3"/>
  <c r="E438" i="3"/>
  <c r="I438" i="3"/>
  <c r="A439" i="3"/>
  <c r="E439" i="3"/>
  <c r="I439" i="3"/>
  <c r="A440" i="3"/>
  <c r="E440" i="3"/>
  <c r="I440" i="3"/>
  <c r="A441" i="3"/>
  <c r="E441" i="3"/>
  <c r="I441" i="3"/>
  <c r="A442" i="3"/>
  <c r="E442" i="3"/>
  <c r="I442" i="3"/>
  <c r="A443" i="3"/>
  <c r="E443" i="3"/>
  <c r="I443" i="3"/>
  <c r="A444" i="3"/>
  <c r="E444" i="3"/>
  <c r="I444" i="3"/>
  <c r="A445" i="3"/>
  <c r="E445" i="3"/>
  <c r="I445" i="3"/>
  <c r="A446" i="3"/>
  <c r="E446" i="3"/>
  <c r="I446" i="3"/>
  <c r="A447" i="3"/>
  <c r="E447" i="3"/>
  <c r="I447" i="3"/>
  <c r="A448" i="3"/>
  <c r="E448" i="3"/>
  <c r="I448" i="3"/>
  <c r="A449" i="3"/>
  <c r="E449" i="3"/>
  <c r="I449" i="3"/>
  <c r="A450" i="3"/>
  <c r="E450" i="3"/>
  <c r="I450" i="3"/>
  <c r="A451" i="3"/>
  <c r="E451" i="3"/>
  <c r="I451" i="3"/>
  <c r="A452" i="3"/>
  <c r="E452" i="3"/>
  <c r="I452" i="3"/>
  <c r="A453" i="3"/>
  <c r="E453" i="3"/>
  <c r="I453" i="3"/>
  <c r="A454" i="3"/>
  <c r="E454" i="3"/>
  <c r="I454" i="3"/>
  <c r="A455" i="3"/>
  <c r="E455" i="3"/>
  <c r="I455" i="3"/>
  <c r="A456" i="3"/>
  <c r="E456" i="3"/>
  <c r="I456" i="3"/>
  <c r="A457" i="3"/>
  <c r="E457" i="3"/>
  <c r="I457" i="3"/>
  <c r="A458" i="3"/>
  <c r="E458" i="3"/>
  <c r="I458" i="3"/>
  <c r="A459" i="3"/>
  <c r="E459" i="3"/>
  <c r="I459" i="3"/>
  <c r="A460" i="3"/>
  <c r="E460" i="3"/>
  <c r="I460" i="3"/>
  <c r="A461" i="3"/>
  <c r="E461" i="3"/>
  <c r="I461" i="3"/>
  <c r="A462" i="3"/>
  <c r="E462" i="3"/>
  <c r="I462" i="3"/>
  <c r="A463" i="3"/>
  <c r="E463" i="3"/>
  <c r="I463" i="3"/>
  <c r="A464" i="3"/>
  <c r="E464" i="3"/>
  <c r="I464" i="3"/>
  <c r="A465" i="3"/>
  <c r="E465" i="3"/>
  <c r="I465" i="3"/>
  <c r="A466" i="3"/>
  <c r="E466" i="3"/>
  <c r="I466" i="3"/>
  <c r="A467" i="3"/>
  <c r="E467" i="3"/>
  <c r="I467" i="3"/>
  <c r="A468" i="3"/>
  <c r="E468" i="3"/>
  <c r="I468" i="3"/>
  <c r="A469" i="3"/>
  <c r="E469" i="3"/>
  <c r="I469" i="3"/>
  <c r="A470" i="3"/>
  <c r="E470" i="3"/>
  <c r="I470" i="3"/>
  <c r="A471" i="3"/>
  <c r="E471" i="3"/>
  <c r="I471" i="3"/>
  <c r="A472" i="3"/>
  <c r="E472" i="3"/>
  <c r="I472" i="3"/>
  <c r="A473" i="3"/>
  <c r="E473" i="3"/>
  <c r="I473" i="3"/>
  <c r="A474" i="3"/>
  <c r="E474" i="3"/>
  <c r="I474" i="3"/>
  <c r="A475" i="3"/>
  <c r="E475" i="3"/>
  <c r="I475" i="3"/>
  <c r="A476" i="3"/>
  <c r="E476" i="3"/>
  <c r="I476" i="3"/>
  <c r="A477" i="3"/>
  <c r="E477" i="3"/>
  <c r="I477" i="3"/>
  <c r="A478" i="3"/>
  <c r="E478" i="3"/>
  <c r="I478" i="3"/>
  <c r="A479" i="3"/>
  <c r="E479" i="3"/>
  <c r="I479" i="3"/>
  <c r="A480" i="3"/>
  <c r="E480" i="3"/>
  <c r="I480" i="3"/>
  <c r="A481" i="3"/>
  <c r="E481" i="3"/>
  <c r="I481" i="3"/>
  <c r="A482" i="3"/>
  <c r="E482" i="3"/>
  <c r="I482" i="3"/>
  <c r="A483" i="3"/>
  <c r="E483" i="3"/>
  <c r="I483" i="3"/>
  <c r="A484" i="3"/>
  <c r="E484" i="3"/>
  <c r="I484" i="3"/>
  <c r="A485" i="3"/>
  <c r="E485" i="3"/>
  <c r="I485" i="3"/>
  <c r="A486" i="3"/>
  <c r="E486" i="3"/>
  <c r="I486" i="3"/>
  <c r="A487" i="3"/>
  <c r="E487" i="3"/>
  <c r="I487" i="3"/>
  <c r="A488" i="3"/>
  <c r="E488" i="3"/>
  <c r="I488" i="3"/>
  <c r="A489" i="3"/>
  <c r="E489" i="3"/>
  <c r="I489" i="3"/>
  <c r="A490" i="3"/>
  <c r="E490" i="3"/>
  <c r="I490" i="3"/>
  <c r="A491" i="3"/>
  <c r="E491" i="3"/>
  <c r="I491" i="3"/>
  <c r="A492" i="3"/>
  <c r="E492" i="3"/>
  <c r="I492" i="3"/>
  <c r="A493" i="3"/>
  <c r="E493" i="3"/>
  <c r="I493" i="3"/>
  <c r="A494" i="3"/>
  <c r="E494" i="3"/>
  <c r="I494" i="3"/>
  <c r="A495" i="3"/>
  <c r="E495" i="3"/>
  <c r="I495" i="3"/>
  <c r="A496" i="3"/>
  <c r="E496" i="3"/>
  <c r="I496" i="3"/>
  <c r="A497" i="3"/>
  <c r="E497" i="3"/>
  <c r="I497" i="3"/>
  <c r="A498" i="3"/>
  <c r="E498" i="3"/>
  <c r="I498" i="3"/>
  <c r="A499" i="3"/>
  <c r="E499" i="3"/>
  <c r="I499" i="3"/>
  <c r="A500" i="3"/>
  <c r="E500" i="3"/>
  <c r="I500" i="3"/>
  <c r="A501" i="3"/>
  <c r="E501" i="3"/>
  <c r="I501" i="3"/>
  <c r="A502" i="3"/>
  <c r="E502" i="3"/>
  <c r="I502" i="3"/>
  <c r="A503" i="3"/>
  <c r="E503" i="3"/>
  <c r="I503" i="3"/>
  <c r="A504" i="3"/>
  <c r="E504" i="3"/>
  <c r="I504" i="3"/>
  <c r="A505" i="3"/>
  <c r="E505" i="3"/>
  <c r="I505" i="3"/>
  <c r="A506" i="3"/>
  <c r="E506" i="3"/>
  <c r="I506" i="3"/>
  <c r="A507" i="3"/>
  <c r="E507" i="3"/>
  <c r="I507" i="3"/>
  <c r="A508" i="3"/>
  <c r="E508" i="3"/>
  <c r="I508" i="3"/>
  <c r="A509" i="3"/>
  <c r="E509" i="3"/>
  <c r="I509" i="3"/>
  <c r="A510" i="3"/>
  <c r="E510" i="3"/>
  <c r="I510" i="3"/>
  <c r="A511" i="3"/>
  <c r="E511" i="3"/>
  <c r="I511" i="3"/>
  <c r="A512" i="3"/>
  <c r="E512" i="3"/>
  <c r="I512" i="3"/>
  <c r="A513" i="3"/>
  <c r="E513" i="3"/>
  <c r="I513" i="3"/>
  <c r="A514" i="3"/>
  <c r="E514" i="3"/>
  <c r="I514" i="3"/>
  <c r="A515" i="3"/>
  <c r="E515" i="3"/>
  <c r="I515" i="3"/>
  <c r="A516" i="3"/>
  <c r="E516" i="3"/>
  <c r="I516" i="3"/>
  <c r="A517" i="3"/>
  <c r="E517" i="3"/>
  <c r="I517" i="3"/>
  <c r="A518" i="3"/>
  <c r="E518" i="3"/>
  <c r="I518" i="3"/>
  <c r="A519" i="3"/>
  <c r="E519" i="3"/>
  <c r="I519" i="3"/>
  <c r="A520" i="3"/>
  <c r="E520" i="3"/>
  <c r="I520" i="3"/>
  <c r="A521" i="3"/>
  <c r="E521" i="3"/>
  <c r="I521" i="3"/>
  <c r="A522" i="3"/>
  <c r="E522" i="3"/>
  <c r="I522" i="3"/>
  <c r="A523" i="3"/>
  <c r="E523" i="3"/>
  <c r="I523" i="3"/>
  <c r="A524" i="3"/>
  <c r="E524" i="3"/>
  <c r="I524" i="3"/>
  <c r="A525" i="3"/>
  <c r="E525" i="3"/>
  <c r="I525" i="3"/>
  <c r="A526" i="3"/>
  <c r="E526" i="3"/>
  <c r="I526" i="3"/>
  <c r="A527" i="3"/>
  <c r="E527" i="3"/>
  <c r="I527" i="3"/>
  <c r="A528" i="3"/>
  <c r="E528" i="3"/>
  <c r="I528" i="3"/>
  <c r="A529" i="3"/>
  <c r="E529" i="3"/>
  <c r="I529" i="3"/>
  <c r="A530" i="3"/>
  <c r="E530" i="3"/>
  <c r="I530" i="3"/>
  <c r="A531" i="3"/>
  <c r="E531" i="3"/>
  <c r="I531" i="3"/>
  <c r="A532" i="3"/>
  <c r="E532" i="3"/>
  <c r="I532" i="3"/>
  <c r="A533" i="3"/>
  <c r="E533" i="3"/>
  <c r="I533" i="3"/>
  <c r="A534" i="3"/>
  <c r="E534" i="3"/>
  <c r="I534" i="3"/>
  <c r="A535" i="3"/>
  <c r="E535" i="3"/>
  <c r="I535" i="3"/>
  <c r="A536" i="3"/>
  <c r="E536" i="3"/>
  <c r="I536" i="3"/>
  <c r="A537" i="3"/>
  <c r="E537" i="3"/>
  <c r="I537" i="3"/>
  <c r="A538" i="3"/>
  <c r="E538" i="3"/>
  <c r="I538" i="3"/>
  <c r="A539" i="3"/>
  <c r="E539" i="3"/>
  <c r="I539" i="3"/>
  <c r="A540" i="3"/>
  <c r="E540" i="3"/>
  <c r="I540" i="3"/>
  <c r="A541" i="3"/>
  <c r="E541" i="3"/>
  <c r="I541" i="3"/>
  <c r="A542" i="3"/>
  <c r="E542" i="3"/>
  <c r="I542" i="3"/>
  <c r="A543" i="3"/>
  <c r="E543" i="3"/>
  <c r="I543" i="3"/>
  <c r="A544" i="3"/>
  <c r="E544" i="3"/>
  <c r="I544" i="3"/>
  <c r="A545" i="3"/>
  <c r="E545" i="3"/>
  <c r="I545" i="3"/>
  <c r="A546" i="3"/>
  <c r="E546" i="3"/>
  <c r="I546" i="3"/>
  <c r="A547" i="3"/>
  <c r="E547" i="3"/>
  <c r="I547" i="3"/>
  <c r="A548" i="3"/>
  <c r="E548" i="3"/>
  <c r="I548" i="3"/>
  <c r="A549" i="3"/>
  <c r="E549" i="3"/>
  <c r="I549" i="3"/>
  <c r="A550" i="3"/>
  <c r="E550" i="3"/>
  <c r="I550" i="3"/>
  <c r="A551" i="3"/>
  <c r="E551" i="3"/>
  <c r="I551" i="3"/>
  <c r="A552" i="3"/>
  <c r="E552" i="3"/>
  <c r="I552" i="3"/>
  <c r="A553" i="3"/>
  <c r="E553" i="3"/>
  <c r="I553" i="3"/>
  <c r="A554" i="3"/>
  <c r="E554" i="3"/>
  <c r="I554" i="3"/>
  <c r="A555" i="3"/>
  <c r="E555" i="3"/>
  <c r="I555" i="3"/>
  <c r="A556" i="3"/>
  <c r="E556" i="3"/>
  <c r="I556" i="3"/>
  <c r="A557" i="3"/>
  <c r="E557" i="3"/>
  <c r="I557" i="3"/>
  <c r="A558" i="3"/>
  <c r="E558" i="3"/>
  <c r="I558" i="3"/>
  <c r="A559" i="3"/>
  <c r="E559" i="3"/>
  <c r="I559" i="3"/>
  <c r="A560" i="3"/>
  <c r="E560" i="3"/>
  <c r="I560" i="3"/>
  <c r="A561" i="3"/>
  <c r="E561" i="3"/>
  <c r="I561" i="3"/>
  <c r="A562" i="3"/>
  <c r="E562" i="3"/>
  <c r="I562" i="3"/>
  <c r="A563" i="3"/>
  <c r="E563" i="3"/>
  <c r="I563" i="3"/>
  <c r="A564" i="3"/>
  <c r="E564" i="3"/>
  <c r="I564" i="3"/>
  <c r="A565" i="3"/>
  <c r="E565" i="3"/>
  <c r="I565" i="3"/>
  <c r="A566" i="3"/>
  <c r="E566" i="3"/>
  <c r="I566" i="3"/>
  <c r="A567" i="3"/>
  <c r="E567" i="3"/>
  <c r="I567" i="3"/>
  <c r="A568" i="3"/>
  <c r="E568" i="3"/>
  <c r="I568" i="3"/>
  <c r="A569" i="3"/>
  <c r="E569" i="3"/>
  <c r="I569" i="3"/>
  <c r="A570" i="3"/>
  <c r="E570" i="3"/>
  <c r="I570" i="3"/>
  <c r="A571" i="3"/>
  <c r="E571" i="3"/>
  <c r="I571" i="3"/>
  <c r="A572" i="3"/>
  <c r="E572" i="3"/>
  <c r="I572" i="3"/>
  <c r="A573" i="3"/>
  <c r="E573" i="3"/>
  <c r="I573" i="3"/>
  <c r="A574" i="3"/>
  <c r="E574" i="3"/>
  <c r="I574" i="3"/>
  <c r="A575" i="3"/>
  <c r="E575" i="3"/>
  <c r="I575" i="3"/>
  <c r="A576" i="3"/>
  <c r="E576" i="3"/>
  <c r="I576" i="3"/>
  <c r="A577" i="3"/>
  <c r="E577" i="3"/>
  <c r="I577" i="3"/>
  <c r="A578" i="3"/>
  <c r="E578" i="3"/>
  <c r="I578" i="3"/>
  <c r="A579" i="3"/>
  <c r="E579" i="3"/>
  <c r="I579" i="3"/>
  <c r="A580" i="3"/>
  <c r="E580" i="3"/>
  <c r="I580" i="3"/>
  <c r="A581" i="3"/>
  <c r="E581" i="3"/>
  <c r="I581" i="3"/>
  <c r="A582" i="3"/>
  <c r="E582" i="3"/>
  <c r="I582" i="3"/>
  <c r="A583" i="3"/>
  <c r="E583" i="3"/>
  <c r="I583" i="3"/>
  <c r="A584" i="3"/>
  <c r="E584" i="3"/>
  <c r="I584" i="3"/>
  <c r="A585" i="3"/>
  <c r="E585" i="3"/>
  <c r="I585" i="3"/>
  <c r="A586" i="3"/>
  <c r="E586" i="3"/>
  <c r="I586" i="3"/>
  <c r="A587" i="3"/>
  <c r="E587" i="3"/>
  <c r="I587" i="3"/>
  <c r="A588" i="3"/>
  <c r="E588" i="3"/>
  <c r="I588" i="3"/>
  <c r="A589" i="3"/>
  <c r="E589" i="3"/>
  <c r="I589" i="3"/>
  <c r="A590" i="3"/>
  <c r="E590" i="3"/>
  <c r="I590" i="3"/>
  <c r="A591" i="3"/>
  <c r="E591" i="3"/>
  <c r="I591" i="3"/>
  <c r="A592" i="3"/>
  <c r="E592" i="3"/>
  <c r="I592" i="3"/>
  <c r="A593" i="3"/>
  <c r="E593" i="3"/>
  <c r="I593" i="3"/>
  <c r="A594" i="3"/>
  <c r="E594" i="3"/>
  <c r="I594" i="3"/>
  <c r="A595" i="3"/>
  <c r="E595" i="3"/>
  <c r="I595" i="3"/>
  <c r="A596" i="3"/>
  <c r="E596" i="3"/>
  <c r="I596" i="3"/>
  <c r="A597" i="3"/>
  <c r="E597" i="3"/>
  <c r="I597" i="3"/>
  <c r="A598" i="3"/>
  <c r="E598" i="3"/>
  <c r="I598" i="3"/>
  <c r="A599" i="3"/>
  <c r="E599" i="3"/>
  <c r="I599" i="3"/>
  <c r="A600" i="3"/>
  <c r="E600" i="3"/>
  <c r="I600" i="3"/>
  <c r="A601" i="3"/>
  <c r="E601" i="3"/>
  <c r="I601" i="3"/>
  <c r="A602" i="3"/>
  <c r="E602" i="3"/>
  <c r="I602" i="3"/>
  <c r="A603" i="3"/>
  <c r="E603" i="3"/>
  <c r="I603" i="3"/>
  <c r="A604" i="3"/>
  <c r="E604" i="3"/>
  <c r="I604" i="3"/>
  <c r="A605" i="3"/>
  <c r="E605" i="3"/>
  <c r="I605" i="3"/>
  <c r="A606" i="3"/>
  <c r="E606" i="3"/>
  <c r="I606" i="3"/>
  <c r="A607" i="3"/>
  <c r="E607" i="3"/>
  <c r="I607" i="3"/>
  <c r="A608" i="3"/>
  <c r="E608" i="3"/>
  <c r="I608" i="3"/>
  <c r="A609" i="3"/>
  <c r="E609" i="3"/>
  <c r="I609" i="3"/>
  <c r="A610" i="3"/>
  <c r="E610" i="3"/>
  <c r="I610" i="3"/>
  <c r="A611" i="3"/>
  <c r="E611" i="3"/>
  <c r="I611" i="3"/>
  <c r="A612" i="3"/>
  <c r="E612" i="3"/>
  <c r="I612" i="3"/>
  <c r="A613" i="3"/>
  <c r="E613" i="3"/>
  <c r="I613" i="3"/>
  <c r="A614" i="3"/>
  <c r="E614" i="3"/>
  <c r="I614" i="3"/>
  <c r="A615" i="3"/>
  <c r="E615" i="3"/>
  <c r="I615" i="3"/>
  <c r="A616" i="3"/>
  <c r="E616" i="3"/>
  <c r="I616" i="3"/>
  <c r="A617" i="3"/>
  <c r="E617" i="3"/>
  <c r="I617" i="3"/>
  <c r="A618" i="3"/>
  <c r="E618" i="3"/>
  <c r="I618" i="3"/>
  <c r="A619" i="3"/>
  <c r="E619" i="3"/>
  <c r="I619" i="3"/>
  <c r="A620" i="3"/>
  <c r="E620" i="3"/>
  <c r="I620" i="3"/>
  <c r="A621" i="3"/>
  <c r="E621" i="3"/>
  <c r="I621" i="3"/>
  <c r="A622" i="3"/>
  <c r="E622" i="3"/>
  <c r="I622" i="3"/>
  <c r="A623" i="3"/>
  <c r="E623" i="3"/>
  <c r="I623" i="3"/>
  <c r="A624" i="3"/>
  <c r="E624" i="3"/>
  <c r="I624" i="3"/>
  <c r="A625" i="3"/>
  <c r="E625" i="3"/>
  <c r="I625" i="3"/>
  <c r="A626" i="3"/>
  <c r="E626" i="3"/>
  <c r="I626" i="3"/>
  <c r="A627" i="3"/>
  <c r="E627" i="3"/>
  <c r="I627" i="3"/>
  <c r="A628" i="3"/>
  <c r="E628" i="3"/>
  <c r="I628" i="3"/>
  <c r="A629" i="3"/>
  <c r="E629" i="3"/>
  <c r="I629" i="3"/>
  <c r="A630" i="3"/>
  <c r="E630" i="3"/>
  <c r="I630" i="3"/>
  <c r="A631" i="3"/>
  <c r="E631" i="3"/>
  <c r="I631" i="3"/>
  <c r="A632" i="3"/>
  <c r="E632" i="3"/>
  <c r="I632" i="3"/>
  <c r="A633" i="3"/>
  <c r="E633" i="3"/>
  <c r="I633" i="3"/>
  <c r="A634" i="3"/>
  <c r="E634" i="3"/>
  <c r="I634" i="3"/>
  <c r="A635" i="3"/>
  <c r="E635" i="3"/>
  <c r="I635" i="3"/>
  <c r="A636" i="3"/>
  <c r="E636" i="3"/>
  <c r="I636" i="3"/>
  <c r="A637" i="3"/>
  <c r="E637" i="3"/>
  <c r="I637" i="3"/>
  <c r="A638" i="3"/>
  <c r="E638" i="3"/>
  <c r="I638" i="3"/>
  <c r="A639" i="3"/>
  <c r="E639" i="3"/>
  <c r="I639" i="3"/>
  <c r="A640" i="3"/>
  <c r="E640" i="3"/>
  <c r="I640" i="3"/>
  <c r="A641" i="3"/>
  <c r="E641" i="3"/>
  <c r="I641" i="3"/>
  <c r="A642" i="3"/>
  <c r="E642" i="3"/>
  <c r="I642" i="3"/>
  <c r="A643" i="3"/>
  <c r="E643" i="3"/>
  <c r="I643" i="3"/>
  <c r="A644" i="3"/>
  <c r="E644" i="3"/>
  <c r="I644" i="3"/>
  <c r="A645" i="3"/>
  <c r="E645" i="3"/>
  <c r="I645" i="3"/>
  <c r="A646" i="3"/>
  <c r="E646" i="3"/>
  <c r="I646" i="3"/>
  <c r="A647" i="3"/>
  <c r="E647" i="3"/>
  <c r="I647" i="3"/>
  <c r="A648" i="3"/>
  <c r="E648" i="3"/>
  <c r="I648" i="3"/>
  <c r="A649" i="3"/>
  <c r="E649" i="3"/>
  <c r="I649" i="3"/>
  <c r="A650" i="3"/>
  <c r="E650" i="3"/>
  <c r="I650" i="3"/>
  <c r="A651" i="3"/>
  <c r="E651" i="3"/>
  <c r="I651" i="3"/>
  <c r="A652" i="3"/>
  <c r="E652" i="3"/>
  <c r="I652" i="3"/>
  <c r="A653" i="3"/>
  <c r="E653" i="3"/>
  <c r="I653" i="3"/>
  <c r="A654" i="3"/>
  <c r="E654" i="3"/>
  <c r="I654" i="3"/>
  <c r="A655" i="3"/>
  <c r="E655" i="3"/>
  <c r="I655" i="3"/>
  <c r="A656" i="3"/>
  <c r="E656" i="3"/>
  <c r="I656" i="3"/>
  <c r="A657" i="3"/>
  <c r="E657" i="3"/>
  <c r="I657" i="3"/>
  <c r="A658" i="3"/>
  <c r="E658" i="3"/>
  <c r="I658" i="3"/>
  <c r="A659" i="3"/>
  <c r="E659" i="3"/>
  <c r="I659" i="3"/>
  <c r="A660" i="3"/>
  <c r="E660" i="3"/>
  <c r="I660" i="3"/>
  <c r="A661" i="3"/>
  <c r="E661" i="3"/>
  <c r="I661" i="3"/>
  <c r="A662" i="3"/>
  <c r="E662" i="3"/>
  <c r="I662" i="3"/>
  <c r="A663" i="3"/>
  <c r="E663" i="3"/>
  <c r="I663" i="3"/>
  <c r="A664" i="3"/>
  <c r="E664" i="3"/>
  <c r="I664" i="3"/>
  <c r="A665" i="3"/>
  <c r="E665" i="3"/>
  <c r="I665" i="3"/>
  <c r="A666" i="3"/>
  <c r="E666" i="3"/>
  <c r="I666" i="3"/>
  <c r="A667" i="3"/>
  <c r="E667" i="3"/>
  <c r="I667" i="3"/>
  <c r="A668" i="3"/>
  <c r="E668" i="3"/>
  <c r="I668" i="3"/>
  <c r="A669" i="3"/>
  <c r="E669" i="3"/>
  <c r="I669" i="3"/>
  <c r="A670" i="3"/>
  <c r="E670" i="3"/>
  <c r="I670" i="3"/>
  <c r="A671" i="3"/>
  <c r="E671" i="3"/>
  <c r="I671" i="3"/>
  <c r="A672" i="3"/>
  <c r="E672" i="3"/>
  <c r="I672" i="3"/>
  <c r="A673" i="3"/>
  <c r="E673" i="3"/>
  <c r="I673" i="3"/>
  <c r="A674" i="3"/>
  <c r="E674" i="3"/>
  <c r="I674" i="3"/>
  <c r="A675" i="3"/>
  <c r="E675" i="3"/>
  <c r="I675" i="3"/>
  <c r="A676" i="3"/>
  <c r="E676" i="3"/>
  <c r="I676" i="3"/>
  <c r="A677" i="3"/>
  <c r="E677" i="3"/>
  <c r="I677" i="3"/>
  <c r="A678" i="3"/>
  <c r="E678" i="3"/>
  <c r="I678" i="3"/>
  <c r="A679" i="3"/>
  <c r="E679" i="3"/>
  <c r="I679" i="3"/>
  <c r="A680" i="3"/>
  <c r="E680" i="3"/>
  <c r="I680" i="3"/>
  <c r="A681" i="3"/>
  <c r="E681" i="3"/>
  <c r="I681" i="3"/>
  <c r="A682" i="3"/>
  <c r="E682" i="3"/>
  <c r="I682" i="3"/>
  <c r="A683" i="3"/>
  <c r="E683" i="3"/>
  <c r="I683" i="3"/>
  <c r="A684" i="3"/>
  <c r="E684" i="3"/>
  <c r="I684" i="3"/>
  <c r="A685" i="3"/>
  <c r="E685" i="3"/>
  <c r="I685" i="3"/>
  <c r="A686" i="3"/>
  <c r="E686" i="3"/>
  <c r="I686" i="3"/>
  <c r="A687" i="3"/>
  <c r="E687" i="3"/>
  <c r="I687" i="3"/>
  <c r="A688" i="3"/>
  <c r="E688" i="3"/>
  <c r="I688" i="3"/>
  <c r="A689" i="3"/>
  <c r="E689" i="3"/>
  <c r="I689" i="3"/>
  <c r="A690" i="3"/>
  <c r="E690" i="3"/>
  <c r="I690" i="3"/>
  <c r="A691" i="3"/>
  <c r="E691" i="3"/>
  <c r="I691" i="3"/>
  <c r="A692" i="3"/>
  <c r="E692" i="3"/>
  <c r="I692" i="3"/>
  <c r="A693" i="3"/>
  <c r="E693" i="3"/>
  <c r="I693" i="3"/>
  <c r="A694" i="3"/>
  <c r="E694" i="3"/>
  <c r="I694" i="3"/>
  <c r="A695" i="3"/>
  <c r="E695" i="3"/>
  <c r="I695" i="3"/>
  <c r="A696" i="3"/>
  <c r="E696" i="3"/>
  <c r="I696" i="3"/>
  <c r="A697" i="3"/>
  <c r="E697" i="3"/>
  <c r="I697" i="3"/>
  <c r="A698" i="3"/>
  <c r="E698" i="3"/>
  <c r="I698" i="3"/>
  <c r="A699" i="3"/>
  <c r="E699" i="3"/>
  <c r="I699" i="3"/>
  <c r="A700" i="3"/>
  <c r="E700" i="3"/>
  <c r="I700" i="3"/>
  <c r="A701" i="3"/>
  <c r="E701" i="3"/>
  <c r="I701" i="3"/>
  <c r="A702" i="3"/>
  <c r="E702" i="3"/>
  <c r="I702" i="3"/>
  <c r="A703" i="3"/>
  <c r="E703" i="3"/>
  <c r="I703" i="3"/>
  <c r="A704" i="3"/>
  <c r="E704" i="3"/>
  <c r="I704" i="3"/>
  <c r="A705" i="3"/>
  <c r="E705" i="3"/>
  <c r="I705" i="3"/>
  <c r="A706" i="3"/>
  <c r="E706" i="3"/>
  <c r="I706" i="3"/>
  <c r="A707" i="3"/>
  <c r="E707" i="3"/>
  <c r="I707" i="3"/>
  <c r="A708" i="3"/>
  <c r="E708" i="3"/>
  <c r="I708" i="3"/>
  <c r="A709" i="3"/>
  <c r="E709" i="3"/>
  <c r="I709" i="3"/>
  <c r="A710" i="3"/>
  <c r="E710" i="3"/>
  <c r="I710" i="3"/>
  <c r="A711" i="3"/>
  <c r="E711" i="3"/>
  <c r="I711" i="3"/>
  <c r="A712" i="3"/>
  <c r="E712" i="3"/>
  <c r="I712" i="3"/>
  <c r="A713" i="3"/>
  <c r="E713" i="3"/>
  <c r="I713" i="3"/>
  <c r="A714" i="3"/>
  <c r="E714" i="3"/>
  <c r="I714" i="3"/>
  <c r="A715" i="3"/>
  <c r="E715" i="3"/>
  <c r="I715" i="3"/>
  <c r="A716" i="3"/>
  <c r="E716" i="3"/>
  <c r="I716" i="3"/>
  <c r="A717" i="3"/>
  <c r="E717" i="3"/>
  <c r="I717" i="3"/>
  <c r="A718" i="3"/>
  <c r="E718" i="3"/>
  <c r="I718" i="3"/>
  <c r="A719" i="3"/>
  <c r="E719" i="3"/>
  <c r="I719" i="3"/>
  <c r="A720" i="3"/>
  <c r="E720" i="3"/>
  <c r="I720" i="3"/>
  <c r="A721" i="3"/>
  <c r="E721" i="3"/>
  <c r="I721" i="3"/>
  <c r="A722" i="3"/>
  <c r="E722" i="3"/>
  <c r="I722" i="3"/>
  <c r="A723" i="3"/>
  <c r="E723" i="3"/>
  <c r="I723" i="3"/>
  <c r="A724" i="3"/>
  <c r="E724" i="3"/>
  <c r="I724" i="3"/>
  <c r="A725" i="3"/>
  <c r="E725" i="3"/>
  <c r="I725" i="3"/>
  <c r="A726" i="3"/>
  <c r="E726" i="3"/>
  <c r="I726" i="3"/>
  <c r="A727" i="3"/>
  <c r="E727" i="3"/>
  <c r="I727" i="3"/>
  <c r="A728" i="3"/>
  <c r="E728" i="3"/>
  <c r="I728" i="3"/>
  <c r="A729" i="3"/>
  <c r="E729" i="3"/>
  <c r="I729" i="3"/>
  <c r="A730" i="3"/>
  <c r="E730" i="3"/>
  <c r="I730" i="3"/>
  <c r="A731" i="3"/>
  <c r="E731" i="3"/>
  <c r="I731" i="3"/>
  <c r="A732" i="3"/>
  <c r="E732" i="3"/>
  <c r="I732" i="3"/>
  <c r="A733" i="3"/>
  <c r="E733" i="3"/>
  <c r="I733" i="3"/>
  <c r="A734" i="3"/>
  <c r="E734" i="3"/>
  <c r="I734" i="3"/>
  <c r="A735" i="3"/>
  <c r="E735" i="3"/>
  <c r="I735" i="3"/>
  <c r="A736" i="3"/>
  <c r="E736" i="3"/>
  <c r="I736" i="3"/>
  <c r="A737" i="3"/>
  <c r="E737" i="3"/>
  <c r="I737" i="3"/>
  <c r="A738" i="3"/>
  <c r="E738" i="3"/>
  <c r="I738" i="3"/>
  <c r="A739" i="3"/>
  <c r="E739" i="3"/>
  <c r="I739" i="3"/>
  <c r="A740" i="3"/>
  <c r="E740" i="3"/>
  <c r="I740" i="3"/>
  <c r="A741" i="3"/>
  <c r="E741" i="3"/>
  <c r="I741" i="3"/>
  <c r="A742" i="3"/>
  <c r="E742" i="3"/>
  <c r="I742" i="3"/>
  <c r="A743" i="3"/>
  <c r="E743" i="3"/>
  <c r="I743" i="3"/>
  <c r="A744" i="3"/>
  <c r="E744" i="3"/>
  <c r="I744" i="3"/>
  <c r="A745" i="3"/>
  <c r="E745" i="3"/>
  <c r="I745" i="3"/>
  <c r="A746" i="3"/>
  <c r="E746" i="3"/>
  <c r="I746" i="3"/>
  <c r="A747" i="3"/>
  <c r="E747" i="3"/>
  <c r="I747" i="3"/>
  <c r="A748" i="3"/>
  <c r="E748" i="3"/>
  <c r="I748" i="3"/>
  <c r="A749" i="3"/>
  <c r="E749" i="3"/>
  <c r="I749" i="3"/>
  <c r="A750" i="3"/>
  <c r="E750" i="3"/>
  <c r="I750" i="3"/>
  <c r="A751" i="3"/>
  <c r="E751" i="3"/>
  <c r="I751" i="3"/>
  <c r="A752" i="3"/>
  <c r="E752" i="3"/>
  <c r="I752" i="3"/>
  <c r="A753" i="3"/>
  <c r="E753" i="3"/>
  <c r="I753" i="3"/>
  <c r="A754" i="3"/>
  <c r="E754" i="3"/>
  <c r="I754" i="3"/>
  <c r="A755" i="3"/>
  <c r="E755" i="3"/>
  <c r="I755" i="3"/>
  <c r="A756" i="3"/>
  <c r="E756" i="3"/>
  <c r="I756" i="3"/>
  <c r="A757" i="3"/>
  <c r="E757" i="3"/>
  <c r="I757" i="3"/>
  <c r="A758" i="3"/>
  <c r="E758" i="3"/>
  <c r="I758" i="3"/>
  <c r="A759" i="3"/>
  <c r="E759" i="3"/>
  <c r="I759" i="3"/>
  <c r="A760" i="3"/>
  <c r="E760" i="3"/>
  <c r="I760" i="3"/>
  <c r="A761" i="3"/>
  <c r="E761" i="3"/>
  <c r="I761" i="3"/>
  <c r="A762" i="3"/>
  <c r="E762" i="3"/>
  <c r="I762" i="3"/>
  <c r="A763" i="3"/>
  <c r="E763" i="3"/>
  <c r="I763" i="3"/>
  <c r="A764" i="3"/>
  <c r="E764" i="3"/>
  <c r="I764" i="3"/>
  <c r="A765" i="3"/>
  <c r="E765" i="3"/>
  <c r="I765" i="3"/>
  <c r="A766" i="3"/>
  <c r="E766" i="3"/>
  <c r="I766" i="3"/>
  <c r="A767" i="3"/>
  <c r="E767" i="3"/>
  <c r="I767" i="3"/>
  <c r="A768" i="3"/>
  <c r="E768" i="3"/>
  <c r="I768" i="3"/>
  <c r="A769" i="3"/>
  <c r="E769" i="3"/>
  <c r="I769" i="3"/>
  <c r="A770" i="3"/>
  <c r="E770" i="3"/>
  <c r="I770" i="3"/>
  <c r="A771" i="3"/>
  <c r="E771" i="3"/>
  <c r="I771" i="3"/>
  <c r="A772" i="3"/>
  <c r="E772" i="3"/>
  <c r="I772" i="3"/>
  <c r="A773" i="3"/>
  <c r="E773" i="3"/>
  <c r="I773" i="3"/>
  <c r="A774" i="3"/>
  <c r="E774" i="3"/>
  <c r="I774" i="3"/>
  <c r="A775" i="3"/>
  <c r="E775" i="3"/>
  <c r="I775" i="3"/>
  <c r="A776" i="3"/>
  <c r="E776" i="3"/>
  <c r="I776" i="3"/>
  <c r="A777" i="3"/>
  <c r="E777" i="3"/>
  <c r="I777" i="3"/>
  <c r="A778" i="3"/>
  <c r="E778" i="3"/>
  <c r="I778" i="3"/>
  <c r="A779" i="3"/>
  <c r="E779" i="3"/>
  <c r="I779" i="3"/>
  <c r="A780" i="3"/>
  <c r="E780" i="3"/>
  <c r="I780" i="3"/>
  <c r="A781" i="3"/>
  <c r="E781" i="3"/>
  <c r="I781" i="3"/>
  <c r="A782" i="3"/>
  <c r="E782" i="3"/>
  <c r="I782" i="3"/>
  <c r="A783" i="3"/>
  <c r="E783" i="3"/>
  <c r="I783" i="3"/>
  <c r="A784" i="3"/>
  <c r="E784" i="3"/>
  <c r="I784" i="3"/>
  <c r="A785" i="3"/>
  <c r="E785" i="3"/>
  <c r="I785" i="3"/>
  <c r="A786" i="3"/>
  <c r="E786" i="3"/>
  <c r="I786" i="3"/>
  <c r="A787" i="3"/>
  <c r="E787" i="3"/>
  <c r="I787" i="3"/>
  <c r="A788" i="3"/>
  <c r="E788" i="3"/>
  <c r="I788" i="3"/>
  <c r="A789" i="3"/>
  <c r="E789" i="3"/>
  <c r="I789" i="3"/>
  <c r="A790" i="3"/>
  <c r="E790" i="3"/>
  <c r="I790" i="3"/>
  <c r="A791" i="3"/>
  <c r="E791" i="3"/>
  <c r="I791" i="3"/>
  <c r="A792" i="3"/>
  <c r="E792" i="3"/>
  <c r="I792" i="3"/>
  <c r="A793" i="3"/>
  <c r="E793" i="3"/>
  <c r="I793" i="3"/>
  <c r="A794" i="3"/>
  <c r="E794" i="3"/>
  <c r="I794" i="3"/>
  <c r="A795" i="3"/>
  <c r="E795" i="3"/>
  <c r="I795" i="3"/>
  <c r="A796" i="3"/>
  <c r="E796" i="3"/>
  <c r="I796" i="3"/>
  <c r="A797" i="3"/>
  <c r="E797" i="3"/>
  <c r="I797" i="3"/>
  <c r="A798" i="3"/>
  <c r="E798" i="3"/>
  <c r="I798" i="3"/>
  <c r="A799" i="3"/>
  <c r="E799" i="3"/>
  <c r="I799" i="3"/>
  <c r="A800" i="3"/>
  <c r="E800" i="3"/>
  <c r="I800" i="3"/>
  <c r="A801" i="3"/>
  <c r="E801" i="3"/>
  <c r="I801" i="3"/>
  <c r="A802" i="3"/>
  <c r="E802" i="3"/>
  <c r="I802" i="3"/>
  <c r="A803" i="3"/>
  <c r="E803" i="3"/>
  <c r="I803" i="3"/>
  <c r="A804" i="3"/>
  <c r="E804" i="3"/>
  <c r="I804" i="3"/>
  <c r="A805" i="3"/>
  <c r="E805" i="3"/>
  <c r="I805" i="3"/>
  <c r="A806" i="3"/>
  <c r="E806" i="3"/>
  <c r="I806" i="3"/>
  <c r="A807" i="3"/>
  <c r="E807" i="3"/>
  <c r="I807" i="3"/>
  <c r="A808" i="3"/>
  <c r="E808" i="3"/>
  <c r="I808" i="3"/>
  <c r="A809" i="3"/>
  <c r="E809" i="3"/>
  <c r="I809" i="3"/>
  <c r="A810" i="3"/>
  <c r="E810" i="3"/>
  <c r="I810" i="3"/>
  <c r="A811" i="3"/>
  <c r="E811" i="3"/>
  <c r="I811" i="3"/>
  <c r="A812" i="3"/>
  <c r="E812" i="3"/>
  <c r="I812" i="3"/>
  <c r="A813" i="3"/>
  <c r="E813" i="3"/>
  <c r="I813" i="3"/>
  <c r="A814" i="3"/>
  <c r="E814" i="3"/>
  <c r="I814" i="3"/>
  <c r="A815" i="3"/>
  <c r="E815" i="3"/>
  <c r="I815" i="3"/>
  <c r="A816" i="3"/>
  <c r="E816" i="3"/>
  <c r="I816" i="3"/>
  <c r="A817" i="3"/>
  <c r="E817" i="3"/>
  <c r="I817" i="3"/>
  <c r="A818" i="3"/>
  <c r="E818" i="3"/>
  <c r="I818" i="3"/>
  <c r="A819" i="3"/>
  <c r="E819" i="3"/>
  <c r="I819" i="3"/>
  <c r="A820" i="3"/>
  <c r="E820" i="3"/>
  <c r="I820" i="3"/>
  <c r="A821" i="3"/>
  <c r="E821" i="3"/>
  <c r="I821" i="3"/>
  <c r="A822" i="3"/>
  <c r="E822" i="3"/>
  <c r="I822" i="3"/>
  <c r="A823" i="3"/>
  <c r="E823" i="3"/>
  <c r="I823" i="3"/>
  <c r="A824" i="3"/>
  <c r="E824" i="3"/>
  <c r="I824" i="3"/>
  <c r="A825" i="3"/>
  <c r="E825" i="3"/>
  <c r="I825" i="3"/>
  <c r="A826" i="3"/>
  <c r="E826" i="3"/>
  <c r="I826" i="3"/>
  <c r="A827" i="3"/>
  <c r="E827" i="3"/>
  <c r="I827" i="3"/>
  <c r="A828" i="3"/>
  <c r="E828" i="3"/>
  <c r="I828" i="3"/>
  <c r="A829" i="3"/>
  <c r="E829" i="3"/>
  <c r="I829" i="3"/>
  <c r="A830" i="3"/>
  <c r="E830" i="3"/>
  <c r="I830" i="3"/>
  <c r="A831" i="3"/>
  <c r="E831" i="3"/>
  <c r="I831" i="3"/>
  <c r="A832" i="3"/>
  <c r="E832" i="3"/>
  <c r="I832" i="3"/>
  <c r="A833" i="3"/>
  <c r="E833" i="3"/>
  <c r="I833" i="3"/>
  <c r="A834" i="3"/>
  <c r="E834" i="3"/>
  <c r="I834" i="3"/>
  <c r="A835" i="3"/>
  <c r="E835" i="3"/>
  <c r="I835" i="3"/>
  <c r="A836" i="3"/>
  <c r="E836" i="3"/>
  <c r="I836" i="3"/>
  <c r="A837" i="3"/>
  <c r="E837" i="3"/>
  <c r="I837" i="3"/>
  <c r="A838" i="3"/>
  <c r="E838" i="3"/>
  <c r="I838" i="3"/>
  <c r="A839" i="3"/>
  <c r="E839" i="3"/>
  <c r="I839" i="3"/>
  <c r="A840" i="3"/>
  <c r="E840" i="3"/>
  <c r="I840" i="3"/>
  <c r="A841" i="3"/>
  <c r="E841" i="3"/>
  <c r="I841" i="3"/>
  <c r="A842" i="3"/>
  <c r="E842" i="3"/>
  <c r="I842" i="3"/>
  <c r="A843" i="3"/>
  <c r="E843" i="3"/>
  <c r="I843" i="3"/>
  <c r="A844" i="3"/>
  <c r="E844" i="3"/>
  <c r="I844" i="3"/>
  <c r="A845" i="3"/>
  <c r="E845" i="3"/>
  <c r="I845" i="3"/>
  <c r="A846" i="3"/>
  <c r="E846" i="3"/>
  <c r="I846" i="3"/>
  <c r="A847" i="3"/>
  <c r="E847" i="3"/>
  <c r="I847" i="3"/>
  <c r="A848" i="3"/>
  <c r="E848" i="3"/>
  <c r="I848" i="3"/>
  <c r="A849" i="3"/>
  <c r="E849" i="3"/>
  <c r="I849" i="3"/>
  <c r="A850" i="3"/>
  <c r="E850" i="3"/>
  <c r="I850" i="3"/>
  <c r="A851" i="3"/>
  <c r="E851" i="3"/>
  <c r="I851" i="3"/>
  <c r="A852" i="3"/>
  <c r="E852" i="3"/>
  <c r="I852" i="3"/>
  <c r="A853" i="3"/>
  <c r="E853" i="3"/>
  <c r="I853" i="3"/>
  <c r="A854" i="3"/>
  <c r="E854" i="3"/>
  <c r="I854" i="3"/>
  <c r="A855" i="3"/>
  <c r="E855" i="3"/>
  <c r="I855" i="3"/>
  <c r="A856" i="3"/>
  <c r="E856" i="3"/>
  <c r="I856" i="3"/>
  <c r="A857" i="3"/>
  <c r="E857" i="3"/>
  <c r="I857" i="3"/>
  <c r="A858" i="3"/>
  <c r="E858" i="3"/>
  <c r="I858" i="3"/>
  <c r="A859" i="3"/>
  <c r="E859" i="3"/>
  <c r="I859" i="3"/>
  <c r="A860" i="3"/>
  <c r="E860" i="3"/>
  <c r="I860" i="3"/>
  <c r="A861" i="3"/>
  <c r="E861" i="3"/>
  <c r="I861" i="3"/>
  <c r="A862" i="3"/>
  <c r="E862" i="3"/>
  <c r="I862" i="3"/>
  <c r="A863" i="3"/>
  <c r="E863" i="3"/>
  <c r="I863" i="3"/>
  <c r="A864" i="3"/>
  <c r="E864" i="3"/>
  <c r="I864" i="3"/>
  <c r="A865" i="3"/>
  <c r="E865" i="3"/>
  <c r="I865" i="3"/>
  <c r="A866" i="3"/>
  <c r="E866" i="3"/>
  <c r="I866" i="3"/>
  <c r="A867" i="3"/>
  <c r="E867" i="3"/>
  <c r="I867" i="3"/>
  <c r="A868" i="3"/>
  <c r="E868" i="3"/>
  <c r="I868" i="3"/>
  <c r="A869" i="3"/>
  <c r="E869" i="3"/>
  <c r="I869" i="3"/>
  <c r="A870" i="3"/>
  <c r="E870" i="3"/>
  <c r="I870" i="3"/>
  <c r="A871" i="3"/>
  <c r="E871" i="3"/>
  <c r="I871" i="3"/>
  <c r="A872" i="3"/>
  <c r="E872" i="3"/>
  <c r="I872" i="3"/>
  <c r="A873" i="3"/>
  <c r="E873" i="3"/>
  <c r="I873" i="3"/>
  <c r="A874" i="3"/>
  <c r="E874" i="3"/>
  <c r="I874" i="3"/>
  <c r="A875" i="3"/>
  <c r="E875" i="3"/>
  <c r="I875" i="3"/>
  <c r="A876" i="3"/>
  <c r="E876" i="3"/>
  <c r="I876" i="3"/>
  <c r="A877" i="3"/>
  <c r="E877" i="3"/>
  <c r="I877" i="3"/>
  <c r="A878" i="3"/>
  <c r="E878" i="3"/>
  <c r="I878" i="3"/>
  <c r="A879" i="3"/>
  <c r="E879" i="3"/>
  <c r="I879" i="3"/>
  <c r="A880" i="3"/>
  <c r="E880" i="3"/>
  <c r="I880" i="3"/>
  <c r="A881" i="3"/>
  <c r="E881" i="3"/>
  <c r="I881" i="3"/>
  <c r="A882" i="3"/>
  <c r="E882" i="3"/>
  <c r="I882" i="3"/>
  <c r="A883" i="3"/>
  <c r="E883" i="3"/>
  <c r="I883" i="3"/>
  <c r="A884" i="3"/>
  <c r="E884" i="3"/>
  <c r="I884" i="3"/>
  <c r="A885" i="3"/>
  <c r="E885" i="3"/>
  <c r="I885" i="3"/>
  <c r="A886" i="3"/>
  <c r="E886" i="3"/>
  <c r="I886" i="3"/>
  <c r="A887" i="3"/>
  <c r="E887" i="3"/>
  <c r="I887" i="3"/>
  <c r="A888" i="3"/>
  <c r="E888" i="3"/>
  <c r="I888" i="3"/>
  <c r="A889" i="3"/>
  <c r="E889" i="3"/>
  <c r="I889" i="3"/>
  <c r="A890" i="3"/>
  <c r="E890" i="3"/>
  <c r="I890" i="3"/>
  <c r="A891" i="3"/>
  <c r="E891" i="3"/>
  <c r="I891" i="3"/>
  <c r="A892" i="3"/>
  <c r="E892" i="3"/>
  <c r="I892" i="3"/>
  <c r="A893" i="3"/>
  <c r="E893" i="3"/>
  <c r="I893" i="3"/>
  <c r="A894" i="3"/>
  <c r="E894" i="3"/>
  <c r="I894" i="3"/>
  <c r="A895" i="3"/>
  <c r="E895" i="3"/>
  <c r="I895" i="3"/>
  <c r="A896" i="3"/>
  <c r="E896" i="3"/>
  <c r="I896" i="3"/>
  <c r="A897" i="3"/>
  <c r="E897" i="3"/>
  <c r="I897" i="3"/>
  <c r="A898" i="3"/>
  <c r="E898" i="3"/>
  <c r="I898" i="3"/>
  <c r="A899" i="3"/>
  <c r="E899" i="3"/>
  <c r="I899" i="3"/>
  <c r="A900" i="3"/>
  <c r="E900" i="3"/>
  <c r="I900" i="3"/>
  <c r="A901" i="3"/>
  <c r="E901" i="3"/>
  <c r="I901" i="3"/>
  <c r="A902" i="3"/>
  <c r="E902" i="3"/>
  <c r="I902" i="3"/>
  <c r="A903" i="3"/>
  <c r="E903" i="3"/>
  <c r="I903" i="3"/>
  <c r="A904" i="3"/>
  <c r="E904" i="3"/>
  <c r="I904" i="3"/>
  <c r="A905" i="3"/>
  <c r="E905" i="3"/>
  <c r="I905" i="3"/>
  <c r="A906" i="3"/>
  <c r="E906" i="3"/>
  <c r="I906" i="3"/>
  <c r="A907" i="3"/>
  <c r="E907" i="3"/>
  <c r="I907" i="3"/>
  <c r="A908" i="3"/>
  <c r="E908" i="3"/>
  <c r="I908" i="3"/>
  <c r="A909" i="3"/>
  <c r="E909" i="3"/>
  <c r="I909" i="3"/>
  <c r="A910" i="3"/>
  <c r="E910" i="3"/>
  <c r="I910" i="3"/>
  <c r="A911" i="3"/>
  <c r="E911" i="3"/>
  <c r="I911" i="3"/>
  <c r="A912" i="3"/>
  <c r="E912" i="3"/>
  <c r="I912" i="3"/>
  <c r="A913" i="3"/>
  <c r="E913" i="3"/>
  <c r="I913" i="3"/>
  <c r="A914" i="3"/>
  <c r="E914" i="3"/>
  <c r="I914" i="3"/>
  <c r="A915" i="3"/>
  <c r="E915" i="3"/>
  <c r="I915" i="3"/>
  <c r="A916" i="3"/>
  <c r="E916" i="3"/>
  <c r="I916" i="3"/>
  <c r="A917" i="3"/>
  <c r="E917" i="3"/>
  <c r="I917" i="3"/>
  <c r="A918" i="3"/>
  <c r="E918" i="3"/>
  <c r="I918" i="3"/>
  <c r="A919" i="3"/>
  <c r="E919" i="3"/>
  <c r="I919" i="3"/>
  <c r="A920" i="3"/>
  <c r="E920" i="3"/>
  <c r="I920" i="3"/>
  <c r="A921" i="3"/>
  <c r="E921" i="3"/>
  <c r="I921" i="3"/>
  <c r="A922" i="3"/>
  <c r="E922" i="3"/>
  <c r="I922" i="3"/>
  <c r="A923" i="3"/>
  <c r="E923" i="3"/>
  <c r="I923" i="3"/>
  <c r="A924" i="3"/>
  <c r="E924" i="3"/>
  <c r="I924" i="3"/>
  <c r="A925" i="3"/>
  <c r="E925" i="3"/>
  <c r="I925" i="3"/>
  <c r="A926" i="3"/>
  <c r="E926" i="3"/>
  <c r="I926" i="3"/>
  <c r="A927" i="3"/>
  <c r="E927" i="3"/>
  <c r="I927" i="3"/>
  <c r="A928" i="3"/>
  <c r="E928" i="3"/>
  <c r="I928" i="3"/>
  <c r="A929" i="3"/>
  <c r="E929" i="3"/>
  <c r="I929" i="3"/>
  <c r="A930" i="3"/>
  <c r="E930" i="3"/>
  <c r="I930" i="3"/>
  <c r="A931" i="3"/>
  <c r="E931" i="3"/>
  <c r="I931" i="3"/>
  <c r="A932" i="3"/>
  <c r="E932" i="3"/>
  <c r="I932" i="3"/>
  <c r="A933" i="3"/>
  <c r="E933" i="3"/>
  <c r="I933" i="3"/>
  <c r="A934" i="3"/>
  <c r="E934" i="3"/>
  <c r="I934" i="3"/>
  <c r="A935" i="3"/>
  <c r="E935" i="3"/>
  <c r="I935" i="3"/>
  <c r="A936" i="3"/>
  <c r="E936" i="3"/>
  <c r="I936" i="3"/>
  <c r="A937" i="3"/>
  <c r="E937" i="3"/>
  <c r="I937" i="3"/>
  <c r="A938" i="3"/>
  <c r="E938" i="3"/>
  <c r="I938" i="3"/>
  <c r="A939" i="3"/>
  <c r="E939" i="3"/>
  <c r="I939" i="3"/>
  <c r="A940" i="3"/>
  <c r="E940" i="3"/>
  <c r="I940" i="3"/>
  <c r="A941" i="3"/>
  <c r="E941" i="3"/>
  <c r="I941" i="3"/>
  <c r="A942" i="3"/>
  <c r="E942" i="3"/>
  <c r="I942" i="3"/>
  <c r="A943" i="3"/>
  <c r="E943" i="3"/>
  <c r="I943" i="3"/>
  <c r="A944" i="3"/>
  <c r="E944" i="3"/>
  <c r="I944" i="3"/>
  <c r="A945" i="3"/>
  <c r="E945" i="3"/>
  <c r="I945" i="3"/>
  <c r="A946" i="3"/>
  <c r="E946" i="3"/>
  <c r="I946" i="3"/>
  <c r="A947" i="3"/>
  <c r="E947" i="3"/>
  <c r="I947" i="3"/>
  <c r="A948" i="3"/>
  <c r="E948" i="3"/>
  <c r="I948" i="3"/>
  <c r="A949" i="3"/>
  <c r="E949" i="3"/>
  <c r="I949" i="3"/>
  <c r="A950" i="3"/>
  <c r="E950" i="3"/>
  <c r="I950" i="3"/>
  <c r="A951" i="3"/>
  <c r="E951" i="3"/>
  <c r="I951" i="3"/>
  <c r="A952" i="3"/>
  <c r="E952" i="3"/>
  <c r="I952" i="3"/>
  <c r="A953" i="3"/>
  <c r="E953" i="3"/>
  <c r="I953" i="3"/>
  <c r="A954" i="3"/>
  <c r="E954" i="3"/>
  <c r="I954" i="3"/>
  <c r="A955" i="3"/>
  <c r="E955" i="3"/>
  <c r="I955" i="3"/>
  <c r="A956" i="3"/>
  <c r="E956" i="3"/>
  <c r="I956" i="3"/>
  <c r="A957" i="3"/>
  <c r="E957" i="3"/>
  <c r="I957" i="3"/>
  <c r="A958" i="3"/>
  <c r="E958" i="3"/>
  <c r="I958" i="3"/>
  <c r="A959" i="3"/>
  <c r="E959" i="3"/>
  <c r="I959" i="3"/>
  <c r="A960" i="3"/>
  <c r="E960" i="3"/>
  <c r="I960" i="3"/>
  <c r="A961" i="3"/>
  <c r="E961" i="3"/>
  <c r="I961" i="3"/>
  <c r="A962" i="3"/>
  <c r="E962" i="3"/>
  <c r="I962" i="3"/>
  <c r="A963" i="3"/>
  <c r="E963" i="3"/>
  <c r="I963" i="3"/>
  <c r="A964" i="3"/>
  <c r="E964" i="3"/>
  <c r="I964" i="3"/>
  <c r="A965" i="3"/>
  <c r="E965" i="3"/>
  <c r="I965" i="3"/>
  <c r="A966" i="3"/>
  <c r="E966" i="3"/>
  <c r="I966" i="3"/>
  <c r="A967" i="3"/>
  <c r="E967" i="3"/>
  <c r="I967" i="3"/>
  <c r="A968" i="3"/>
  <c r="E968" i="3"/>
  <c r="I968" i="3"/>
  <c r="A969" i="3"/>
  <c r="E969" i="3"/>
  <c r="I969" i="3"/>
  <c r="A970" i="3"/>
  <c r="E970" i="3"/>
  <c r="I970" i="3"/>
  <c r="A971" i="3"/>
  <c r="E971" i="3"/>
  <c r="I971" i="3"/>
  <c r="A972" i="3"/>
  <c r="E972" i="3"/>
  <c r="I972" i="3"/>
  <c r="A973" i="3"/>
  <c r="E973" i="3"/>
  <c r="I973" i="3"/>
  <c r="A974" i="3"/>
  <c r="E974" i="3"/>
  <c r="I974" i="3"/>
  <c r="A975" i="3"/>
  <c r="E975" i="3"/>
  <c r="I975" i="3"/>
  <c r="A976" i="3"/>
  <c r="E976" i="3"/>
  <c r="I976" i="3"/>
  <c r="A977" i="3"/>
  <c r="E977" i="3"/>
  <c r="I977" i="3"/>
  <c r="A978" i="3"/>
  <c r="E978" i="3"/>
  <c r="I978" i="3"/>
  <c r="A979" i="3"/>
  <c r="E979" i="3"/>
  <c r="I979" i="3"/>
  <c r="A980" i="3"/>
  <c r="E980" i="3"/>
  <c r="I980" i="3"/>
  <c r="A981" i="3"/>
  <c r="E981" i="3"/>
  <c r="I981" i="3"/>
  <c r="A982" i="3"/>
  <c r="E982" i="3"/>
  <c r="I982" i="3"/>
  <c r="A983" i="3"/>
  <c r="E983" i="3"/>
  <c r="I983" i="3"/>
  <c r="A984" i="3"/>
  <c r="E984" i="3"/>
  <c r="I984" i="3"/>
  <c r="A985" i="3"/>
  <c r="E985" i="3"/>
  <c r="I985" i="3"/>
  <c r="A986" i="3"/>
  <c r="E986" i="3"/>
  <c r="I986" i="3"/>
  <c r="A987" i="3"/>
  <c r="E987" i="3"/>
  <c r="I987" i="3"/>
  <c r="A988" i="3"/>
  <c r="E988" i="3"/>
  <c r="I988" i="3"/>
  <c r="A989" i="3"/>
  <c r="E989" i="3"/>
  <c r="I989" i="3"/>
  <c r="A990" i="3"/>
  <c r="E990" i="3"/>
  <c r="I990" i="3"/>
  <c r="A991" i="3"/>
  <c r="E991" i="3"/>
  <c r="I991" i="3"/>
  <c r="A992" i="3"/>
  <c r="E992" i="3"/>
  <c r="I992" i="3"/>
  <c r="A993" i="3"/>
  <c r="E993" i="3"/>
  <c r="I993" i="3"/>
  <c r="A994" i="3"/>
  <c r="E994" i="3"/>
  <c r="I994" i="3"/>
  <c r="A995" i="3"/>
  <c r="E995" i="3"/>
  <c r="I995" i="3"/>
  <c r="A996" i="3"/>
  <c r="E996" i="3"/>
  <c r="I996" i="3"/>
  <c r="A997" i="3"/>
  <c r="E997" i="3"/>
  <c r="I997" i="3"/>
  <c r="A998" i="3"/>
  <c r="E998" i="3"/>
  <c r="I998" i="3"/>
  <c r="A999" i="3"/>
  <c r="E999" i="3"/>
  <c r="I999" i="3"/>
  <c r="A1000" i="3"/>
  <c r="E1000" i="3"/>
  <c r="I1000" i="3"/>
  <c r="A1001" i="3"/>
  <c r="E1001" i="3"/>
  <c r="I1001" i="3"/>
  <c r="A1002" i="3"/>
  <c r="E1002" i="3"/>
  <c r="I1002" i="3"/>
  <c r="A1003" i="3"/>
  <c r="E1003" i="3"/>
  <c r="I1003" i="3"/>
  <c r="A1004" i="3"/>
  <c r="E1004" i="3"/>
  <c r="I1004" i="3"/>
  <c r="A1005" i="3"/>
  <c r="E1005" i="3"/>
  <c r="I1005" i="3"/>
  <c r="A1006" i="3"/>
  <c r="E1006" i="3"/>
  <c r="I1006" i="3"/>
  <c r="A1007" i="3"/>
  <c r="E1007" i="3"/>
  <c r="I1007" i="3"/>
  <c r="A1008" i="3"/>
  <c r="E1008" i="3"/>
  <c r="I1008" i="3"/>
  <c r="A1009" i="3"/>
  <c r="E1009" i="3"/>
  <c r="I1009" i="3"/>
  <c r="A1010" i="3"/>
  <c r="E1010" i="3"/>
  <c r="I1010" i="3"/>
  <c r="A1011" i="3"/>
  <c r="E1011" i="3"/>
  <c r="I1011" i="3"/>
  <c r="A1012" i="3"/>
  <c r="E1012" i="3"/>
  <c r="I1012" i="3"/>
  <c r="A1013" i="3"/>
  <c r="E1013" i="3"/>
  <c r="I1013" i="3"/>
  <c r="A1014" i="3"/>
  <c r="E1014" i="3"/>
  <c r="I1014" i="3"/>
  <c r="A1015" i="3"/>
  <c r="E1015" i="3"/>
  <c r="I1015" i="3"/>
  <c r="A1016" i="3"/>
  <c r="E1016" i="3"/>
  <c r="I1016" i="3"/>
  <c r="A1017" i="3"/>
  <c r="E1017" i="3"/>
  <c r="I1017" i="3"/>
  <c r="A1018" i="3"/>
  <c r="E1018" i="3"/>
  <c r="I1018" i="3"/>
  <c r="A1019" i="3"/>
  <c r="E1019" i="3"/>
  <c r="I1019" i="3"/>
  <c r="A1020" i="3"/>
  <c r="E1020" i="3"/>
  <c r="I1020" i="3"/>
  <c r="A1021" i="3"/>
  <c r="E1021" i="3"/>
  <c r="I1021" i="3"/>
  <c r="A1022" i="3"/>
  <c r="E1022" i="3"/>
  <c r="I1022" i="3"/>
  <c r="A1023" i="3"/>
  <c r="E1023" i="3"/>
  <c r="I1023" i="3"/>
  <c r="A1024" i="3"/>
  <c r="E1024" i="3"/>
  <c r="I1024" i="3"/>
  <c r="A1025" i="3"/>
  <c r="E1025" i="3"/>
  <c r="I1025" i="3"/>
  <c r="A1026" i="3"/>
  <c r="E1026" i="3"/>
  <c r="I1026" i="3"/>
  <c r="A1027" i="3"/>
  <c r="E1027" i="3"/>
  <c r="I1027" i="3"/>
  <c r="A1028" i="3"/>
  <c r="E1028" i="3"/>
  <c r="I1028" i="3"/>
  <c r="A1029" i="3"/>
  <c r="E1029" i="3"/>
  <c r="I1029" i="3"/>
  <c r="A1030" i="3"/>
  <c r="E1030" i="3"/>
  <c r="I1030" i="3"/>
  <c r="A1031" i="3"/>
  <c r="E1031" i="3"/>
  <c r="I1031" i="3"/>
  <c r="A1032" i="3"/>
  <c r="E1032" i="3"/>
  <c r="I1032" i="3"/>
  <c r="A1033" i="3"/>
  <c r="E1033" i="3"/>
  <c r="I1033" i="3"/>
  <c r="A1034" i="3"/>
  <c r="E1034" i="3"/>
  <c r="I1034" i="3"/>
  <c r="A1035" i="3"/>
  <c r="E1035" i="3"/>
  <c r="I1035" i="3"/>
  <c r="A1036" i="3"/>
  <c r="E1036" i="3"/>
  <c r="I1036" i="3"/>
  <c r="A1037" i="3"/>
  <c r="E1037" i="3"/>
  <c r="I1037" i="3"/>
  <c r="A1038" i="3"/>
  <c r="E1038" i="3"/>
  <c r="I1038" i="3"/>
  <c r="A1039" i="3"/>
  <c r="E1039" i="3"/>
  <c r="I1039" i="3"/>
  <c r="A1040" i="3"/>
  <c r="E1040" i="3"/>
  <c r="I1040" i="3"/>
  <c r="A1041" i="3"/>
  <c r="E1041" i="3"/>
  <c r="I1041" i="3"/>
  <c r="A1042" i="3"/>
  <c r="E1042" i="3"/>
  <c r="I1042" i="3"/>
  <c r="A1043" i="3"/>
  <c r="E1043" i="3"/>
  <c r="I1043" i="3"/>
  <c r="A1044" i="3"/>
  <c r="E1044" i="3"/>
  <c r="I1044" i="3"/>
  <c r="A1045" i="3"/>
  <c r="E1045" i="3"/>
  <c r="I1045" i="3"/>
  <c r="A1046" i="3"/>
  <c r="E1046" i="3"/>
  <c r="I1046" i="3"/>
  <c r="A1047" i="3"/>
  <c r="E1047" i="3"/>
  <c r="I1047" i="3"/>
  <c r="A1048" i="3"/>
  <c r="E1048" i="3"/>
  <c r="I1048" i="3"/>
  <c r="A1049" i="3"/>
  <c r="E1049" i="3"/>
  <c r="I1049" i="3"/>
  <c r="A1050" i="3"/>
  <c r="E1050" i="3"/>
  <c r="I1050" i="3"/>
  <c r="A1051" i="3"/>
  <c r="E1051" i="3"/>
  <c r="I1051" i="3"/>
  <c r="A1052" i="3"/>
  <c r="E1052" i="3"/>
  <c r="I1052" i="3"/>
  <c r="A1053" i="3"/>
  <c r="E1053" i="3"/>
  <c r="I1053" i="3"/>
  <c r="A1054" i="3"/>
  <c r="E1054" i="3"/>
  <c r="I1054" i="3"/>
  <c r="A1055" i="3"/>
  <c r="E1055" i="3"/>
  <c r="I1055" i="3"/>
  <c r="A1056" i="3"/>
  <c r="E1056" i="3"/>
  <c r="I1056" i="3"/>
  <c r="A1057" i="3"/>
  <c r="E1057" i="3"/>
  <c r="I1057" i="3"/>
  <c r="A1058" i="3"/>
  <c r="E1058" i="3"/>
  <c r="I1058" i="3"/>
  <c r="A1059" i="3"/>
  <c r="E1059" i="3"/>
  <c r="I1059" i="3"/>
  <c r="A1060" i="3"/>
  <c r="E1060" i="3"/>
  <c r="I1060" i="3"/>
  <c r="A1061" i="3"/>
  <c r="E1061" i="3"/>
  <c r="I1061" i="3"/>
  <c r="A1062" i="3"/>
  <c r="E1062" i="3"/>
  <c r="I1062" i="3"/>
  <c r="A1063" i="3"/>
  <c r="E1063" i="3"/>
  <c r="I1063" i="3"/>
  <c r="A1064" i="3"/>
  <c r="E1064" i="3"/>
  <c r="I1064" i="3"/>
  <c r="A1065" i="3"/>
  <c r="E1065" i="3"/>
  <c r="I1065" i="3"/>
  <c r="A1066" i="3"/>
  <c r="E1066" i="3"/>
  <c r="I1066" i="3"/>
  <c r="A1067" i="3"/>
  <c r="E1067" i="3"/>
  <c r="I1067" i="3"/>
  <c r="A1068" i="3"/>
  <c r="E1068" i="3"/>
  <c r="I1068" i="3"/>
  <c r="A1069" i="3"/>
  <c r="E1069" i="3"/>
  <c r="I1069" i="3"/>
  <c r="A1070" i="3"/>
  <c r="E1070" i="3"/>
  <c r="I1070" i="3"/>
  <c r="A1071" i="3"/>
  <c r="E1071" i="3"/>
  <c r="I1071" i="3"/>
  <c r="A1072" i="3"/>
  <c r="E1072" i="3"/>
  <c r="I1072" i="3"/>
  <c r="A1073" i="3"/>
  <c r="E1073" i="3"/>
  <c r="I1073" i="3"/>
  <c r="A1074" i="3"/>
  <c r="E1074" i="3"/>
  <c r="I1074" i="3"/>
  <c r="A1075" i="3"/>
  <c r="E1075" i="3"/>
  <c r="I1075" i="3"/>
  <c r="A1076" i="3"/>
  <c r="E1076" i="3"/>
  <c r="I1076" i="3"/>
  <c r="A1077" i="3"/>
  <c r="E1077" i="3"/>
  <c r="I1077" i="3"/>
  <c r="A1078" i="3"/>
  <c r="E1078" i="3"/>
  <c r="I1078" i="3"/>
  <c r="A1079" i="3"/>
  <c r="E1079" i="3"/>
  <c r="I1079" i="3"/>
  <c r="A1080" i="3"/>
  <c r="E1080" i="3"/>
  <c r="I1080" i="3"/>
  <c r="A1081" i="3"/>
  <c r="E1081" i="3"/>
  <c r="I1081" i="3"/>
  <c r="A1082" i="3"/>
  <c r="E1082" i="3"/>
  <c r="I1082" i="3"/>
  <c r="A1083" i="3"/>
  <c r="E1083" i="3"/>
  <c r="I1083" i="3"/>
  <c r="A1084" i="3"/>
  <c r="E1084" i="3"/>
  <c r="I1084" i="3"/>
  <c r="A1085" i="3"/>
  <c r="E1085" i="3"/>
  <c r="I1085" i="3"/>
  <c r="A1086" i="3"/>
  <c r="E1086" i="3"/>
  <c r="I1086" i="3"/>
  <c r="A1087" i="3"/>
  <c r="E1087" i="3"/>
  <c r="I1087" i="3"/>
  <c r="A1088" i="3"/>
  <c r="E1088" i="3"/>
  <c r="I1088" i="3"/>
  <c r="A1089" i="3"/>
  <c r="E1089" i="3"/>
  <c r="I1089" i="3"/>
  <c r="A1090" i="3"/>
  <c r="E1090" i="3"/>
  <c r="I1090" i="3"/>
  <c r="A1091" i="3"/>
  <c r="E1091" i="3"/>
  <c r="I1091" i="3"/>
  <c r="A1092" i="3"/>
  <c r="E1092" i="3"/>
  <c r="I1092" i="3"/>
  <c r="A1093" i="3"/>
  <c r="E1093" i="3"/>
  <c r="I1093" i="3"/>
  <c r="A1094" i="3"/>
  <c r="E1094" i="3"/>
  <c r="I1094" i="3"/>
  <c r="A1095" i="3"/>
  <c r="E1095" i="3"/>
  <c r="I1095" i="3"/>
  <c r="A1096" i="3"/>
  <c r="E1096" i="3"/>
  <c r="I1096" i="3"/>
  <c r="A1097" i="3"/>
  <c r="E1097" i="3"/>
  <c r="I1097" i="3"/>
  <c r="A1098" i="3"/>
  <c r="E1098" i="3"/>
  <c r="I1098" i="3"/>
  <c r="A1099" i="3"/>
  <c r="E1099" i="3"/>
  <c r="I1099" i="3"/>
  <c r="A1100" i="3"/>
  <c r="E1100" i="3"/>
  <c r="I1100" i="3"/>
  <c r="A1101" i="3"/>
  <c r="E1101" i="3"/>
  <c r="I1101" i="3"/>
  <c r="A1102" i="3"/>
  <c r="E1102" i="3"/>
  <c r="I1102" i="3"/>
  <c r="A1103" i="3"/>
  <c r="E1103" i="3"/>
  <c r="I1103" i="3"/>
  <c r="A1104" i="3"/>
  <c r="E1104" i="3"/>
  <c r="I1104" i="3"/>
  <c r="A1105" i="3"/>
  <c r="E1105" i="3"/>
  <c r="I1105" i="3"/>
  <c r="A1106" i="3"/>
  <c r="E1106" i="3"/>
  <c r="I1106" i="3"/>
  <c r="A1107" i="3"/>
  <c r="E1107" i="3"/>
  <c r="I1107" i="3"/>
  <c r="A1108" i="3"/>
  <c r="E1108" i="3"/>
  <c r="I1108" i="3"/>
  <c r="A1109" i="3"/>
  <c r="E1109" i="3"/>
  <c r="I1109" i="3"/>
  <c r="A1110" i="3"/>
  <c r="E1110" i="3"/>
  <c r="I1110" i="3"/>
  <c r="A1111" i="3"/>
  <c r="E1111" i="3"/>
  <c r="I1111" i="3"/>
  <c r="A1112" i="3"/>
  <c r="E1112" i="3"/>
  <c r="I1112" i="3"/>
  <c r="A1113" i="3"/>
  <c r="E1113" i="3"/>
  <c r="I1113" i="3"/>
  <c r="A1114" i="3"/>
  <c r="E1114" i="3"/>
  <c r="I1114" i="3"/>
  <c r="A1115" i="3"/>
  <c r="E1115" i="3"/>
  <c r="I1115" i="3"/>
  <c r="A1116" i="3"/>
  <c r="E1116" i="3"/>
  <c r="I1116" i="3"/>
  <c r="A1117" i="3"/>
  <c r="E1117" i="3"/>
  <c r="I1117" i="3"/>
  <c r="A1118" i="3"/>
  <c r="E1118" i="3"/>
  <c r="I1118" i="3"/>
  <c r="A1119" i="3"/>
  <c r="E1119" i="3"/>
  <c r="I1119" i="3"/>
  <c r="A1120" i="3"/>
  <c r="E1120" i="3"/>
  <c r="I1120" i="3"/>
  <c r="A1121" i="3"/>
  <c r="E1121" i="3"/>
  <c r="I1121" i="3"/>
  <c r="A1122" i="3"/>
  <c r="E1122" i="3"/>
  <c r="I1122" i="3"/>
  <c r="A1123" i="3"/>
  <c r="E1123" i="3"/>
  <c r="I1123" i="3"/>
  <c r="A1124" i="3"/>
  <c r="E1124" i="3"/>
  <c r="I1124" i="3"/>
  <c r="A1125" i="3"/>
  <c r="E1125" i="3"/>
  <c r="I1125" i="3"/>
  <c r="A1126" i="3"/>
  <c r="E1126" i="3"/>
  <c r="I1126" i="3"/>
  <c r="A1127" i="3"/>
  <c r="E1127" i="3"/>
  <c r="I1127" i="3"/>
  <c r="A1128" i="3"/>
  <c r="E1128" i="3"/>
  <c r="I1128" i="3"/>
  <c r="A1129" i="3"/>
  <c r="E1129" i="3"/>
  <c r="I1129" i="3"/>
  <c r="A1130" i="3"/>
  <c r="E1130" i="3"/>
  <c r="I1130" i="3"/>
  <c r="A1131" i="3"/>
  <c r="E1131" i="3"/>
  <c r="I1131" i="3"/>
  <c r="A1132" i="3"/>
  <c r="E1132" i="3"/>
  <c r="I1132" i="3"/>
  <c r="A1133" i="3"/>
  <c r="E1133" i="3"/>
  <c r="I1133" i="3"/>
  <c r="A1134" i="3"/>
  <c r="E1134" i="3"/>
  <c r="I1134" i="3"/>
  <c r="A1135" i="3"/>
  <c r="E1135" i="3"/>
  <c r="I1135" i="3"/>
  <c r="A1136" i="3"/>
  <c r="E1136" i="3"/>
  <c r="I1136" i="3"/>
  <c r="A1137" i="3"/>
  <c r="E1137" i="3"/>
  <c r="I1137" i="3"/>
  <c r="A1138" i="3"/>
  <c r="E1138" i="3"/>
  <c r="I1138" i="3"/>
  <c r="A1139" i="3"/>
  <c r="E1139" i="3"/>
  <c r="I1139" i="3"/>
  <c r="A1140" i="3"/>
  <c r="E1140" i="3"/>
  <c r="I1140" i="3"/>
  <c r="A1141" i="3"/>
  <c r="E1141" i="3"/>
  <c r="I1141" i="3"/>
  <c r="A1142" i="3"/>
  <c r="E1142" i="3"/>
  <c r="I1142" i="3"/>
  <c r="A1143" i="3"/>
  <c r="E1143" i="3"/>
  <c r="I1143" i="3"/>
  <c r="A1144" i="3"/>
  <c r="E1144" i="3"/>
  <c r="I1144" i="3"/>
  <c r="A1145" i="3"/>
  <c r="E1145" i="3"/>
  <c r="I1145" i="3"/>
  <c r="A1146" i="3"/>
  <c r="E1146" i="3"/>
  <c r="I1146" i="3"/>
  <c r="A1147" i="3"/>
  <c r="E1147" i="3"/>
  <c r="I1147" i="3"/>
  <c r="A1148" i="3"/>
  <c r="E1148" i="3"/>
  <c r="I1148" i="3"/>
  <c r="A1149" i="3"/>
  <c r="E1149" i="3"/>
  <c r="I1149" i="3"/>
  <c r="A1150" i="3"/>
  <c r="E1150" i="3"/>
  <c r="I1150" i="3"/>
  <c r="A1151" i="3"/>
  <c r="E1151" i="3"/>
  <c r="I1151" i="3"/>
  <c r="A1152" i="3"/>
  <c r="E1152" i="3"/>
  <c r="I1152" i="3"/>
  <c r="A1153" i="3"/>
  <c r="E1153" i="3"/>
  <c r="I1153" i="3"/>
  <c r="A1154" i="3"/>
  <c r="E1154" i="3"/>
  <c r="I1154" i="3"/>
  <c r="A1155" i="3"/>
  <c r="E1155" i="3"/>
  <c r="I1155" i="3"/>
  <c r="A1156" i="3"/>
  <c r="E1156" i="3"/>
  <c r="I1156" i="3"/>
  <c r="A1157" i="3"/>
  <c r="E1157" i="3"/>
  <c r="I1157" i="3"/>
  <c r="A1158" i="3"/>
  <c r="E1158" i="3"/>
  <c r="I1158" i="3"/>
  <c r="A1159" i="3"/>
  <c r="E1159" i="3"/>
  <c r="I1159" i="3"/>
  <c r="A1160" i="3"/>
  <c r="E1160" i="3"/>
  <c r="I1160" i="3"/>
  <c r="A1161" i="3"/>
  <c r="E1161" i="3"/>
  <c r="I1161" i="3"/>
  <c r="A1162" i="3"/>
  <c r="E1162" i="3"/>
  <c r="I1162" i="3"/>
  <c r="A1163" i="3"/>
  <c r="E1163" i="3"/>
  <c r="I1163" i="3"/>
  <c r="A1164" i="3"/>
  <c r="E1164" i="3"/>
  <c r="I1164" i="3"/>
  <c r="A1165" i="3"/>
  <c r="E1165" i="3"/>
  <c r="I1165" i="3"/>
  <c r="A1166" i="3"/>
  <c r="E1166" i="3"/>
  <c r="I1166" i="3"/>
  <c r="A1167" i="3"/>
  <c r="E1167" i="3"/>
  <c r="I1167" i="3"/>
  <c r="A1168" i="3"/>
  <c r="E1168" i="3"/>
  <c r="I1168" i="3"/>
  <c r="A1169" i="3"/>
  <c r="E1169" i="3"/>
  <c r="I1169" i="3"/>
  <c r="A1170" i="3"/>
  <c r="E1170" i="3"/>
  <c r="I1170" i="3"/>
  <c r="A1171" i="3"/>
  <c r="E1171" i="3"/>
  <c r="I1171" i="3"/>
  <c r="A1172" i="3"/>
  <c r="E1172" i="3"/>
  <c r="I1172" i="3"/>
  <c r="A1173" i="3"/>
  <c r="E1173" i="3"/>
  <c r="I1173" i="3"/>
  <c r="A1174" i="3"/>
  <c r="E1174" i="3"/>
  <c r="I1174" i="3"/>
  <c r="A1175" i="3"/>
  <c r="E1175" i="3"/>
  <c r="I1175" i="3"/>
  <c r="A1176" i="3"/>
  <c r="E1176" i="3"/>
  <c r="I1176" i="3"/>
  <c r="A1177" i="3"/>
  <c r="E1177" i="3"/>
  <c r="I1177" i="3"/>
  <c r="A1178" i="3"/>
  <c r="E1178" i="3"/>
  <c r="I1178" i="3"/>
  <c r="A1179" i="3"/>
  <c r="E1179" i="3"/>
  <c r="I1179" i="3"/>
  <c r="A1180" i="3"/>
  <c r="E1180" i="3"/>
  <c r="I1180" i="3"/>
  <c r="A1181" i="3"/>
  <c r="E1181" i="3"/>
  <c r="I1181" i="3"/>
  <c r="A1182" i="3"/>
  <c r="E1182" i="3"/>
  <c r="I1182" i="3"/>
  <c r="A1183" i="3"/>
  <c r="E1183" i="3"/>
  <c r="I1183" i="3"/>
  <c r="A1184" i="3"/>
  <c r="E1184" i="3"/>
  <c r="I1184" i="3"/>
  <c r="A1185" i="3"/>
  <c r="E1185" i="3"/>
  <c r="I1185" i="3"/>
  <c r="A1186" i="3"/>
  <c r="E1186" i="3"/>
  <c r="I1186" i="3"/>
  <c r="A1187" i="3"/>
  <c r="E1187" i="3"/>
  <c r="I1187" i="3"/>
  <c r="A1188" i="3"/>
  <c r="E1188" i="3"/>
  <c r="I1188" i="3"/>
  <c r="A1189" i="3"/>
  <c r="E1189" i="3"/>
  <c r="I1189" i="3"/>
  <c r="A1190" i="3"/>
  <c r="E1190" i="3"/>
  <c r="I1190" i="3"/>
  <c r="A1191" i="3"/>
  <c r="E1191" i="3"/>
  <c r="I1191" i="3"/>
  <c r="A1192" i="3"/>
  <c r="E1192" i="3"/>
  <c r="I1192" i="3"/>
  <c r="A1193" i="3"/>
  <c r="E1193" i="3"/>
  <c r="I1193" i="3"/>
  <c r="A1194" i="3"/>
  <c r="E1194" i="3"/>
  <c r="I1194" i="3"/>
  <c r="A1195" i="3"/>
  <c r="E1195" i="3"/>
  <c r="I1195" i="3"/>
  <c r="A1196" i="3"/>
  <c r="E1196" i="3"/>
  <c r="I1196" i="3"/>
  <c r="A1197" i="3"/>
  <c r="E1197" i="3"/>
  <c r="I1197" i="3"/>
  <c r="A1198" i="3"/>
  <c r="E1198" i="3"/>
  <c r="I1198" i="3"/>
  <c r="A1199" i="3"/>
  <c r="E1199" i="3"/>
  <c r="I1199" i="3"/>
  <c r="A1200" i="3"/>
  <c r="E1200" i="3"/>
  <c r="I1200" i="3"/>
  <c r="A1201" i="3"/>
  <c r="E1201" i="3"/>
  <c r="I1201" i="3"/>
  <c r="A1202" i="3"/>
  <c r="E1202" i="3"/>
  <c r="I1202" i="3"/>
  <c r="A1203" i="3"/>
  <c r="E1203" i="3"/>
  <c r="I1203" i="3"/>
  <c r="A1204" i="3"/>
  <c r="E1204" i="3"/>
  <c r="I1204" i="3"/>
  <c r="A1205" i="3"/>
  <c r="E1205" i="3"/>
  <c r="I1205" i="3"/>
  <c r="A1206" i="3"/>
  <c r="E1206" i="3"/>
  <c r="I1206" i="3"/>
  <c r="A1207" i="3"/>
  <c r="E1207" i="3"/>
  <c r="I1207" i="3"/>
  <c r="A1208" i="3"/>
  <c r="E1208" i="3"/>
  <c r="I1208" i="3"/>
  <c r="A1209" i="3"/>
  <c r="E1209" i="3"/>
  <c r="I1209" i="3"/>
  <c r="A1210" i="3"/>
  <c r="E1210" i="3"/>
  <c r="I1210" i="3"/>
  <c r="A1211" i="3"/>
  <c r="E1211" i="3"/>
  <c r="I1211" i="3"/>
  <c r="A1212" i="3"/>
  <c r="E1212" i="3"/>
  <c r="I1212" i="3"/>
  <c r="A1213" i="3"/>
  <c r="E1213" i="3"/>
  <c r="I1213" i="3"/>
  <c r="A1214" i="3"/>
  <c r="E1214" i="3"/>
  <c r="I1214" i="3"/>
  <c r="A1215" i="3"/>
  <c r="E1215" i="3"/>
  <c r="I1215" i="3"/>
  <c r="A1216" i="3"/>
  <c r="E1216" i="3"/>
  <c r="I1216" i="3"/>
  <c r="A1217" i="3"/>
  <c r="E1217" i="3"/>
  <c r="I1217" i="3"/>
  <c r="A1218" i="3"/>
  <c r="E1218" i="3"/>
  <c r="I1218" i="3"/>
  <c r="A1219" i="3"/>
  <c r="E1219" i="3"/>
  <c r="I1219" i="3"/>
  <c r="A1220" i="3"/>
  <c r="E1220" i="3"/>
  <c r="I1220" i="3"/>
  <c r="A1221" i="3"/>
  <c r="E1221" i="3"/>
  <c r="I1221" i="3"/>
  <c r="A1222" i="3"/>
  <c r="E1222" i="3"/>
  <c r="I1222" i="3"/>
  <c r="A1223" i="3"/>
  <c r="E1223" i="3"/>
  <c r="I1223" i="3"/>
  <c r="A1224" i="3"/>
  <c r="E1224" i="3"/>
  <c r="I1224" i="3"/>
  <c r="A1225" i="3"/>
  <c r="E1225" i="3"/>
  <c r="I1225" i="3"/>
  <c r="A1226" i="3"/>
  <c r="E1226" i="3"/>
  <c r="I1226" i="3"/>
  <c r="A1227" i="3"/>
  <c r="E1227" i="3"/>
  <c r="I1227" i="3"/>
  <c r="A1228" i="3"/>
  <c r="E1228" i="3"/>
  <c r="I1228" i="3"/>
  <c r="A1229" i="3"/>
  <c r="E1229" i="3"/>
  <c r="I1229" i="3"/>
  <c r="A1230" i="3"/>
  <c r="E1230" i="3"/>
  <c r="I1230" i="3"/>
  <c r="A1231" i="3"/>
  <c r="E1231" i="3"/>
  <c r="I1231" i="3"/>
  <c r="A1232" i="3"/>
  <c r="E1232" i="3"/>
  <c r="I1232" i="3"/>
  <c r="A1233" i="3"/>
  <c r="E1233" i="3"/>
  <c r="I1233" i="3"/>
  <c r="A1234" i="3"/>
  <c r="E1234" i="3"/>
  <c r="I1234" i="3"/>
  <c r="A1235" i="3"/>
  <c r="E1235" i="3"/>
  <c r="I1235" i="3"/>
  <c r="A1236" i="3"/>
  <c r="E1236" i="3"/>
  <c r="I1236" i="3"/>
  <c r="A1237" i="3"/>
  <c r="E1237" i="3"/>
  <c r="I1237" i="3"/>
  <c r="A1238" i="3"/>
  <c r="E1238" i="3"/>
  <c r="I1238" i="3"/>
  <c r="A1239" i="3"/>
  <c r="E1239" i="3"/>
  <c r="I1239" i="3"/>
  <c r="A1240" i="3"/>
  <c r="E1240" i="3"/>
  <c r="I1240" i="3"/>
  <c r="A1241" i="3"/>
  <c r="E1241" i="3"/>
  <c r="I1241" i="3"/>
  <c r="A1242" i="3"/>
  <c r="E1242" i="3"/>
  <c r="I1242" i="3"/>
  <c r="A1243" i="3"/>
  <c r="E1243" i="3"/>
  <c r="I1243" i="3"/>
  <c r="A1244" i="3"/>
  <c r="E1244" i="3"/>
  <c r="I1244" i="3"/>
  <c r="A1245" i="3"/>
  <c r="E1245" i="3"/>
  <c r="I1245" i="3"/>
  <c r="A1246" i="3"/>
  <c r="E1246" i="3"/>
  <c r="I1246" i="3"/>
  <c r="A1247" i="3"/>
  <c r="E1247" i="3"/>
  <c r="I1247" i="3"/>
  <c r="A1248" i="3"/>
  <c r="E1248" i="3"/>
  <c r="I1248" i="3"/>
  <c r="A1249" i="3"/>
  <c r="E1249" i="3"/>
  <c r="I1249" i="3"/>
  <c r="A1250" i="3"/>
  <c r="E1250" i="3"/>
  <c r="I1250" i="3"/>
  <c r="A1251" i="3"/>
  <c r="E1251" i="3"/>
  <c r="I1251" i="3"/>
  <c r="A1252" i="3"/>
  <c r="E1252" i="3"/>
  <c r="I1252" i="3"/>
  <c r="A1253" i="3"/>
  <c r="E1253" i="3"/>
  <c r="I1253" i="3"/>
  <c r="A1254" i="3"/>
  <c r="E1254" i="3"/>
  <c r="I1254" i="3"/>
  <c r="A1255" i="3"/>
  <c r="E1255" i="3"/>
  <c r="I1255" i="3"/>
  <c r="A1256" i="3"/>
  <c r="E1256" i="3"/>
  <c r="I1256" i="3"/>
  <c r="A1257" i="3"/>
  <c r="E1257" i="3"/>
  <c r="I1257" i="3"/>
  <c r="A1258" i="3"/>
  <c r="E1258" i="3"/>
  <c r="I1258" i="3"/>
  <c r="A1259" i="3"/>
  <c r="E1259" i="3"/>
  <c r="I1259" i="3"/>
  <c r="A1260" i="3"/>
  <c r="E1260" i="3"/>
  <c r="I1260" i="3"/>
  <c r="A1261" i="3"/>
  <c r="E1261" i="3"/>
  <c r="I1261" i="3"/>
  <c r="A1262" i="3"/>
  <c r="E1262" i="3"/>
  <c r="I1262" i="3"/>
  <c r="A1263" i="3"/>
  <c r="E1263" i="3"/>
  <c r="I1263" i="3"/>
  <c r="A1264" i="3"/>
  <c r="E1264" i="3"/>
  <c r="I1264" i="3"/>
  <c r="A1265" i="3"/>
  <c r="E1265" i="3"/>
  <c r="I1265" i="3"/>
  <c r="A1266" i="3"/>
  <c r="E1266" i="3"/>
  <c r="I1266" i="3"/>
  <c r="A1267" i="3"/>
  <c r="E1267" i="3"/>
  <c r="I1267" i="3"/>
  <c r="A1268" i="3"/>
  <c r="E1268" i="3"/>
  <c r="I1268" i="3"/>
  <c r="A1269" i="3"/>
  <c r="E1269" i="3"/>
  <c r="I1269" i="3"/>
  <c r="A1270" i="3"/>
  <c r="E1270" i="3"/>
  <c r="I1270" i="3"/>
  <c r="A1271" i="3"/>
  <c r="E1271" i="3"/>
  <c r="I1271" i="3"/>
  <c r="A1272" i="3"/>
  <c r="E1272" i="3"/>
  <c r="I1272" i="3"/>
  <c r="A1273" i="3"/>
  <c r="E1273" i="3"/>
  <c r="I1273" i="3"/>
  <c r="A1274" i="3"/>
  <c r="E1274" i="3"/>
  <c r="I1274" i="3"/>
  <c r="A1275" i="3"/>
  <c r="E1275" i="3"/>
  <c r="I1275" i="3"/>
  <c r="A1276" i="3"/>
  <c r="E1276" i="3"/>
  <c r="I1276" i="3"/>
  <c r="A1277" i="3"/>
  <c r="E1277" i="3"/>
  <c r="I1277" i="3"/>
  <c r="A1278" i="3"/>
  <c r="E1278" i="3"/>
  <c r="I1278" i="3"/>
  <c r="A1279" i="3"/>
  <c r="E1279" i="3"/>
  <c r="I1279" i="3"/>
  <c r="A1280" i="3"/>
  <c r="E1280" i="3"/>
  <c r="I1280" i="3"/>
  <c r="A1281" i="3"/>
  <c r="E1281" i="3"/>
  <c r="I1281" i="3"/>
  <c r="A1282" i="3"/>
  <c r="E1282" i="3"/>
  <c r="I1282" i="3"/>
  <c r="A1283" i="3"/>
  <c r="E1283" i="3"/>
  <c r="I1283" i="3"/>
  <c r="A1284" i="3"/>
  <c r="E1284" i="3"/>
  <c r="I1284" i="3"/>
  <c r="A1285" i="3"/>
  <c r="E1285" i="3"/>
  <c r="I1285" i="3"/>
  <c r="A1286" i="3"/>
  <c r="E1286" i="3"/>
  <c r="I1286" i="3"/>
  <c r="A1287" i="3"/>
  <c r="E1287" i="3"/>
  <c r="I1287" i="3"/>
  <c r="A1288" i="3"/>
  <c r="E1288" i="3"/>
  <c r="I1288" i="3"/>
  <c r="A1289" i="3"/>
  <c r="E1289" i="3"/>
  <c r="I1289" i="3"/>
  <c r="A1290" i="3"/>
  <c r="E1290" i="3"/>
  <c r="I1290" i="3"/>
  <c r="A1291" i="3"/>
  <c r="E1291" i="3"/>
  <c r="I1291" i="3"/>
  <c r="A1292" i="3"/>
  <c r="E1292" i="3"/>
  <c r="I1292" i="3"/>
  <c r="A1293" i="3"/>
  <c r="E1293" i="3"/>
  <c r="I1293" i="3"/>
  <c r="A1294" i="3"/>
  <c r="E1294" i="3"/>
  <c r="I1294" i="3"/>
  <c r="A1295" i="3"/>
  <c r="E1295" i="3"/>
  <c r="I1295" i="3"/>
  <c r="A1296" i="3"/>
  <c r="E1296" i="3"/>
  <c r="I1296" i="3"/>
  <c r="A1297" i="3"/>
  <c r="E1297" i="3"/>
  <c r="I1297" i="3"/>
  <c r="A1298" i="3"/>
  <c r="E1298" i="3"/>
  <c r="I1298" i="3"/>
  <c r="A1299" i="3"/>
  <c r="E1299" i="3"/>
  <c r="I1299" i="3"/>
  <c r="A1300" i="3"/>
  <c r="E1300" i="3"/>
  <c r="I1300" i="3"/>
  <c r="A1301" i="3"/>
  <c r="E1301" i="3"/>
  <c r="I1301" i="3"/>
  <c r="A1302" i="3"/>
  <c r="E1302" i="3"/>
  <c r="I1302" i="3"/>
  <c r="A1303" i="3"/>
  <c r="E1303" i="3"/>
  <c r="I1303" i="3"/>
  <c r="A1304" i="3"/>
  <c r="E1304" i="3"/>
  <c r="I1304" i="3"/>
  <c r="A1305" i="3"/>
  <c r="E1305" i="3"/>
  <c r="I1305" i="3"/>
  <c r="A1306" i="3"/>
  <c r="E1306" i="3"/>
  <c r="I1306" i="3"/>
  <c r="A1307" i="3"/>
  <c r="E1307" i="3"/>
  <c r="I1307" i="3"/>
  <c r="A1308" i="3"/>
  <c r="E1308" i="3"/>
  <c r="I1308" i="3"/>
  <c r="A1309" i="3"/>
  <c r="E1309" i="3"/>
  <c r="I1309" i="3"/>
  <c r="A1310" i="3"/>
  <c r="E1310" i="3"/>
  <c r="I1310" i="3"/>
  <c r="A1311" i="3"/>
  <c r="E1311" i="3"/>
  <c r="I1311" i="3"/>
  <c r="A1312" i="3"/>
  <c r="E1312" i="3"/>
  <c r="I1312" i="3"/>
  <c r="A1313" i="3"/>
  <c r="E1313" i="3"/>
  <c r="I1313" i="3"/>
  <c r="A1314" i="3"/>
  <c r="E1314" i="3"/>
  <c r="I1314" i="3"/>
  <c r="A1315" i="3"/>
  <c r="E1315" i="3"/>
  <c r="I1315" i="3"/>
  <c r="A1316" i="3"/>
  <c r="E1316" i="3"/>
  <c r="I1316" i="3"/>
  <c r="A1317" i="3"/>
  <c r="E1317" i="3"/>
  <c r="I1317" i="3"/>
  <c r="A1318" i="3"/>
  <c r="E1318" i="3"/>
  <c r="I1318" i="3"/>
  <c r="A1319" i="3"/>
  <c r="E1319" i="3"/>
  <c r="I1319" i="3"/>
  <c r="A1320" i="3"/>
  <c r="E1320" i="3"/>
  <c r="I1320" i="3"/>
  <c r="A1321" i="3"/>
  <c r="E1321" i="3"/>
  <c r="I1321" i="3"/>
  <c r="A1322" i="3"/>
  <c r="E1322" i="3"/>
  <c r="I1322" i="3"/>
  <c r="A1323" i="3"/>
  <c r="E1323" i="3"/>
  <c r="I1323" i="3"/>
  <c r="A1324" i="3"/>
  <c r="E1324" i="3"/>
  <c r="I1324" i="3"/>
  <c r="A1325" i="3"/>
  <c r="E1325" i="3"/>
  <c r="I1325" i="3"/>
  <c r="A1326" i="3"/>
  <c r="E1326" i="3"/>
  <c r="I1326" i="3"/>
  <c r="A1327" i="3"/>
  <c r="E1327" i="3"/>
  <c r="I1327" i="3"/>
  <c r="A1328" i="3"/>
  <c r="E1328" i="3"/>
  <c r="I1328" i="3"/>
  <c r="A1329" i="3"/>
  <c r="E1329" i="3"/>
  <c r="I1329" i="3"/>
  <c r="A1330" i="3"/>
  <c r="E1330" i="3"/>
  <c r="I1330" i="3"/>
  <c r="A1331" i="3"/>
  <c r="E1331" i="3"/>
  <c r="I1331" i="3"/>
  <c r="A1332" i="3"/>
  <c r="E1332" i="3"/>
  <c r="I1332" i="3"/>
  <c r="A1333" i="3"/>
  <c r="E1333" i="3"/>
  <c r="I1333" i="3"/>
  <c r="A1334" i="3"/>
  <c r="E1334" i="3"/>
  <c r="I1334" i="3"/>
  <c r="A1335" i="3"/>
  <c r="E1335" i="3"/>
  <c r="I1335" i="3"/>
  <c r="A1336" i="3"/>
  <c r="E1336" i="3"/>
  <c r="I1336" i="3"/>
  <c r="A1337" i="3"/>
  <c r="E1337" i="3"/>
  <c r="I1337" i="3"/>
  <c r="A1338" i="3"/>
  <c r="E1338" i="3"/>
  <c r="I1338" i="3"/>
  <c r="A1339" i="3"/>
  <c r="E1339" i="3"/>
  <c r="I1339" i="3"/>
  <c r="A1340" i="3"/>
  <c r="E1340" i="3"/>
  <c r="I1340" i="3"/>
  <c r="A1341" i="3"/>
  <c r="E1341" i="3"/>
  <c r="I1341" i="3"/>
  <c r="A1342" i="3"/>
  <c r="E1342" i="3"/>
  <c r="I1342" i="3"/>
  <c r="A1343" i="3"/>
  <c r="E1343" i="3"/>
  <c r="I1343" i="3"/>
  <c r="A1344" i="3"/>
  <c r="E1344" i="3"/>
  <c r="I1344" i="3"/>
  <c r="A1345" i="3"/>
  <c r="E1345" i="3"/>
  <c r="I1345" i="3"/>
  <c r="A1346" i="3"/>
  <c r="E1346" i="3"/>
  <c r="I1346" i="3"/>
  <c r="A1347" i="3"/>
  <c r="E1347" i="3"/>
  <c r="I1347" i="3"/>
  <c r="A1348" i="3"/>
  <c r="E1348" i="3"/>
  <c r="I1348" i="3"/>
  <c r="A1349" i="3"/>
  <c r="E1349" i="3"/>
  <c r="I1349" i="3"/>
  <c r="A1350" i="3"/>
  <c r="E1350" i="3"/>
  <c r="I1350" i="3"/>
  <c r="A1351" i="3"/>
  <c r="E1351" i="3"/>
  <c r="I1351" i="3"/>
  <c r="A1352" i="3"/>
  <c r="E1352" i="3"/>
  <c r="I1352" i="3"/>
  <c r="A1353" i="3"/>
  <c r="E1353" i="3"/>
  <c r="I1353" i="3"/>
  <c r="A1354" i="3"/>
  <c r="E1354" i="3"/>
  <c r="I1354" i="3"/>
  <c r="A1355" i="3"/>
  <c r="E1355" i="3"/>
  <c r="I1355" i="3"/>
  <c r="A1356" i="3"/>
  <c r="E1356" i="3"/>
  <c r="I1356" i="3"/>
  <c r="A1357" i="3"/>
  <c r="E1357" i="3"/>
  <c r="I1357" i="3"/>
  <c r="A1358" i="3"/>
  <c r="E1358" i="3"/>
  <c r="I1358" i="3"/>
  <c r="A1359" i="3"/>
  <c r="E1359" i="3"/>
  <c r="I1359" i="3"/>
  <c r="A1360" i="3"/>
  <c r="E1360" i="3"/>
  <c r="I1360" i="3"/>
  <c r="A1361" i="3"/>
  <c r="E1361" i="3"/>
  <c r="I1361" i="3"/>
  <c r="A1362" i="3"/>
  <c r="E1362" i="3"/>
  <c r="I1362" i="3"/>
  <c r="A1363" i="3"/>
  <c r="E1363" i="3"/>
  <c r="I1363" i="3"/>
  <c r="A1364" i="3"/>
  <c r="E1364" i="3"/>
  <c r="I1364" i="3"/>
  <c r="A1365" i="3"/>
  <c r="E1365" i="3"/>
  <c r="I1365" i="3"/>
  <c r="A1366" i="3"/>
  <c r="E1366" i="3"/>
  <c r="I1366" i="3"/>
  <c r="A1367" i="3"/>
  <c r="E1367" i="3"/>
  <c r="I1367" i="3"/>
  <c r="A1368" i="3"/>
  <c r="E1368" i="3"/>
  <c r="I1368" i="3"/>
  <c r="A1369" i="3"/>
  <c r="E1369" i="3"/>
  <c r="I1369" i="3"/>
  <c r="A1370" i="3"/>
  <c r="E1370" i="3"/>
  <c r="I1370" i="3"/>
  <c r="A1371" i="3"/>
  <c r="E1371" i="3"/>
  <c r="I1371" i="3"/>
  <c r="A1372" i="3"/>
  <c r="E1372" i="3"/>
  <c r="I1372" i="3"/>
  <c r="A1373" i="3"/>
  <c r="E1373" i="3"/>
  <c r="I1373" i="3"/>
  <c r="A1374" i="3"/>
  <c r="E1374" i="3"/>
  <c r="I1374" i="3"/>
  <c r="A1375" i="3"/>
  <c r="E1375" i="3"/>
  <c r="I1375" i="3"/>
  <c r="A1376" i="3"/>
  <c r="E1376" i="3"/>
  <c r="I1376" i="3"/>
  <c r="A1377" i="3"/>
  <c r="E1377" i="3"/>
  <c r="I1377" i="3"/>
  <c r="A1378" i="3"/>
  <c r="E1378" i="3"/>
  <c r="I1378" i="3"/>
  <c r="A1379" i="3"/>
  <c r="E1379" i="3"/>
  <c r="I1379" i="3"/>
  <c r="A1380" i="3"/>
  <c r="E1380" i="3"/>
  <c r="I1380" i="3"/>
  <c r="A1381" i="3"/>
  <c r="E1381" i="3"/>
  <c r="I1381" i="3"/>
  <c r="A1382" i="3"/>
  <c r="E1382" i="3"/>
  <c r="I1382" i="3"/>
  <c r="A1383" i="3"/>
  <c r="E1383" i="3"/>
  <c r="I1383" i="3"/>
  <c r="A1384" i="3"/>
  <c r="E1384" i="3"/>
  <c r="I1384" i="3"/>
  <c r="A1385" i="3"/>
  <c r="E1385" i="3"/>
  <c r="I1385" i="3"/>
  <c r="A1386" i="3"/>
  <c r="E1386" i="3"/>
  <c r="I1386" i="3"/>
  <c r="A1387" i="3"/>
  <c r="E1387" i="3"/>
  <c r="I1387" i="3"/>
  <c r="A1388" i="3"/>
  <c r="E1388" i="3"/>
  <c r="I1388" i="3"/>
  <c r="A1389" i="3"/>
  <c r="E1389" i="3"/>
  <c r="I1389" i="3"/>
  <c r="A1390" i="3"/>
  <c r="E1390" i="3"/>
  <c r="I1390" i="3"/>
  <c r="A1391" i="3"/>
  <c r="E1391" i="3"/>
  <c r="I1391" i="3"/>
  <c r="A1392" i="3"/>
  <c r="E1392" i="3"/>
  <c r="I1392" i="3"/>
  <c r="A1393" i="3"/>
  <c r="E1393" i="3"/>
  <c r="I1393" i="3"/>
  <c r="A1394" i="3"/>
  <c r="E1394" i="3"/>
  <c r="I1394" i="3"/>
  <c r="A1395" i="3"/>
  <c r="E1395" i="3"/>
  <c r="I1395" i="3"/>
  <c r="A1396" i="3"/>
  <c r="E1396" i="3"/>
  <c r="I1396" i="3"/>
  <c r="A1397" i="3"/>
  <c r="E1397" i="3"/>
  <c r="I1397" i="3"/>
  <c r="A1398" i="3"/>
  <c r="E1398" i="3"/>
  <c r="I1398" i="3"/>
  <c r="A1399" i="3"/>
  <c r="E1399" i="3"/>
  <c r="I1399" i="3"/>
  <c r="A1400" i="3"/>
  <c r="E1400" i="3"/>
  <c r="I1400" i="3"/>
  <c r="A1401" i="3"/>
  <c r="E1401" i="3"/>
  <c r="I1401" i="3"/>
  <c r="A1402" i="3"/>
  <c r="E1402" i="3"/>
  <c r="I1402" i="3"/>
  <c r="A1403" i="3"/>
  <c r="E1403" i="3"/>
  <c r="I1403" i="3"/>
  <c r="A1404" i="3"/>
  <c r="E1404" i="3"/>
  <c r="I1404" i="3"/>
  <c r="A1405" i="3"/>
  <c r="E1405" i="3"/>
  <c r="I1405" i="3"/>
  <c r="A1406" i="3"/>
  <c r="E1406" i="3"/>
  <c r="I1406" i="3"/>
  <c r="A1407" i="3"/>
  <c r="E1407" i="3"/>
  <c r="I1407" i="3"/>
  <c r="A1408" i="3"/>
  <c r="E1408" i="3"/>
  <c r="I1408" i="3"/>
  <c r="A1409" i="3"/>
  <c r="E1409" i="3"/>
  <c r="I1409" i="3"/>
  <c r="A1410" i="3"/>
  <c r="E1410" i="3"/>
  <c r="I1410" i="3"/>
  <c r="A1411" i="3"/>
  <c r="E1411" i="3"/>
  <c r="I1411" i="3"/>
  <c r="A1412" i="3"/>
  <c r="E1412" i="3"/>
  <c r="I1412" i="3"/>
  <c r="A1413" i="3"/>
  <c r="E1413" i="3"/>
  <c r="I1413" i="3"/>
  <c r="A1414" i="3"/>
  <c r="E1414" i="3"/>
  <c r="I1414" i="3"/>
  <c r="A1415" i="3"/>
  <c r="E1415" i="3"/>
  <c r="I1415" i="3"/>
  <c r="A1416" i="3"/>
  <c r="E1416" i="3"/>
  <c r="I1416" i="3"/>
  <c r="A1417" i="3"/>
  <c r="E1417" i="3"/>
  <c r="I1417" i="3"/>
  <c r="A1418" i="3"/>
  <c r="E1418" i="3"/>
  <c r="I1418" i="3"/>
  <c r="A1419" i="3"/>
  <c r="E1419" i="3"/>
  <c r="I1419" i="3"/>
  <c r="A1420" i="3"/>
  <c r="E1420" i="3"/>
  <c r="I1420" i="3"/>
  <c r="A1421" i="3"/>
  <c r="E1421" i="3"/>
  <c r="I1421" i="3"/>
  <c r="A1422" i="3"/>
  <c r="E1422" i="3"/>
  <c r="I1422" i="3"/>
  <c r="A1423" i="3"/>
  <c r="E1423" i="3"/>
  <c r="I1423" i="3"/>
  <c r="A1424" i="3"/>
  <c r="E1424" i="3"/>
  <c r="I1424" i="3"/>
  <c r="A1425" i="3"/>
  <c r="E1425" i="3"/>
  <c r="I1425" i="3"/>
  <c r="A1426" i="3"/>
  <c r="E1426" i="3"/>
  <c r="I1426" i="3"/>
  <c r="A1427" i="3"/>
  <c r="E1427" i="3"/>
  <c r="I1427" i="3"/>
  <c r="A1428" i="3"/>
  <c r="E1428" i="3"/>
  <c r="I1428" i="3"/>
  <c r="A1429" i="3"/>
  <c r="E1429" i="3"/>
  <c r="I1429" i="3"/>
  <c r="A1430" i="3"/>
  <c r="E1430" i="3"/>
  <c r="I1430" i="3"/>
  <c r="A1431" i="3"/>
  <c r="E1431" i="3"/>
  <c r="I1431" i="3"/>
  <c r="A1432" i="3"/>
  <c r="E1432" i="3"/>
  <c r="I1432" i="3"/>
  <c r="A1433" i="3"/>
  <c r="E1433" i="3"/>
  <c r="I1433" i="3"/>
  <c r="A1434" i="3"/>
  <c r="E1434" i="3"/>
  <c r="I1434" i="3"/>
  <c r="A1435" i="3"/>
  <c r="E1435" i="3"/>
  <c r="I1435" i="3"/>
  <c r="A1436" i="3"/>
  <c r="E1436" i="3"/>
  <c r="I1436" i="3"/>
  <c r="A1437" i="3"/>
  <c r="E1437" i="3"/>
  <c r="I1437" i="3"/>
  <c r="A1438" i="3"/>
  <c r="E1438" i="3"/>
  <c r="I1438" i="3"/>
  <c r="A1439" i="3"/>
  <c r="E1439" i="3"/>
  <c r="I1439" i="3"/>
  <c r="A1440" i="3"/>
  <c r="E1440" i="3"/>
  <c r="I1440" i="3"/>
  <c r="A1441" i="3"/>
  <c r="E1441" i="3"/>
  <c r="I1441" i="3"/>
  <c r="A1442" i="3"/>
  <c r="E1442" i="3"/>
  <c r="I1442" i="3"/>
  <c r="A1443" i="3"/>
  <c r="E1443" i="3"/>
  <c r="I1443" i="3"/>
  <c r="A1444" i="3"/>
  <c r="E1444" i="3"/>
  <c r="I1444" i="3"/>
  <c r="A1445" i="3"/>
  <c r="E1445" i="3"/>
  <c r="I1445" i="3"/>
  <c r="A1446" i="3"/>
  <c r="E1446" i="3"/>
  <c r="I1446" i="3"/>
  <c r="A1447" i="3"/>
  <c r="E1447" i="3"/>
  <c r="I1447" i="3"/>
  <c r="A1448" i="3"/>
  <c r="E1448" i="3"/>
  <c r="I1448" i="3"/>
  <c r="A1449" i="3"/>
  <c r="E1449" i="3"/>
  <c r="I1449" i="3"/>
  <c r="A1450" i="3"/>
  <c r="E1450" i="3"/>
  <c r="I1450" i="3"/>
  <c r="A1451" i="3"/>
  <c r="E1451" i="3"/>
  <c r="I1451" i="3"/>
  <c r="A1452" i="3"/>
  <c r="E1452" i="3"/>
  <c r="I1452" i="3"/>
  <c r="A1453" i="3"/>
  <c r="E1453" i="3"/>
  <c r="I1453" i="3"/>
  <c r="A1454" i="3"/>
  <c r="E1454" i="3"/>
  <c r="I1454" i="3"/>
  <c r="A1455" i="3"/>
  <c r="E1455" i="3"/>
  <c r="I1455" i="3"/>
  <c r="A1456" i="3"/>
  <c r="E1456" i="3"/>
  <c r="I1456" i="3"/>
  <c r="A1457" i="3"/>
  <c r="E1457" i="3"/>
  <c r="I1457" i="3"/>
  <c r="A1458" i="3"/>
  <c r="E1458" i="3"/>
  <c r="I1458" i="3"/>
  <c r="A1459" i="3"/>
  <c r="E1459" i="3"/>
  <c r="I1459" i="3"/>
  <c r="A1460" i="3"/>
  <c r="E1460" i="3"/>
  <c r="I1460" i="3"/>
  <c r="A1461" i="3"/>
  <c r="E1461" i="3"/>
  <c r="I1461" i="3"/>
  <c r="A1462" i="3"/>
  <c r="E1462" i="3"/>
  <c r="I1462" i="3"/>
  <c r="A1463" i="3"/>
  <c r="E1463" i="3"/>
  <c r="I1463" i="3"/>
  <c r="A1464" i="3"/>
  <c r="E1464" i="3"/>
  <c r="I1464" i="3"/>
  <c r="A1465" i="3"/>
  <c r="E1465" i="3"/>
  <c r="I1465" i="3"/>
  <c r="A1466" i="3"/>
  <c r="E1466" i="3"/>
  <c r="I1466" i="3"/>
  <c r="A1467" i="3"/>
  <c r="E1467" i="3"/>
  <c r="I1467" i="3"/>
  <c r="A1468" i="3"/>
  <c r="E1468" i="3"/>
  <c r="I1468" i="3"/>
  <c r="A1469" i="3"/>
  <c r="E1469" i="3"/>
  <c r="I1469" i="3"/>
  <c r="A1470" i="3"/>
  <c r="E1470" i="3"/>
  <c r="I1470" i="3"/>
  <c r="A1471" i="3"/>
  <c r="E1471" i="3"/>
  <c r="I1471" i="3"/>
  <c r="A1472" i="3"/>
  <c r="E1472" i="3"/>
  <c r="I1472" i="3"/>
  <c r="A1473" i="3"/>
  <c r="E1473" i="3"/>
  <c r="I1473" i="3"/>
  <c r="A1474" i="3"/>
  <c r="E1474" i="3"/>
  <c r="I1474" i="3"/>
  <c r="A1475" i="3"/>
  <c r="E1475" i="3"/>
  <c r="I1475" i="3"/>
  <c r="A1476" i="3"/>
  <c r="E1476" i="3"/>
  <c r="I1476" i="3"/>
  <c r="A1477" i="3"/>
  <c r="E1477" i="3"/>
  <c r="I1477" i="3"/>
  <c r="A1478" i="3"/>
  <c r="E1478" i="3"/>
  <c r="I1478" i="3"/>
  <c r="A1479" i="3"/>
  <c r="E1479" i="3"/>
  <c r="I1479" i="3"/>
  <c r="A1480" i="3"/>
  <c r="E1480" i="3"/>
  <c r="I1480" i="3"/>
  <c r="A1481" i="3"/>
  <c r="E1481" i="3"/>
  <c r="I1481" i="3"/>
  <c r="A1482" i="3"/>
  <c r="E1482" i="3"/>
  <c r="I1482" i="3"/>
  <c r="A1483" i="3"/>
  <c r="E1483" i="3"/>
  <c r="I1483" i="3"/>
  <c r="A1484" i="3"/>
  <c r="E1484" i="3"/>
  <c r="I1484" i="3"/>
  <c r="A1485" i="3"/>
  <c r="E1485" i="3"/>
  <c r="I1485" i="3"/>
  <c r="A1486" i="3"/>
  <c r="E1486" i="3"/>
  <c r="I1486" i="3"/>
  <c r="A1487" i="3"/>
  <c r="E1487" i="3"/>
  <c r="I1487" i="3"/>
  <c r="A1488" i="3"/>
  <c r="E1488" i="3"/>
  <c r="I1488" i="3"/>
  <c r="A1489" i="3"/>
  <c r="E1489" i="3"/>
  <c r="I1489" i="3"/>
  <c r="A1490" i="3"/>
  <c r="E1490" i="3"/>
  <c r="I1490" i="3"/>
  <c r="A1491" i="3"/>
  <c r="E1491" i="3"/>
  <c r="I1491" i="3"/>
  <c r="A1492" i="3"/>
  <c r="E1492" i="3"/>
  <c r="I1492" i="3"/>
  <c r="A1493" i="3"/>
  <c r="E1493" i="3"/>
  <c r="I1493" i="3"/>
  <c r="A1494" i="3"/>
  <c r="E1494" i="3"/>
  <c r="I1494" i="3"/>
  <c r="A1495" i="3"/>
  <c r="E1495" i="3"/>
  <c r="I1495" i="3"/>
  <c r="A1496" i="3"/>
  <c r="E1496" i="3"/>
  <c r="I1496" i="3"/>
  <c r="A1497" i="3"/>
  <c r="E1497" i="3"/>
  <c r="I1497" i="3"/>
  <c r="A1498" i="3"/>
  <c r="E1498" i="3"/>
  <c r="I1498" i="3"/>
  <c r="A1499" i="3"/>
  <c r="E1499" i="3"/>
  <c r="I1499" i="3"/>
  <c r="A1500" i="3"/>
  <c r="E1500" i="3"/>
  <c r="I1500" i="3"/>
  <c r="A1501" i="3"/>
  <c r="E1501" i="3"/>
  <c r="I1501" i="3"/>
  <c r="A1502" i="3"/>
  <c r="E1502" i="3"/>
  <c r="I1502" i="3"/>
  <c r="A1503" i="3"/>
  <c r="E1503" i="3"/>
  <c r="I1503" i="3"/>
  <c r="A1504" i="3"/>
  <c r="E1504" i="3"/>
  <c r="I1504" i="3"/>
  <c r="A1505" i="3"/>
  <c r="E1505" i="3"/>
  <c r="I1505" i="3"/>
  <c r="A1506" i="3"/>
  <c r="E1506" i="3"/>
  <c r="I1506" i="3"/>
  <c r="A1507" i="3"/>
  <c r="E1507" i="3"/>
  <c r="I1507" i="3"/>
  <c r="A1508" i="3"/>
  <c r="E1508" i="3"/>
  <c r="I1508" i="3"/>
  <c r="A1509" i="3"/>
  <c r="E1509" i="3"/>
  <c r="I1509" i="3"/>
  <c r="A1510" i="3"/>
  <c r="E1510" i="3"/>
  <c r="I1510" i="3"/>
  <c r="A1511" i="3"/>
  <c r="E1511" i="3"/>
  <c r="I1511" i="3"/>
  <c r="E13" i="3"/>
  <c r="I13" i="3"/>
  <c r="A15" i="2"/>
  <c r="D24" i="2"/>
  <c r="E23" i="2"/>
  <c r="E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W11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V11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512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R11" i="2"/>
  <c r="T11" i="2"/>
  <c r="L11" i="2"/>
  <c r="K11" i="2"/>
  <c r="J11" i="2"/>
  <c r="M11" i="2"/>
  <c r="Q11" i="2"/>
  <c r="S11" i="2"/>
  <c r="N11" i="2"/>
  <c r="O11" i="2"/>
  <c r="P11" i="2"/>
</calcChain>
</file>

<file path=xl/sharedStrings.xml><?xml version="1.0" encoding="utf-8"?>
<sst xmlns="http://schemas.openxmlformats.org/spreadsheetml/2006/main" count="102" uniqueCount="58">
  <si>
    <t>Arrival Rate</t>
  </si>
  <si>
    <t>Voters Per Hour</t>
  </si>
  <si>
    <t>Maximum Line Length</t>
  </si>
  <si>
    <t>Balking Rate</t>
  </si>
  <si>
    <t>Minutes per Voter</t>
  </si>
  <si>
    <t>Number</t>
  </si>
  <si>
    <t>Average Wait Time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</si>
  <si>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</si>
  <si>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</si>
  <si>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</si>
  <si>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</si>
  <si>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</si>
  <si>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</si>
  <si>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</si>
  <si>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</si>
  <si>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</si>
  <si>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</si>
  <si>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Overall Alert</t>
  </si>
  <si>
    <t>System is Stable</t>
  </si>
  <si>
    <t>None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</si>
  <si>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</si>
  <si>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</si>
  <si>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</si>
  <si>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</si>
  <si>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</si>
  <si>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</si>
  <si>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</si>
  <si>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</si>
  <si>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</si>
  <si>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</si>
  <si>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</si>
  <si>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</si>
  <si>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</si>
  <si>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</si>
  <si>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</si>
  <si>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</si>
  <si>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</si>
  <si>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</si>
  <si>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</si>
  <si>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</si>
  <si>
    <t>Less Than Target Wait Flag</t>
  </si>
  <si>
    <t>Target Wait Time</t>
  </si>
  <si>
    <t>Room Capacity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</si>
  <si>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</si>
  <si>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</si>
  <si>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</si>
  <si>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</si>
  <si>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</si>
  <si>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</si>
  <si>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</si>
  <si>
    <t>Non-Voters In Room</t>
  </si>
  <si>
    <t>Expected Outside Line Length Given Full Waiting Room</t>
  </si>
  <si>
    <t>Outside Line Length At Target Wait Time</t>
  </si>
  <si>
    <t>Number of Voters Served Simultaneously</t>
  </si>
  <si>
    <t>Enter Number of Polling Places</t>
  </si>
  <si>
    <t>Polling Place</t>
  </si>
  <si>
    <t>Number of check in stations</t>
  </si>
  <si>
    <t>Average time to check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</si>
</sst>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203200</xdr:colOff>
      <xdr:row>12</xdr:row>
      <xdr:rowOff>101600</xdr:rowOff>
    </xdr:from>
    <xdr:to>
      <xdr:col>31</xdr:col>
      <xdr:colOff>546100</xdr:colOff>
      <xdr:row>25</xdr:row>
      <xdr:rowOff>88900</xdr:rowOff>
    </xdr:to>
    <xdr:sp macro="" textlink="">
      <xdr:nvSpPr>
        <xdr:cNvPr id="2" name="Rectangle 1"/>
        <xdr:cNvSpPr/>
      </xdr:nvSpPr>
      <xdr:spPr>
        <a:xfrm>
          <a:off x="17183100" y="2540000"/>
          <a:ext cx="3898900" cy="24638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chemeClr val="tx1"/>
              </a:solidFill>
            </a:rPr>
            <a:t>Error: </a:t>
          </a:r>
          <a:r>
            <a:rPr lang="en-US" sz="1600">
              <a:solidFill>
                <a:srgbClr val="FF0000"/>
              </a:solidFill>
            </a:rPr>
            <a:t>System</a:t>
          </a:r>
          <a:r>
            <a:rPr lang="en-US" sz="1600" baseline="0">
              <a:solidFill>
                <a:srgbClr val="FF0000"/>
              </a:solidFill>
            </a:rPr>
            <a:t> is Unstable </a:t>
          </a:r>
          <a:r>
            <a:rPr lang="en-US" sz="1600" baseline="0">
              <a:solidFill>
                <a:schemeClr val="tx1"/>
              </a:solidFill>
            </a:rPr>
            <a:t>means that the number of voters that arrive exceeds the number of voters that the system can handle. In other words the line never reaches steady state.</a:t>
          </a:r>
        </a:p>
        <a:p>
          <a:pPr algn="l"/>
          <a:endParaRPr lang="en-US" sz="1600" baseline="0">
            <a:solidFill>
              <a:schemeClr val="tx1"/>
            </a:solidFill>
          </a:endParaRPr>
        </a:p>
        <a:p>
          <a:pPr algn="l"/>
          <a:r>
            <a:rPr lang="en-US" sz="1600" baseline="0">
              <a:solidFill>
                <a:schemeClr val="tx1"/>
              </a:solidFill>
            </a:rPr>
            <a:t>To make the system stable, decrease the arrival rate or time to check in, or increase the number of check in stations.  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tabSelected="1" zoomScale="80" zoomScaleNormal="80" workbookViewId="0">
      <selection activeCell="E8" sqref="E8:F8"/>
    </sheetView>
  </sheetViews>
  <sheetFormatPr baseColWidth="10" defaultColWidth="8.83203125" defaultRowHeight="15" outlineLevelCol="1" x14ac:dyDescent="0.2"/>
  <cols>
    <col min="1" max="1" width="27.5" style="12" customWidth="1" outlineLevel="1"/>
    <col min="2" max="2" width="2.5" style="12" customWidth="1" outlineLevel="1"/>
    <col min="3" max="3" width="14.6640625" customWidth="1"/>
    <col min="4" max="4" width="14.5" style="1" customWidth="1"/>
    <col min="5" max="5" width="13.83203125" customWidth="1"/>
    <col min="6" max="6" width="20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6" width="15.6640625" customWidth="1"/>
    <col min="17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J1" s="7"/>
      <c r="K1" s="7"/>
      <c r="L1" s="7"/>
      <c r="M1" s="7"/>
      <c r="N1" s="7"/>
      <c r="O1" s="7"/>
      <c r="P1" s="7"/>
      <c r="Q1" s="7"/>
      <c r="R1" s="7"/>
      <c r="S1" s="7"/>
    </row>
    <row r="2" spans="1:23" ht="24" x14ac:dyDescent="0.3">
      <c r="C2" s="49" t="s">
        <v>25</v>
      </c>
      <c r="D2" s="26"/>
      <c r="E2" s="26"/>
      <c r="F2" s="27"/>
      <c r="G2" s="27"/>
      <c r="H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23" ht="6" customHeight="1" thickBot="1" x14ac:dyDescent="0.25">
      <c r="C3" s="29"/>
      <c r="D3" s="30"/>
      <c r="E3" s="30"/>
      <c r="F3" s="13"/>
      <c r="G3" s="13"/>
      <c r="H3" s="13"/>
      <c r="I3" s="19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9"/>
    </row>
    <row r="4" spans="1:23" ht="6" customHeight="1" thickTop="1" x14ac:dyDescent="0.2">
      <c r="C4" s="4"/>
      <c r="D4" s="3"/>
      <c r="E4" s="3"/>
      <c r="I4"/>
    </row>
    <row r="5" spans="1:23" ht="19" x14ac:dyDescent="0.25">
      <c r="C5" s="20" t="s">
        <v>23</v>
      </c>
      <c r="D5" s="21"/>
      <c r="E5" s="21"/>
      <c r="F5" s="21"/>
      <c r="G5" s="21"/>
      <c r="H5" s="21"/>
      <c r="I5"/>
      <c r="J5" s="25" t="s">
        <v>24</v>
      </c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3" ht="6" customHeight="1" x14ac:dyDescent="0.2">
      <c r="C6" s="22"/>
      <c r="D6" s="23"/>
      <c r="E6" s="24"/>
      <c r="F6" s="11"/>
      <c r="G6" s="11"/>
      <c r="H6" s="11"/>
      <c r="I6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9"/>
    </row>
    <row r="7" spans="1:23" ht="6" customHeight="1" x14ac:dyDescent="0.2">
      <c r="C7" s="4"/>
      <c r="D7" s="3"/>
      <c r="E7" s="2"/>
      <c r="I7"/>
    </row>
    <row r="8" spans="1:23" ht="51" customHeight="1" x14ac:dyDescent="0.2">
      <c r="A8" s="37"/>
      <c r="B8" s="37"/>
      <c r="C8" s="7" t="s">
        <v>2</v>
      </c>
      <c r="D8" s="7" t="s">
        <v>0</v>
      </c>
      <c r="E8" s="7" t="s">
        <v>57</v>
      </c>
      <c r="F8" s="7" t="s">
        <v>56</v>
      </c>
      <c r="G8" s="7" t="s">
        <v>41</v>
      </c>
      <c r="H8" s="7" t="s">
        <v>3</v>
      </c>
      <c r="I8"/>
      <c r="J8" s="7" t="s">
        <v>6</v>
      </c>
      <c r="K8" s="7" t="s">
        <v>45</v>
      </c>
      <c r="L8" s="7" t="s">
        <v>8</v>
      </c>
      <c r="M8" s="7" t="s">
        <v>10</v>
      </c>
      <c r="N8" s="7" t="s">
        <v>46</v>
      </c>
      <c r="O8" s="7" t="s">
        <v>51</v>
      </c>
      <c r="P8" s="7" t="s">
        <v>52</v>
      </c>
      <c r="Q8" s="7" t="s">
        <v>7</v>
      </c>
      <c r="R8" s="7" t="s">
        <v>11</v>
      </c>
      <c r="S8" s="7" t="s">
        <v>9</v>
      </c>
      <c r="T8" s="7" t="s">
        <v>12</v>
      </c>
      <c r="U8" s="7"/>
    </row>
    <row r="9" spans="1:23" ht="30" x14ac:dyDescent="0.2">
      <c r="C9" s="6" t="s">
        <v>44</v>
      </c>
      <c r="D9" s="6" t="s">
        <v>1</v>
      </c>
      <c r="E9" s="6" t="s">
        <v>4</v>
      </c>
      <c r="F9" s="6" t="s">
        <v>53</v>
      </c>
      <c r="G9" s="6" t="s">
        <v>13</v>
      </c>
      <c r="H9" s="6" t="s">
        <v>15</v>
      </c>
      <c r="I9"/>
      <c r="J9" s="6" t="s">
        <v>13</v>
      </c>
      <c r="K9" s="6" t="s">
        <v>14</v>
      </c>
      <c r="L9" s="6" t="s">
        <v>14</v>
      </c>
      <c r="M9" s="6" t="s">
        <v>15</v>
      </c>
      <c r="N9" s="6" t="s">
        <v>15</v>
      </c>
      <c r="O9" s="6" t="s">
        <v>14</v>
      </c>
      <c r="P9" s="6" t="s">
        <v>14</v>
      </c>
      <c r="Q9" s="6" t="s">
        <v>14</v>
      </c>
      <c r="R9" s="6" t="s">
        <v>16</v>
      </c>
      <c r="S9" s="6" t="s">
        <v>15</v>
      </c>
    </row>
    <row r="10" spans="1:23" x14ac:dyDescent="0.2">
      <c r="C10" s="4"/>
      <c r="D10" s="3"/>
      <c r="E10" s="2"/>
      <c r="I10"/>
      <c r="V10" t="s">
        <v>38</v>
      </c>
      <c r="W10" t="s">
        <v>39</v>
      </c>
    </row>
    <row r="11" spans="1:23" ht="19" x14ac:dyDescent="0.25">
      <c r="C11" s="32">
        <v>10</v>
      </c>
      <c r="D11" s="32">
        <v>95</v>
      </c>
      <c r="E11" s="32">
        <v>2.5</v>
      </c>
      <c r="F11" s="32">
        <v>4</v>
      </c>
      <c r="G11" s="32">
        <v>30</v>
      </c>
      <c r="H11" s="32">
        <v>0</v>
      </c>
      <c r="I11"/>
      <c r="J11" s="34">
        <f>IF(T11="System is Unstable","",60*K11/$R$11)</f>
        <v>58.61931489090346</v>
      </c>
      <c r="K11" s="34">
        <f>IF(T11="System is Unstable","",SUMPRODUCT(J23:J2023,H23:H2023)+SUMPRODUCT($I$23:$I$2023,$H$23:$H$2023))</f>
        <v>92.813915243930495</v>
      </c>
      <c r="L11" s="34">
        <f>IF(T11="System is Unstable","",SUMPRODUCT(J23:J2023,H23:H2023))</f>
        <v>83.586629802613146</v>
      </c>
      <c r="M11" s="34">
        <f>IF(T11="System is Unstable","",SUMPRODUCT(H23:H2023,M23:M2023))</f>
        <v>0.87985927801380259</v>
      </c>
      <c r="N11" s="34">
        <f>IF(T11="System is Unstable","",1-SUMPRODUCT($N$23:$N$2023,$H$23:$H$2023))</f>
        <v>0.58486513842511523</v>
      </c>
      <c r="O11" s="34">
        <f>IF(T11="System is Unstable","",L11/M11)</f>
        <v>94.999998171641607</v>
      </c>
      <c r="P11" s="34">
        <f>IF(T11="System is Unstable","",F11/E11*G11)</f>
        <v>48</v>
      </c>
      <c r="Q11" s="34">
        <f>IF(T11="System is Unstable","",SUMPRODUCT(I23:I2023,H23:H2023))</f>
        <v>9.2272854413173526</v>
      </c>
      <c r="R11" s="34">
        <f>SUMPRODUCT(H23:H2023,L23:L2023)</f>
        <v>95.000000000000014</v>
      </c>
      <c r="S11" s="34">
        <f>IF(T11="System is Unstable","",SUM(K23:K2023))</f>
        <v>2.3011401466054404E-2</v>
      </c>
      <c r="T11" s="35" t="str">
        <f>IFERROR(IF(R11&gt;=F11*60/E11, "System is Unstable", "System is Stable"),"System is Unstable")</f>
        <v>System is Stable</v>
      </c>
      <c r="U11" s="35"/>
      <c r="V11">
        <f>60/E11*F11</f>
        <v>96</v>
      </c>
      <c r="W11">
        <f>CalcInput*(1-H11)</f>
        <v>10</v>
      </c>
    </row>
    <row r="12" spans="1:23" ht="6" customHeight="1" thickBot="1" x14ac:dyDescent="0.25">
      <c r="C12" s="30"/>
      <c r="D12" s="29"/>
      <c r="E12" s="30"/>
      <c r="F12" s="33"/>
      <c r="G12" s="33"/>
      <c r="H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9"/>
    </row>
    <row r="13" spans="1:23" ht="6" customHeight="1" thickTop="1" x14ac:dyDescent="0.2">
      <c r="C13" s="3"/>
      <c r="D13" s="4"/>
      <c r="E13" s="3"/>
      <c r="F13" s="2"/>
      <c r="G13" s="2"/>
    </row>
    <row r="14" spans="1:23" x14ac:dyDescent="0.2">
      <c r="A14" s="12" t="s">
        <v>26</v>
      </c>
      <c r="D14" s="4"/>
      <c r="E14" s="3"/>
      <c r="F14" s="2"/>
    </row>
    <row r="15" spans="1:23" ht="21" x14ac:dyDescent="0.25">
      <c r="A15" s="38">
        <f>F11+C11</f>
        <v>14</v>
      </c>
      <c r="C15" s="46" t="s">
        <v>36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  <c r="O16" s="19"/>
      <c r="P16" s="19"/>
    </row>
    <row r="17" spans="1:16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  <c r="O17" s="19"/>
      <c r="P17" s="19"/>
    </row>
    <row r="18" spans="1:16" ht="75" x14ac:dyDescent="0.2">
      <c r="D18" s="41" t="s">
        <v>27</v>
      </c>
      <c r="E18" s="42" t="s">
        <v>29</v>
      </c>
      <c r="F18" s="42" t="s">
        <v>47</v>
      </c>
      <c r="G18" s="41" t="s">
        <v>30</v>
      </c>
      <c r="H18" s="41" t="s">
        <v>28</v>
      </c>
      <c r="I18" s="41" t="s">
        <v>31</v>
      </c>
      <c r="J18" s="41" t="s">
        <v>32</v>
      </c>
      <c r="K18" s="43" t="s">
        <v>33</v>
      </c>
      <c r="L18" s="41" t="s">
        <v>34</v>
      </c>
      <c r="M18" s="41" t="s">
        <v>35</v>
      </c>
      <c r="N18" s="41" t="s">
        <v>40</v>
      </c>
      <c r="O18" s="41"/>
      <c r="P18" s="41"/>
    </row>
    <row r="19" spans="1:16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  <c r="O19" s="19"/>
      <c r="P19" s="19"/>
    </row>
    <row r="20" spans="1:16" ht="6" customHeight="1" x14ac:dyDescent="0.2">
      <c r="D20"/>
      <c r="E20" s="1"/>
      <c r="F20" s="1"/>
      <c r="I20"/>
      <c r="K20" s="5"/>
    </row>
    <row r="21" spans="1:16" s="10" customFormat="1" x14ac:dyDescent="0.2">
      <c r="A21" s="38"/>
      <c r="B21" s="38"/>
      <c r="C21" s="10" t="s">
        <v>37</v>
      </c>
      <c r="E21" s="51">
        <f>MAX(E23:E2023)</f>
        <v>2.3357097145297301</v>
      </c>
      <c r="F21" s="51"/>
      <c r="G21" s="52">
        <f>SUM(G23:G2023)</f>
        <v>97.237572745302543</v>
      </c>
      <c r="H21" s="52">
        <f>SUM(H23:H2023)</f>
        <v>0.99999999999999833</v>
      </c>
      <c r="I21" s="51"/>
      <c r="J21" s="51"/>
      <c r="K21" s="51"/>
      <c r="L21" s="51"/>
      <c r="M21" s="51"/>
      <c r="N21" s="51"/>
      <c r="O21" s="51"/>
      <c r="P21" s="51"/>
    </row>
    <row r="22" spans="1:16" ht="6" customHeight="1" x14ac:dyDescent="0.2">
      <c r="D22"/>
      <c r="E22" s="1"/>
      <c r="F22" s="1"/>
      <c r="I22"/>
      <c r="K22" s="5"/>
    </row>
    <row r="23" spans="1:16" x14ac:dyDescent="0.2">
      <c r="D23">
        <v>0</v>
      </c>
      <c r="E23" s="1">
        <f>0</f>
        <v>0</v>
      </c>
      <c r="F23" s="1">
        <f>E23-$E$21</f>
        <v>-2.3357097145297301</v>
      </c>
      <c r="G23" s="1">
        <f>EXP(F23)</f>
        <v>9.6741799096078204E-2</v>
      </c>
      <c r="H23" s="1">
        <f t="shared" ref="H23:H86" si="0">G23/$G$21</f>
        <v>9.9490141891424083E-4</v>
      </c>
      <c r="I23">
        <f t="shared" ref="I23:I86" si="1">IF($F$11&lt;=D23, IF(D23&lt;=$A$15,D23-$F$11,$C$11),0)</f>
        <v>0</v>
      </c>
      <c r="J23">
        <f t="shared" ref="J23:J86" si="2">IF(D23&lt;=$A$15,0,D23-$A$15)</f>
        <v>0</v>
      </c>
      <c r="K23" s="5">
        <f t="shared" ref="K23:K86" si="3">IF(D23&lt;$F$11,H23,0)</f>
        <v>9.9490141891424083E-4</v>
      </c>
      <c r="L23">
        <f t="shared" ref="L23:L86" si="4">IF(D23&lt;$A$15,$D$11,$D$11*(1-$H$11))</f>
        <v>95</v>
      </c>
      <c r="M23">
        <f t="shared" ref="M23:M86" si="5">IF(D23&lt;$A$15,0,1)</f>
        <v>0</v>
      </c>
      <c r="N23">
        <f t="shared" ref="N23:N86" si="6">IF(SUM(I23:J23)&lt;=($G$11/60*$F$11/($E$11/60)),1,0)</f>
        <v>1</v>
      </c>
    </row>
    <row r="24" spans="1:16" x14ac:dyDescent="0.2">
      <c r="D24">
        <f>1+D23</f>
        <v>1</v>
      </c>
      <c r="E24" s="1">
        <f>IF($H$11=1,
IF(D24&lt;=$A$15,
E23+LN($D$11)-LN(60/$E$11)-LN(MIN(D24,$F$11)),
E23-LN(60/$E$11)-LN(MIN(D24,$F$11))),
 IF(D24&lt;=$A$15,
E23+LN($D$11)-LN(60/$E$11)-LN(MIN(D24,$F$11)),
E23+LN($D$11)+LN(1-$H$11)-LN(60/$E$11)-LN(MIN(D24,$F$11))))</f>
        <v>1.375823061252595</v>
      </c>
      <c r="F24" s="1">
        <f>E24-$E$21</f>
        <v>-0.95988665327713507</v>
      </c>
      <c r="G24" s="1">
        <f t="shared" ref="G24:G87" si="7">EXP(F24)</f>
        <v>0.38293628808864277</v>
      </c>
      <c r="H24" s="1">
        <f t="shared" si="0"/>
        <v>3.9381514498688687E-3</v>
      </c>
      <c r="I24">
        <f t="shared" si="1"/>
        <v>0</v>
      </c>
      <c r="J24">
        <f t="shared" si="2"/>
        <v>0</v>
      </c>
      <c r="K24" s="5">
        <f t="shared" si="3"/>
        <v>3.9381514498688687E-3</v>
      </c>
      <c r="L24">
        <f t="shared" si="4"/>
        <v>95</v>
      </c>
      <c r="M24">
        <f t="shared" si="5"/>
        <v>0</v>
      </c>
      <c r="N24">
        <f t="shared" si="6"/>
        <v>1</v>
      </c>
    </row>
    <row r="25" spans="1:16" x14ac:dyDescent="0.2">
      <c r="D25">
        <f t="shared" ref="D25:D88" si="8">1+D24</f>
        <v>2</v>
      </c>
      <c r="E25" s="1">
        <f t="shared" ref="E25:E88" si="9">IF($H$11=1,IF(D25&lt;=$A$15, E24+LN($D$11)-LN(60/$E$11)-LN(MIN(D25,$F$11)), E24-LN(60/$E$11)-LN(MIN(D25,$F$11))), IF(D25&lt;=$A$15, E24+LN($D$11)-LN(60/$E$11)-LN(MIN(D25,$F$11)), E24+LN($D$11)+LN(1-$H$11)-LN(60/$E$11)-LN(MIN(D25,$F$11))))</f>
        <v>2.0584989419452451</v>
      </c>
      <c r="F25" s="1">
        <f t="shared" ref="F25:F88" si="10">E25-$E$21</f>
        <v>-0.27721077258448501</v>
      </c>
      <c r="G25" s="1">
        <f t="shared" si="7"/>
        <v>0.75789473684210562</v>
      </c>
      <c r="H25" s="1">
        <f t="shared" si="0"/>
        <v>7.7942580778654702E-3</v>
      </c>
      <c r="I25">
        <f t="shared" si="1"/>
        <v>0</v>
      </c>
      <c r="J25">
        <f t="shared" si="2"/>
        <v>0</v>
      </c>
      <c r="K25" s="5">
        <f t="shared" si="3"/>
        <v>7.7942580778654702E-3</v>
      </c>
      <c r="L25">
        <f t="shared" si="4"/>
        <v>95</v>
      </c>
      <c r="M25">
        <f t="shared" si="5"/>
        <v>0</v>
      </c>
      <c r="N25">
        <f t="shared" si="6"/>
        <v>1</v>
      </c>
    </row>
    <row r="26" spans="1:16" x14ac:dyDescent="0.2">
      <c r="D26">
        <f t="shared" si="8"/>
        <v>3</v>
      </c>
      <c r="E26" s="1">
        <f t="shared" si="9"/>
        <v>2.3357097145297301</v>
      </c>
      <c r="F26" s="1">
        <f t="shared" si="10"/>
        <v>0</v>
      </c>
      <c r="G26" s="1">
        <f t="shared" si="7"/>
        <v>1</v>
      </c>
      <c r="H26" s="1">
        <f t="shared" si="0"/>
        <v>1.0284090519405823E-2</v>
      </c>
      <c r="I26">
        <f t="shared" si="1"/>
        <v>0</v>
      </c>
      <c r="J26">
        <f t="shared" si="2"/>
        <v>0</v>
      </c>
      <c r="K26" s="5">
        <f t="shared" si="3"/>
        <v>1.0284090519405823E-2</v>
      </c>
      <c r="L26">
        <f t="shared" si="4"/>
        <v>95</v>
      </c>
      <c r="M26">
        <f t="shared" si="5"/>
        <v>0</v>
      </c>
      <c r="N26">
        <f t="shared" si="6"/>
        <v>1</v>
      </c>
    </row>
    <row r="27" spans="1:16" x14ac:dyDescent="0.2">
      <c r="D27">
        <f t="shared" si="8"/>
        <v>4</v>
      </c>
      <c r="E27" s="1">
        <f t="shared" si="9"/>
        <v>2.3252384146624347</v>
      </c>
      <c r="F27" s="1">
        <f t="shared" si="10"/>
        <v>-1.0471299867295336E-2</v>
      </c>
      <c r="G27" s="1">
        <f t="shared" si="7"/>
        <v>0.98958333333333337</v>
      </c>
      <c r="H27" s="1">
        <f t="shared" si="0"/>
        <v>1.0176964576495346E-2</v>
      </c>
      <c r="I27">
        <f t="shared" si="1"/>
        <v>0</v>
      </c>
      <c r="J27">
        <f t="shared" si="2"/>
        <v>0</v>
      </c>
      <c r="K27" s="5">
        <f t="shared" si="3"/>
        <v>0</v>
      </c>
      <c r="L27">
        <f t="shared" si="4"/>
        <v>95</v>
      </c>
      <c r="M27">
        <f t="shared" si="5"/>
        <v>0</v>
      </c>
      <c r="N27">
        <f t="shared" si="6"/>
        <v>1</v>
      </c>
    </row>
    <row r="28" spans="1:16" x14ac:dyDescent="0.2">
      <c r="D28">
        <f t="shared" si="8"/>
        <v>5</v>
      </c>
      <c r="E28" s="1">
        <f t="shared" si="9"/>
        <v>2.3147671147951394</v>
      </c>
      <c r="F28" s="1">
        <f t="shared" si="10"/>
        <v>-2.0942599734590672E-2</v>
      </c>
      <c r="G28" s="1">
        <f t="shared" si="7"/>
        <v>0.97927517361111127</v>
      </c>
      <c r="H28" s="1">
        <f t="shared" si="0"/>
        <v>1.0070954528823521E-2</v>
      </c>
      <c r="I28">
        <f t="shared" si="1"/>
        <v>1</v>
      </c>
      <c r="J28">
        <f t="shared" si="2"/>
        <v>0</v>
      </c>
      <c r="K28" s="5">
        <f t="shared" si="3"/>
        <v>0</v>
      </c>
      <c r="L28">
        <f t="shared" si="4"/>
        <v>95</v>
      </c>
      <c r="M28">
        <f t="shared" si="5"/>
        <v>0</v>
      </c>
      <c r="N28">
        <f t="shared" si="6"/>
        <v>1</v>
      </c>
    </row>
    <row r="29" spans="1:16" x14ac:dyDescent="0.2">
      <c r="D29">
        <f t="shared" si="8"/>
        <v>6</v>
      </c>
      <c r="E29" s="1">
        <f t="shared" si="9"/>
        <v>2.3042958149278441</v>
      </c>
      <c r="F29" s="1">
        <f t="shared" si="10"/>
        <v>-3.1413899601886008E-2</v>
      </c>
      <c r="G29" s="1">
        <f t="shared" si="7"/>
        <v>0.9690743905526622</v>
      </c>
      <c r="H29" s="1">
        <f t="shared" si="0"/>
        <v>9.9660487524816099E-3</v>
      </c>
      <c r="I29">
        <f t="shared" si="1"/>
        <v>2</v>
      </c>
      <c r="J29">
        <f t="shared" si="2"/>
        <v>0</v>
      </c>
      <c r="K29" s="5">
        <f t="shared" si="3"/>
        <v>0</v>
      </c>
      <c r="L29">
        <f t="shared" si="4"/>
        <v>95</v>
      </c>
      <c r="M29">
        <f t="shared" si="5"/>
        <v>0</v>
      </c>
      <c r="N29">
        <f t="shared" si="6"/>
        <v>1</v>
      </c>
    </row>
    <row r="30" spans="1:16" x14ac:dyDescent="0.2">
      <c r="D30">
        <f t="shared" si="8"/>
        <v>7</v>
      </c>
      <c r="E30" s="1">
        <f t="shared" si="9"/>
        <v>2.2938245150605487</v>
      </c>
      <c r="F30" s="1">
        <f t="shared" si="10"/>
        <v>-4.1885199469181345E-2</v>
      </c>
      <c r="G30" s="1">
        <f t="shared" si="7"/>
        <v>0.95897986565107207</v>
      </c>
      <c r="H30" s="1">
        <f t="shared" si="0"/>
        <v>9.8622357446432607E-3</v>
      </c>
      <c r="I30">
        <f t="shared" si="1"/>
        <v>3</v>
      </c>
      <c r="J30">
        <f t="shared" si="2"/>
        <v>0</v>
      </c>
      <c r="K30" s="5">
        <f t="shared" si="3"/>
        <v>0</v>
      </c>
      <c r="L30">
        <f t="shared" si="4"/>
        <v>95</v>
      </c>
      <c r="M30">
        <f t="shared" si="5"/>
        <v>0</v>
      </c>
      <c r="N30">
        <f t="shared" si="6"/>
        <v>1</v>
      </c>
    </row>
    <row r="31" spans="1:16" x14ac:dyDescent="0.2">
      <c r="D31">
        <f t="shared" si="8"/>
        <v>8</v>
      </c>
      <c r="E31" s="1">
        <f t="shared" si="9"/>
        <v>2.2833532151932534</v>
      </c>
      <c r="F31" s="1">
        <f t="shared" si="10"/>
        <v>-5.2356499336476681E-2</v>
      </c>
      <c r="G31" s="1">
        <f t="shared" si="7"/>
        <v>0.94899049205054009</v>
      </c>
      <c r="H31" s="1">
        <f t="shared" si="0"/>
        <v>9.759504122303227E-3</v>
      </c>
      <c r="I31">
        <f t="shared" si="1"/>
        <v>4</v>
      </c>
      <c r="J31">
        <f t="shared" si="2"/>
        <v>0</v>
      </c>
      <c r="K31" s="5">
        <f t="shared" si="3"/>
        <v>0</v>
      </c>
      <c r="L31">
        <f t="shared" si="4"/>
        <v>95</v>
      </c>
      <c r="M31">
        <f t="shared" si="5"/>
        <v>0</v>
      </c>
      <c r="N31">
        <f t="shared" si="6"/>
        <v>1</v>
      </c>
    </row>
    <row r="32" spans="1:16" x14ac:dyDescent="0.2">
      <c r="D32">
        <f t="shared" si="8"/>
        <v>9</v>
      </c>
      <c r="E32" s="1">
        <f t="shared" si="9"/>
        <v>2.2728819153259581</v>
      </c>
      <c r="F32" s="1">
        <f t="shared" si="10"/>
        <v>-6.2827799203772017E-2</v>
      </c>
      <c r="G32" s="1">
        <f t="shared" si="7"/>
        <v>0.93910517442501373</v>
      </c>
      <c r="H32" s="1">
        <f t="shared" si="0"/>
        <v>9.6578426210292365E-3</v>
      </c>
      <c r="I32">
        <f t="shared" si="1"/>
        <v>5</v>
      </c>
      <c r="J32">
        <f t="shared" si="2"/>
        <v>0</v>
      </c>
      <c r="K32" s="5">
        <f t="shared" si="3"/>
        <v>0</v>
      </c>
      <c r="L32">
        <f t="shared" si="4"/>
        <v>95</v>
      </c>
      <c r="M32">
        <f t="shared" si="5"/>
        <v>0</v>
      </c>
      <c r="N32">
        <f t="shared" si="6"/>
        <v>1</v>
      </c>
    </row>
    <row r="33" spans="4:14" x14ac:dyDescent="0.2">
      <c r="D33">
        <f t="shared" si="8"/>
        <v>10</v>
      </c>
      <c r="E33" s="1">
        <f t="shared" si="9"/>
        <v>2.2624106154586627</v>
      </c>
      <c r="F33" s="1">
        <f t="shared" si="10"/>
        <v>-7.3299099071067353E-2</v>
      </c>
      <c r="G33" s="1">
        <f t="shared" si="7"/>
        <v>0.92932282885808659</v>
      </c>
      <c r="H33" s="1">
        <f t="shared" si="0"/>
        <v>9.557240093726849E-3</v>
      </c>
      <c r="I33">
        <f t="shared" si="1"/>
        <v>6</v>
      </c>
      <c r="J33">
        <f t="shared" si="2"/>
        <v>0</v>
      </c>
      <c r="K33" s="5">
        <f t="shared" si="3"/>
        <v>0</v>
      </c>
      <c r="L33">
        <f t="shared" si="4"/>
        <v>95</v>
      </c>
      <c r="M33">
        <f t="shared" si="5"/>
        <v>0</v>
      </c>
      <c r="N33">
        <f t="shared" si="6"/>
        <v>1</v>
      </c>
    </row>
    <row r="34" spans="4:14" x14ac:dyDescent="0.2">
      <c r="D34">
        <f t="shared" si="8"/>
        <v>11</v>
      </c>
      <c r="E34" s="1">
        <f t="shared" si="9"/>
        <v>2.2519393155913674</v>
      </c>
      <c r="F34" s="1">
        <f t="shared" si="10"/>
        <v>-8.3770398938362689E-2</v>
      </c>
      <c r="G34" s="1">
        <f t="shared" si="7"/>
        <v>0.91964238272414822</v>
      </c>
      <c r="H34" s="1">
        <f t="shared" si="0"/>
        <v>9.4576855094171946E-3</v>
      </c>
      <c r="I34">
        <f t="shared" si="1"/>
        <v>7</v>
      </c>
      <c r="J34">
        <f t="shared" si="2"/>
        <v>0</v>
      </c>
      <c r="K34" s="5">
        <f t="shared" si="3"/>
        <v>0</v>
      </c>
      <c r="L34">
        <f t="shared" si="4"/>
        <v>95</v>
      </c>
      <c r="M34">
        <f t="shared" si="5"/>
        <v>0</v>
      </c>
      <c r="N34">
        <f t="shared" si="6"/>
        <v>1</v>
      </c>
    </row>
    <row r="35" spans="4:14" x14ac:dyDescent="0.2">
      <c r="D35">
        <f t="shared" si="8"/>
        <v>12</v>
      </c>
      <c r="E35" s="1">
        <f t="shared" si="9"/>
        <v>2.2414680157240721</v>
      </c>
      <c r="F35" s="1">
        <f t="shared" si="10"/>
        <v>-9.4241698805658025E-2</v>
      </c>
      <c r="G35" s="1">
        <f t="shared" si="7"/>
        <v>0.91006277457077178</v>
      </c>
      <c r="H35" s="1">
        <f t="shared" si="0"/>
        <v>9.3591679520274342E-3</v>
      </c>
      <c r="I35">
        <f t="shared" si="1"/>
        <v>8</v>
      </c>
      <c r="J35">
        <f t="shared" si="2"/>
        <v>0</v>
      </c>
      <c r="K35" s="5">
        <f t="shared" si="3"/>
        <v>0</v>
      </c>
      <c r="L35">
        <f t="shared" si="4"/>
        <v>95</v>
      </c>
      <c r="M35">
        <f t="shared" si="5"/>
        <v>0</v>
      </c>
      <c r="N35">
        <f t="shared" si="6"/>
        <v>1</v>
      </c>
    </row>
    <row r="36" spans="4:14" x14ac:dyDescent="0.2">
      <c r="D36">
        <f t="shared" si="8"/>
        <v>13</v>
      </c>
      <c r="E36" s="1">
        <f t="shared" si="9"/>
        <v>2.2309967158567767</v>
      </c>
      <c r="F36" s="1">
        <f t="shared" si="10"/>
        <v>-0.10471299867295336</v>
      </c>
      <c r="G36" s="1">
        <f t="shared" si="7"/>
        <v>0.90058295400232624</v>
      </c>
      <c r="H36" s="1">
        <f t="shared" si="0"/>
        <v>9.2616766191938142E-3</v>
      </c>
      <c r="I36">
        <f t="shared" si="1"/>
        <v>9</v>
      </c>
      <c r="J36">
        <f t="shared" si="2"/>
        <v>0</v>
      </c>
      <c r="K36" s="5">
        <f t="shared" si="3"/>
        <v>0</v>
      </c>
      <c r="L36">
        <f t="shared" si="4"/>
        <v>95</v>
      </c>
      <c r="M36">
        <f t="shared" si="5"/>
        <v>0</v>
      </c>
      <c r="N36">
        <f t="shared" si="6"/>
        <v>1</v>
      </c>
    </row>
    <row r="37" spans="4:14" x14ac:dyDescent="0.2">
      <c r="D37">
        <f t="shared" si="8"/>
        <v>14</v>
      </c>
      <c r="E37" s="1">
        <f t="shared" si="9"/>
        <v>2.2205254159894814</v>
      </c>
      <c r="F37" s="1">
        <f t="shared" si="10"/>
        <v>-0.1151842985402487</v>
      </c>
      <c r="G37" s="1">
        <f t="shared" si="7"/>
        <v>0.89120188156480207</v>
      </c>
      <c r="H37" s="1">
        <f t="shared" si="0"/>
        <v>9.1652008210772132E-3</v>
      </c>
      <c r="I37">
        <f t="shared" si="1"/>
        <v>10</v>
      </c>
      <c r="J37">
        <f t="shared" si="2"/>
        <v>0</v>
      </c>
      <c r="K37" s="5">
        <f t="shared" si="3"/>
        <v>0</v>
      </c>
      <c r="L37">
        <f t="shared" si="4"/>
        <v>95</v>
      </c>
      <c r="M37">
        <f t="shared" si="5"/>
        <v>1</v>
      </c>
      <c r="N37">
        <f t="shared" si="6"/>
        <v>1</v>
      </c>
    </row>
    <row r="38" spans="4:14" x14ac:dyDescent="0.2">
      <c r="D38">
        <f t="shared" si="8"/>
        <v>15</v>
      </c>
      <c r="E38" s="1">
        <f t="shared" si="9"/>
        <v>2.2100541161221861</v>
      </c>
      <c r="F38" s="1">
        <f t="shared" si="10"/>
        <v>-0.12565559840754403</v>
      </c>
      <c r="G38" s="1">
        <f t="shared" si="7"/>
        <v>0.88191852863183551</v>
      </c>
      <c r="H38" s="1">
        <f t="shared" si="0"/>
        <v>9.0697299791909925E-3</v>
      </c>
      <c r="I38">
        <f t="shared" si="1"/>
        <v>10</v>
      </c>
      <c r="J38">
        <f t="shared" si="2"/>
        <v>1</v>
      </c>
      <c r="K38" s="5">
        <f t="shared" si="3"/>
        <v>0</v>
      </c>
      <c r="L38">
        <f t="shared" si="4"/>
        <v>95</v>
      </c>
      <c r="M38">
        <f t="shared" si="5"/>
        <v>1</v>
      </c>
      <c r="N38">
        <f t="shared" si="6"/>
        <v>1</v>
      </c>
    </row>
    <row r="39" spans="4:14" x14ac:dyDescent="0.2">
      <c r="D39">
        <f t="shared" si="8"/>
        <v>16</v>
      </c>
      <c r="E39" s="1">
        <f t="shared" si="9"/>
        <v>2.1995828162548907</v>
      </c>
      <c r="F39" s="1">
        <f t="shared" si="10"/>
        <v>-0.13612689827483937</v>
      </c>
      <c r="G39" s="1">
        <f t="shared" si="7"/>
        <v>0.87273187729192059</v>
      </c>
      <c r="H39" s="1">
        <f t="shared" si="0"/>
        <v>8.9752536252410871E-3</v>
      </c>
      <c r="I39">
        <f t="shared" si="1"/>
        <v>10</v>
      </c>
      <c r="J39">
        <f t="shared" si="2"/>
        <v>2</v>
      </c>
      <c r="K39" s="5">
        <f t="shared" si="3"/>
        <v>0</v>
      </c>
      <c r="L39">
        <f t="shared" si="4"/>
        <v>95</v>
      </c>
      <c r="M39">
        <f t="shared" si="5"/>
        <v>1</v>
      </c>
      <c r="N39">
        <f t="shared" si="6"/>
        <v>1</v>
      </c>
    </row>
    <row r="40" spans="4:14" x14ac:dyDescent="0.2">
      <c r="D40">
        <f t="shared" si="8"/>
        <v>17</v>
      </c>
      <c r="E40" s="1">
        <f t="shared" si="9"/>
        <v>2.1891115163875954</v>
      </c>
      <c r="F40" s="1">
        <f t="shared" si="10"/>
        <v>-0.14659819814213471</v>
      </c>
      <c r="G40" s="1">
        <f t="shared" si="7"/>
        <v>0.86364092023679651</v>
      </c>
      <c r="H40" s="1">
        <f t="shared" si="0"/>
        <v>8.8817613999781601E-3</v>
      </c>
      <c r="I40">
        <f t="shared" si="1"/>
        <v>10</v>
      </c>
      <c r="J40">
        <f t="shared" si="2"/>
        <v>3</v>
      </c>
      <c r="K40" s="5">
        <f t="shared" si="3"/>
        <v>0</v>
      </c>
      <c r="L40">
        <f t="shared" si="4"/>
        <v>95</v>
      </c>
      <c r="M40">
        <f t="shared" si="5"/>
        <v>1</v>
      </c>
      <c r="N40">
        <f t="shared" si="6"/>
        <v>1</v>
      </c>
    </row>
    <row r="41" spans="4:14" x14ac:dyDescent="0.2">
      <c r="D41">
        <f t="shared" si="8"/>
        <v>18</v>
      </c>
      <c r="E41" s="1">
        <f t="shared" si="9"/>
        <v>2.1786402165203</v>
      </c>
      <c r="F41" s="1">
        <f t="shared" si="10"/>
        <v>-0.15706949800943004</v>
      </c>
      <c r="G41" s="1">
        <f t="shared" si="7"/>
        <v>0.85464466065099653</v>
      </c>
      <c r="H41" s="1">
        <f t="shared" si="0"/>
        <v>8.7892430520617217E-3</v>
      </c>
      <c r="I41">
        <f t="shared" si="1"/>
        <v>10</v>
      </c>
      <c r="J41">
        <f t="shared" si="2"/>
        <v>4</v>
      </c>
      <c r="K41" s="5">
        <f t="shared" si="3"/>
        <v>0</v>
      </c>
      <c r="L41">
        <f t="shared" si="4"/>
        <v>95</v>
      </c>
      <c r="M41">
        <f t="shared" si="5"/>
        <v>1</v>
      </c>
      <c r="N41">
        <f t="shared" si="6"/>
        <v>1</v>
      </c>
    </row>
    <row r="42" spans="4:14" x14ac:dyDescent="0.2">
      <c r="D42">
        <f t="shared" si="8"/>
        <v>19</v>
      </c>
      <c r="E42" s="1">
        <f t="shared" si="9"/>
        <v>2.1681689166530047</v>
      </c>
      <c r="F42" s="1">
        <f t="shared" si="10"/>
        <v>-0.16754079787672538</v>
      </c>
      <c r="G42" s="1">
        <f t="shared" si="7"/>
        <v>0.84574211210254868</v>
      </c>
      <c r="H42" s="1">
        <f t="shared" si="0"/>
        <v>8.6976884369360779E-3</v>
      </c>
      <c r="I42">
        <f t="shared" si="1"/>
        <v>10</v>
      </c>
      <c r="J42">
        <f t="shared" si="2"/>
        <v>5</v>
      </c>
      <c r="K42" s="5">
        <f t="shared" si="3"/>
        <v>0</v>
      </c>
      <c r="L42">
        <f t="shared" si="4"/>
        <v>95</v>
      </c>
      <c r="M42">
        <f t="shared" si="5"/>
        <v>1</v>
      </c>
      <c r="N42">
        <f t="shared" si="6"/>
        <v>1</v>
      </c>
    </row>
    <row r="43" spans="4:14" x14ac:dyDescent="0.2">
      <c r="D43">
        <f t="shared" si="8"/>
        <v>20</v>
      </c>
      <c r="E43" s="1">
        <f t="shared" si="9"/>
        <v>2.1576976167857094</v>
      </c>
      <c r="F43" s="1">
        <f t="shared" si="10"/>
        <v>-0.17801209774402071</v>
      </c>
      <c r="G43" s="1">
        <f t="shared" si="7"/>
        <v>0.83693229843481387</v>
      </c>
      <c r="H43" s="1">
        <f t="shared" si="0"/>
        <v>8.6070875157179955E-3</v>
      </c>
      <c r="I43">
        <f t="shared" si="1"/>
        <v>10</v>
      </c>
      <c r="J43">
        <f t="shared" si="2"/>
        <v>6</v>
      </c>
      <c r="K43" s="5">
        <f t="shared" si="3"/>
        <v>0</v>
      </c>
      <c r="L43">
        <f t="shared" si="4"/>
        <v>95</v>
      </c>
      <c r="M43">
        <f t="shared" si="5"/>
        <v>1</v>
      </c>
      <c r="N43">
        <f t="shared" si="6"/>
        <v>1</v>
      </c>
    </row>
    <row r="44" spans="4:14" x14ac:dyDescent="0.2">
      <c r="D44">
        <f t="shared" si="8"/>
        <v>21</v>
      </c>
      <c r="E44" s="1">
        <f t="shared" si="9"/>
        <v>2.147226316918414</v>
      </c>
      <c r="F44" s="1">
        <f t="shared" si="10"/>
        <v>-0.18848339761131605</v>
      </c>
      <c r="G44" s="1">
        <f t="shared" si="7"/>
        <v>0.82821425365945134</v>
      </c>
      <c r="H44" s="1">
        <f t="shared" si="0"/>
        <v>8.5174303540959343E-3</v>
      </c>
      <c r="I44">
        <f t="shared" si="1"/>
        <v>10</v>
      </c>
      <c r="J44">
        <f t="shared" si="2"/>
        <v>7</v>
      </c>
      <c r="K44" s="5">
        <f t="shared" si="3"/>
        <v>0</v>
      </c>
      <c r="L44">
        <f t="shared" si="4"/>
        <v>95</v>
      </c>
      <c r="M44">
        <f t="shared" si="5"/>
        <v>1</v>
      </c>
      <c r="N44">
        <f t="shared" si="6"/>
        <v>1</v>
      </c>
    </row>
    <row r="45" spans="4:14" x14ac:dyDescent="0.2">
      <c r="D45">
        <f t="shared" si="8"/>
        <v>22</v>
      </c>
      <c r="E45" s="1">
        <f t="shared" si="9"/>
        <v>2.1367550170511187</v>
      </c>
      <c r="F45" s="1">
        <f t="shared" si="10"/>
        <v>-0.19895469747861139</v>
      </c>
      <c r="G45" s="1">
        <f t="shared" si="7"/>
        <v>0.81958702185049881</v>
      </c>
      <c r="H45" s="1">
        <f t="shared" si="0"/>
        <v>8.428707121240768E-3</v>
      </c>
      <c r="I45">
        <f t="shared" si="1"/>
        <v>10</v>
      </c>
      <c r="J45">
        <f t="shared" si="2"/>
        <v>8</v>
      </c>
      <c r="K45" s="5">
        <f t="shared" si="3"/>
        <v>0</v>
      </c>
      <c r="L45">
        <f t="shared" si="4"/>
        <v>95</v>
      </c>
      <c r="M45">
        <f t="shared" si="5"/>
        <v>1</v>
      </c>
      <c r="N45">
        <f t="shared" si="6"/>
        <v>1</v>
      </c>
    </row>
    <row r="46" spans="4:14" x14ac:dyDescent="0.2">
      <c r="D46">
        <f t="shared" si="8"/>
        <v>23</v>
      </c>
      <c r="E46" s="1">
        <f t="shared" si="9"/>
        <v>2.1262837171838234</v>
      </c>
      <c r="F46" s="1">
        <f t="shared" si="10"/>
        <v>-0.20942599734590672</v>
      </c>
      <c r="G46" s="1">
        <f t="shared" si="7"/>
        <v>0.81104965703955612</v>
      </c>
      <c r="H46" s="1">
        <f t="shared" si="0"/>
        <v>8.3409080887278438E-3</v>
      </c>
      <c r="I46">
        <f t="shared" si="1"/>
        <v>10</v>
      </c>
      <c r="J46">
        <f t="shared" si="2"/>
        <v>9</v>
      </c>
      <c r="K46" s="5">
        <f t="shared" si="3"/>
        <v>0</v>
      </c>
      <c r="L46">
        <f t="shared" si="4"/>
        <v>95</v>
      </c>
      <c r="M46">
        <f t="shared" si="5"/>
        <v>1</v>
      </c>
      <c r="N46">
        <f t="shared" si="6"/>
        <v>1</v>
      </c>
    </row>
    <row r="47" spans="4:14" x14ac:dyDescent="0.2">
      <c r="D47">
        <f t="shared" si="8"/>
        <v>24</v>
      </c>
      <c r="E47" s="1">
        <f t="shared" si="9"/>
        <v>2.115812417316528</v>
      </c>
      <c r="F47" s="1">
        <f t="shared" si="10"/>
        <v>-0.21989729721320206</v>
      </c>
      <c r="G47" s="1">
        <f t="shared" si="7"/>
        <v>0.80260122311206084</v>
      </c>
      <c r="H47" s="1">
        <f t="shared" si="0"/>
        <v>8.2540236294702633E-3</v>
      </c>
      <c r="I47">
        <f t="shared" si="1"/>
        <v>10</v>
      </c>
      <c r="J47">
        <f t="shared" si="2"/>
        <v>10</v>
      </c>
      <c r="K47" s="5">
        <f t="shared" si="3"/>
        <v>0</v>
      </c>
      <c r="L47">
        <f t="shared" si="4"/>
        <v>95</v>
      </c>
      <c r="M47">
        <f t="shared" si="5"/>
        <v>1</v>
      </c>
      <c r="N47">
        <f t="shared" si="6"/>
        <v>1</v>
      </c>
    </row>
    <row r="48" spans="4:14" x14ac:dyDescent="0.2">
      <c r="D48">
        <f t="shared" si="8"/>
        <v>25</v>
      </c>
      <c r="E48" s="1">
        <f t="shared" si="9"/>
        <v>2.1053411174492327</v>
      </c>
      <c r="F48" s="1">
        <f t="shared" si="10"/>
        <v>-0.23036859708049739</v>
      </c>
      <c r="G48" s="1">
        <f t="shared" si="7"/>
        <v>0.79424079370464351</v>
      </c>
      <c r="H48" s="1">
        <f t="shared" si="0"/>
        <v>8.1680442166632804E-3</v>
      </c>
      <c r="I48">
        <f t="shared" si="1"/>
        <v>10</v>
      </c>
      <c r="J48">
        <f t="shared" si="2"/>
        <v>11</v>
      </c>
      <c r="K48" s="5">
        <f t="shared" si="3"/>
        <v>0</v>
      </c>
      <c r="L48">
        <f t="shared" si="4"/>
        <v>95</v>
      </c>
      <c r="M48">
        <f t="shared" si="5"/>
        <v>1</v>
      </c>
      <c r="N48">
        <f t="shared" si="6"/>
        <v>1</v>
      </c>
    </row>
    <row r="49" spans="4:14" x14ac:dyDescent="0.2">
      <c r="D49">
        <f t="shared" si="8"/>
        <v>26</v>
      </c>
      <c r="E49" s="1">
        <f t="shared" si="9"/>
        <v>2.0948698175819374</v>
      </c>
      <c r="F49" s="1">
        <f t="shared" si="10"/>
        <v>-0.24083989694779273</v>
      </c>
      <c r="G49" s="1">
        <f t="shared" si="7"/>
        <v>0.78596745210355357</v>
      </c>
      <c r="H49" s="1">
        <f t="shared" si="0"/>
        <v>8.0829604227397062E-3</v>
      </c>
      <c r="I49">
        <f t="shared" si="1"/>
        <v>10</v>
      </c>
      <c r="J49">
        <f t="shared" si="2"/>
        <v>12</v>
      </c>
      <c r="K49" s="5">
        <f t="shared" si="3"/>
        <v>0</v>
      </c>
      <c r="L49">
        <f t="shared" si="4"/>
        <v>95</v>
      </c>
      <c r="M49">
        <f t="shared" si="5"/>
        <v>1</v>
      </c>
      <c r="N49">
        <f t="shared" si="6"/>
        <v>1</v>
      </c>
    </row>
    <row r="50" spans="4:14" x14ac:dyDescent="0.2">
      <c r="D50">
        <f t="shared" si="8"/>
        <v>27</v>
      </c>
      <c r="E50" s="1">
        <f t="shared" si="9"/>
        <v>2.084398517714642</v>
      </c>
      <c r="F50" s="1">
        <f t="shared" si="10"/>
        <v>-0.25131119681508807</v>
      </c>
      <c r="G50" s="1">
        <f t="shared" si="7"/>
        <v>0.7777802911441416</v>
      </c>
      <c r="H50" s="1">
        <f t="shared" si="0"/>
        <v>7.9987629183361688E-3</v>
      </c>
      <c r="I50">
        <f t="shared" si="1"/>
        <v>10</v>
      </c>
      <c r="J50">
        <f t="shared" si="2"/>
        <v>13</v>
      </c>
      <c r="K50" s="5">
        <f t="shared" si="3"/>
        <v>0</v>
      </c>
      <c r="L50">
        <f t="shared" si="4"/>
        <v>95</v>
      </c>
      <c r="M50">
        <f t="shared" si="5"/>
        <v>1</v>
      </c>
      <c r="N50">
        <f t="shared" si="6"/>
        <v>1</v>
      </c>
    </row>
    <row r="51" spans="4:14" x14ac:dyDescent="0.2">
      <c r="D51">
        <f t="shared" si="8"/>
        <v>28</v>
      </c>
      <c r="E51" s="1">
        <f t="shared" si="9"/>
        <v>2.0739272178473467</v>
      </c>
      <c r="F51" s="1">
        <f t="shared" si="10"/>
        <v>-0.2617824966823834</v>
      </c>
      <c r="G51" s="1">
        <f t="shared" si="7"/>
        <v>0.76967841311139018</v>
      </c>
      <c r="H51" s="1">
        <f t="shared" si="0"/>
        <v>7.915442471270167E-3</v>
      </c>
      <c r="I51">
        <f t="shared" si="1"/>
        <v>10</v>
      </c>
      <c r="J51">
        <f t="shared" si="2"/>
        <v>14</v>
      </c>
      <c r="K51" s="5">
        <f t="shared" si="3"/>
        <v>0</v>
      </c>
      <c r="L51">
        <f t="shared" si="4"/>
        <v>95</v>
      </c>
      <c r="M51">
        <f t="shared" si="5"/>
        <v>1</v>
      </c>
      <c r="N51">
        <f t="shared" si="6"/>
        <v>1</v>
      </c>
    </row>
    <row r="52" spans="4:14" x14ac:dyDescent="0.2">
      <c r="D52">
        <f t="shared" si="8"/>
        <v>29</v>
      </c>
      <c r="E52" s="1">
        <f t="shared" si="9"/>
        <v>2.0634559179800513</v>
      </c>
      <c r="F52" s="1">
        <f t="shared" si="10"/>
        <v>-0.27225379654967874</v>
      </c>
      <c r="G52" s="1">
        <f t="shared" si="7"/>
        <v>0.76166092964147991</v>
      </c>
      <c r="H52" s="1">
        <f t="shared" si="0"/>
        <v>7.8329899455277692E-3</v>
      </c>
      <c r="I52">
        <f t="shared" si="1"/>
        <v>10</v>
      </c>
      <c r="J52">
        <f t="shared" si="2"/>
        <v>15</v>
      </c>
      <c r="K52" s="5">
        <f t="shared" si="3"/>
        <v>0</v>
      </c>
      <c r="L52">
        <f t="shared" si="4"/>
        <v>95</v>
      </c>
      <c r="M52">
        <f t="shared" si="5"/>
        <v>1</v>
      </c>
      <c r="N52">
        <f t="shared" si="6"/>
        <v>1</v>
      </c>
    </row>
    <row r="53" spans="4:14" x14ac:dyDescent="0.2">
      <c r="D53">
        <f t="shared" si="8"/>
        <v>30</v>
      </c>
      <c r="E53" s="1">
        <f t="shared" si="9"/>
        <v>2.052984618112756</v>
      </c>
      <c r="F53" s="1">
        <f t="shared" si="10"/>
        <v>-0.28272509641697408</v>
      </c>
      <c r="G53" s="1">
        <f t="shared" si="7"/>
        <v>0.75372696162438124</v>
      </c>
      <c r="H53" s="1">
        <f t="shared" si="0"/>
        <v>7.751396300261856E-3</v>
      </c>
      <c r="I53">
        <f t="shared" si="1"/>
        <v>10</v>
      </c>
      <c r="J53">
        <f t="shared" si="2"/>
        <v>16</v>
      </c>
      <c r="K53" s="5">
        <f t="shared" si="3"/>
        <v>0</v>
      </c>
      <c r="L53">
        <f t="shared" si="4"/>
        <v>95</v>
      </c>
      <c r="M53">
        <f t="shared" si="5"/>
        <v>1</v>
      </c>
      <c r="N53">
        <f t="shared" si="6"/>
        <v>1</v>
      </c>
    </row>
    <row r="54" spans="4:14" x14ac:dyDescent="0.2">
      <c r="D54">
        <f t="shared" si="8"/>
        <v>31</v>
      </c>
      <c r="E54" s="1">
        <f t="shared" si="9"/>
        <v>2.0425133182454607</v>
      </c>
      <c r="F54" s="1">
        <f t="shared" si="10"/>
        <v>-0.29319639628426941</v>
      </c>
      <c r="G54" s="1">
        <f t="shared" si="7"/>
        <v>0.74587563910746058</v>
      </c>
      <c r="H54" s="1">
        <f t="shared" si="0"/>
        <v>7.6706525888007946E-3</v>
      </c>
      <c r="I54">
        <f t="shared" si="1"/>
        <v>10</v>
      </c>
      <c r="J54">
        <f t="shared" si="2"/>
        <v>17</v>
      </c>
      <c r="K54" s="5">
        <f t="shared" si="3"/>
        <v>0</v>
      </c>
      <c r="L54">
        <f t="shared" si="4"/>
        <v>95</v>
      </c>
      <c r="M54">
        <f t="shared" si="5"/>
        <v>1</v>
      </c>
      <c r="N54">
        <f t="shared" si="6"/>
        <v>1</v>
      </c>
    </row>
    <row r="55" spans="4:14" x14ac:dyDescent="0.2">
      <c r="D55">
        <f t="shared" si="8"/>
        <v>32</v>
      </c>
      <c r="E55" s="1">
        <f t="shared" si="9"/>
        <v>2.0320420183781653</v>
      </c>
      <c r="F55" s="1">
        <f t="shared" si="10"/>
        <v>-0.30366769615156475</v>
      </c>
      <c r="G55" s="1">
        <f t="shared" si="7"/>
        <v>0.73810610120009135</v>
      </c>
      <c r="H55" s="1">
        <f t="shared" si="0"/>
        <v>7.5907499576674548E-3</v>
      </c>
      <c r="I55">
        <f t="shared" si="1"/>
        <v>10</v>
      </c>
      <c r="J55">
        <f t="shared" si="2"/>
        <v>18</v>
      </c>
      <c r="K55" s="5">
        <f t="shared" si="3"/>
        <v>0</v>
      </c>
      <c r="L55">
        <f t="shared" si="4"/>
        <v>95</v>
      </c>
      <c r="M55">
        <f t="shared" si="5"/>
        <v>1</v>
      </c>
      <c r="N55">
        <f t="shared" si="6"/>
        <v>1</v>
      </c>
    </row>
    <row r="56" spans="4:14" x14ac:dyDescent="0.2">
      <c r="D56">
        <f t="shared" si="8"/>
        <v>33</v>
      </c>
      <c r="E56" s="1">
        <f t="shared" si="9"/>
        <v>2.02157071851087</v>
      </c>
      <c r="F56" s="1">
        <f t="shared" si="10"/>
        <v>-0.31413899601886008</v>
      </c>
      <c r="G56" s="1">
        <f t="shared" si="7"/>
        <v>0.73041749597925709</v>
      </c>
      <c r="H56" s="1">
        <f t="shared" si="0"/>
        <v>7.5116796456084194E-3</v>
      </c>
      <c r="I56">
        <f t="shared" si="1"/>
        <v>10</v>
      </c>
      <c r="J56">
        <f t="shared" si="2"/>
        <v>19</v>
      </c>
      <c r="K56" s="5">
        <f t="shared" si="3"/>
        <v>0</v>
      </c>
      <c r="L56">
        <f t="shared" si="4"/>
        <v>95</v>
      </c>
      <c r="M56">
        <f t="shared" si="5"/>
        <v>1</v>
      </c>
      <c r="N56">
        <f t="shared" si="6"/>
        <v>1</v>
      </c>
    </row>
    <row r="57" spans="4:14" x14ac:dyDescent="0.2">
      <c r="D57">
        <f t="shared" si="8"/>
        <v>34</v>
      </c>
      <c r="E57" s="1">
        <f t="shared" si="9"/>
        <v>2.0110994186435747</v>
      </c>
      <c r="F57" s="1">
        <f t="shared" si="10"/>
        <v>-0.32461029588615542</v>
      </c>
      <c r="G57" s="1">
        <f t="shared" si="7"/>
        <v>0.72280898039613983</v>
      </c>
      <c r="H57" s="1">
        <f t="shared" si="0"/>
        <v>7.4334329826333317E-3</v>
      </c>
      <c r="I57">
        <f t="shared" si="1"/>
        <v>10</v>
      </c>
      <c r="J57">
        <f t="shared" si="2"/>
        <v>20</v>
      </c>
      <c r="K57" s="5">
        <f t="shared" si="3"/>
        <v>0</v>
      </c>
      <c r="L57">
        <f t="shared" si="4"/>
        <v>95</v>
      </c>
      <c r="M57">
        <f t="shared" si="5"/>
        <v>1</v>
      </c>
      <c r="N57">
        <f t="shared" si="6"/>
        <v>1</v>
      </c>
    </row>
    <row r="58" spans="4:14" x14ac:dyDescent="0.2">
      <c r="D58">
        <f t="shared" si="8"/>
        <v>35</v>
      </c>
      <c r="E58" s="1">
        <f t="shared" si="9"/>
        <v>2.0006281187762793</v>
      </c>
      <c r="F58" s="1">
        <f t="shared" si="10"/>
        <v>-0.33508159575345076</v>
      </c>
      <c r="G58" s="1">
        <f t="shared" si="7"/>
        <v>0.71527972018368013</v>
      </c>
      <c r="H58" s="1">
        <f t="shared" si="0"/>
        <v>7.3560013890642349E-3</v>
      </c>
      <c r="I58">
        <f t="shared" si="1"/>
        <v>10</v>
      </c>
      <c r="J58">
        <f t="shared" si="2"/>
        <v>21</v>
      </c>
      <c r="K58" s="5">
        <f t="shared" si="3"/>
        <v>0</v>
      </c>
      <c r="L58">
        <f t="shared" si="4"/>
        <v>95</v>
      </c>
      <c r="M58">
        <f t="shared" si="5"/>
        <v>1</v>
      </c>
      <c r="N58">
        <f t="shared" si="6"/>
        <v>1</v>
      </c>
    </row>
    <row r="59" spans="4:14" x14ac:dyDescent="0.2">
      <c r="D59">
        <f t="shared" si="8"/>
        <v>36</v>
      </c>
      <c r="E59" s="1">
        <f t="shared" si="9"/>
        <v>1.9901568189089838</v>
      </c>
      <c r="F59" s="1">
        <f t="shared" si="10"/>
        <v>-0.34555289562074631</v>
      </c>
      <c r="G59" s="1">
        <f t="shared" si="7"/>
        <v>0.70782888976509994</v>
      </c>
      <c r="H59" s="1">
        <f t="shared" si="0"/>
        <v>7.2793763745948141E-3</v>
      </c>
      <c r="I59">
        <f t="shared" si="1"/>
        <v>10</v>
      </c>
      <c r="J59">
        <f t="shared" si="2"/>
        <v>22</v>
      </c>
      <c r="K59" s="5">
        <f t="shared" si="3"/>
        <v>0</v>
      </c>
      <c r="L59">
        <f t="shared" si="4"/>
        <v>95</v>
      </c>
      <c r="M59">
        <f t="shared" si="5"/>
        <v>1</v>
      </c>
      <c r="N59">
        <f t="shared" si="6"/>
        <v>1</v>
      </c>
    </row>
    <row r="60" spans="4:14" x14ac:dyDescent="0.2">
      <c r="D60">
        <f t="shared" si="8"/>
        <v>37</v>
      </c>
      <c r="E60" s="1">
        <f t="shared" si="9"/>
        <v>1.9796855190416884</v>
      </c>
      <c r="F60" s="1">
        <f t="shared" si="10"/>
        <v>-0.35602419548804165</v>
      </c>
      <c r="G60" s="1">
        <f t="shared" si="7"/>
        <v>0.70045567216338023</v>
      </c>
      <c r="H60" s="1">
        <f t="shared" si="0"/>
        <v>7.2035495373594521E-3</v>
      </c>
      <c r="I60">
        <f t="shared" si="1"/>
        <v>10</v>
      </c>
      <c r="J60">
        <f t="shared" si="2"/>
        <v>23</v>
      </c>
      <c r="K60" s="5">
        <f t="shared" si="3"/>
        <v>0</v>
      </c>
      <c r="L60">
        <f t="shared" si="4"/>
        <v>95</v>
      </c>
      <c r="M60">
        <f t="shared" si="5"/>
        <v>1</v>
      </c>
      <c r="N60">
        <f t="shared" si="6"/>
        <v>1</v>
      </c>
    </row>
    <row r="61" spans="4:14" x14ac:dyDescent="0.2">
      <c r="D61">
        <f t="shared" si="8"/>
        <v>38</v>
      </c>
      <c r="E61" s="1">
        <f t="shared" si="9"/>
        <v>1.9692142191743931</v>
      </c>
      <c r="F61" s="1">
        <f t="shared" si="10"/>
        <v>-0.36649549535533699</v>
      </c>
      <c r="G61" s="1">
        <f t="shared" si="7"/>
        <v>0.6931592589116784</v>
      </c>
      <c r="H61" s="1">
        <f t="shared" si="0"/>
        <v>7.1285125630119583E-3</v>
      </c>
      <c r="I61">
        <f t="shared" si="1"/>
        <v>10</v>
      </c>
      <c r="J61">
        <f t="shared" si="2"/>
        <v>24</v>
      </c>
      <c r="K61" s="5">
        <f t="shared" si="3"/>
        <v>0</v>
      </c>
      <c r="L61">
        <f t="shared" si="4"/>
        <v>95</v>
      </c>
      <c r="M61">
        <f t="shared" si="5"/>
        <v>1</v>
      </c>
      <c r="N61">
        <f t="shared" si="6"/>
        <v>1</v>
      </c>
    </row>
    <row r="62" spans="4:14" x14ac:dyDescent="0.2">
      <c r="D62">
        <f t="shared" si="8"/>
        <v>39</v>
      </c>
      <c r="E62" s="1">
        <f t="shared" si="9"/>
        <v>1.9587429193070978</v>
      </c>
      <c r="F62" s="1">
        <f t="shared" si="10"/>
        <v>-0.37696679522263232</v>
      </c>
      <c r="G62" s="1">
        <f t="shared" si="7"/>
        <v>0.6859388499646818</v>
      </c>
      <c r="H62" s="1">
        <f t="shared" si="0"/>
        <v>7.0542572238139175E-3</v>
      </c>
      <c r="I62">
        <f t="shared" si="1"/>
        <v>10</v>
      </c>
      <c r="J62">
        <f t="shared" si="2"/>
        <v>25</v>
      </c>
      <c r="K62" s="5">
        <f t="shared" si="3"/>
        <v>0</v>
      </c>
      <c r="L62">
        <f t="shared" si="4"/>
        <v>95</v>
      </c>
      <c r="M62">
        <f t="shared" si="5"/>
        <v>1</v>
      </c>
      <c r="N62">
        <f t="shared" si="6"/>
        <v>1</v>
      </c>
    </row>
    <row r="63" spans="4:14" x14ac:dyDescent="0.2">
      <c r="D63">
        <f t="shared" si="8"/>
        <v>40</v>
      </c>
      <c r="E63" s="1">
        <f t="shared" si="9"/>
        <v>1.9482716194398024</v>
      </c>
      <c r="F63" s="1">
        <f t="shared" si="10"/>
        <v>-0.38743809508992766</v>
      </c>
      <c r="G63" s="1">
        <f t="shared" si="7"/>
        <v>0.67879365361088306</v>
      </c>
      <c r="H63" s="1">
        <f t="shared" si="0"/>
        <v>6.980775377732523E-3</v>
      </c>
      <c r="I63">
        <f t="shared" si="1"/>
        <v>10</v>
      </c>
      <c r="J63">
        <f t="shared" si="2"/>
        <v>26</v>
      </c>
      <c r="K63" s="5">
        <f t="shared" si="3"/>
        <v>0</v>
      </c>
      <c r="L63">
        <f t="shared" si="4"/>
        <v>95</v>
      </c>
      <c r="M63">
        <f t="shared" si="5"/>
        <v>1</v>
      </c>
      <c r="N63">
        <f t="shared" si="6"/>
        <v>1</v>
      </c>
    </row>
    <row r="64" spans="4:14" x14ac:dyDescent="0.2">
      <c r="D64">
        <f t="shared" si="8"/>
        <v>41</v>
      </c>
      <c r="E64" s="1">
        <f t="shared" si="9"/>
        <v>1.9378003195725071</v>
      </c>
      <c r="F64" s="1">
        <f t="shared" si="10"/>
        <v>-0.39790939495722299</v>
      </c>
      <c r="G64" s="1">
        <f t="shared" si="7"/>
        <v>0.67172288638576982</v>
      </c>
      <c r="H64" s="1">
        <f t="shared" si="0"/>
        <v>6.9080589675478109E-3</v>
      </c>
      <c r="I64">
        <f t="shared" si="1"/>
        <v>10</v>
      </c>
      <c r="J64">
        <f t="shared" si="2"/>
        <v>27</v>
      </c>
      <c r="K64" s="5">
        <f t="shared" si="3"/>
        <v>0</v>
      </c>
      <c r="L64">
        <f t="shared" si="4"/>
        <v>95</v>
      </c>
      <c r="M64">
        <f t="shared" si="5"/>
        <v>1</v>
      </c>
      <c r="N64">
        <f t="shared" si="6"/>
        <v>1</v>
      </c>
    </row>
    <row r="65" spans="4:14" x14ac:dyDescent="0.2">
      <c r="D65">
        <f t="shared" si="8"/>
        <v>42</v>
      </c>
      <c r="E65" s="1">
        <f t="shared" si="9"/>
        <v>1.9273290197052118</v>
      </c>
      <c r="F65" s="1">
        <f t="shared" si="10"/>
        <v>-0.40838069482451833</v>
      </c>
      <c r="G65" s="1">
        <f t="shared" si="7"/>
        <v>0.66472577298591806</v>
      </c>
      <c r="H65" s="1">
        <f t="shared" si="0"/>
        <v>6.8361000199691881E-3</v>
      </c>
      <c r="I65">
        <f t="shared" si="1"/>
        <v>10</v>
      </c>
      <c r="J65">
        <f t="shared" si="2"/>
        <v>28</v>
      </c>
      <c r="K65" s="5">
        <f t="shared" si="3"/>
        <v>0</v>
      </c>
      <c r="L65">
        <f t="shared" si="4"/>
        <v>95</v>
      </c>
      <c r="M65">
        <f t="shared" si="5"/>
        <v>1</v>
      </c>
      <c r="N65">
        <f t="shared" si="6"/>
        <v>1</v>
      </c>
    </row>
    <row r="66" spans="4:14" x14ac:dyDescent="0.2">
      <c r="D66">
        <f t="shared" si="8"/>
        <v>43</v>
      </c>
      <c r="E66" s="1">
        <f t="shared" si="9"/>
        <v>1.9168577198379164</v>
      </c>
      <c r="F66" s="1">
        <f t="shared" si="10"/>
        <v>-0.41885199469181367</v>
      </c>
      <c r="G66" s="1">
        <f t="shared" si="7"/>
        <v>0.65780154618398146</v>
      </c>
      <c r="H66" s="1">
        <f t="shared" si="0"/>
        <v>6.7648906447611758E-3</v>
      </c>
      <c r="I66">
        <f t="shared" si="1"/>
        <v>10</v>
      </c>
      <c r="J66">
        <f t="shared" si="2"/>
        <v>29</v>
      </c>
      <c r="K66" s="5">
        <f t="shared" si="3"/>
        <v>0</v>
      </c>
      <c r="L66">
        <f t="shared" si="4"/>
        <v>95</v>
      </c>
      <c r="M66">
        <f t="shared" si="5"/>
        <v>1</v>
      </c>
      <c r="N66">
        <f t="shared" si="6"/>
        <v>1</v>
      </c>
    </row>
    <row r="67" spans="4:14" x14ac:dyDescent="0.2">
      <c r="D67">
        <f t="shared" si="8"/>
        <v>44</v>
      </c>
      <c r="E67" s="1">
        <f t="shared" si="9"/>
        <v>1.9063864199706211</v>
      </c>
      <c r="F67" s="1">
        <f t="shared" si="10"/>
        <v>-0.429323294559109</v>
      </c>
      <c r="G67" s="1">
        <f t="shared" si="7"/>
        <v>0.65094944674456501</v>
      </c>
      <c r="H67" s="1">
        <f t="shared" si="0"/>
        <v>6.6944230338782471E-3</v>
      </c>
      <c r="I67">
        <f t="shared" si="1"/>
        <v>10</v>
      </c>
      <c r="J67">
        <f t="shared" si="2"/>
        <v>30</v>
      </c>
      <c r="K67" s="5">
        <f t="shared" si="3"/>
        <v>0</v>
      </c>
      <c r="L67">
        <f t="shared" si="4"/>
        <v>95</v>
      </c>
      <c r="M67">
        <f t="shared" si="5"/>
        <v>1</v>
      </c>
      <c r="N67">
        <f t="shared" si="6"/>
        <v>1</v>
      </c>
    </row>
    <row r="68" spans="4:14" x14ac:dyDescent="0.2">
      <c r="D68">
        <f t="shared" si="8"/>
        <v>45</v>
      </c>
      <c r="E68" s="1">
        <f t="shared" si="9"/>
        <v>1.8959151201033257</v>
      </c>
      <c r="F68" s="1">
        <f t="shared" si="10"/>
        <v>-0.43979459442640434</v>
      </c>
      <c r="G68" s="1">
        <f t="shared" si="7"/>
        <v>0.64416872334097586</v>
      </c>
      <c r="H68" s="1">
        <f t="shared" si="0"/>
        <v>6.6246894606086827E-3</v>
      </c>
      <c r="I68">
        <f t="shared" si="1"/>
        <v>10</v>
      </c>
      <c r="J68">
        <f t="shared" si="2"/>
        <v>31</v>
      </c>
      <c r="K68" s="5">
        <f t="shared" si="3"/>
        <v>0</v>
      </c>
      <c r="L68">
        <f t="shared" si="4"/>
        <v>95</v>
      </c>
      <c r="M68">
        <f t="shared" si="5"/>
        <v>1</v>
      </c>
      <c r="N68">
        <f t="shared" si="6"/>
        <v>1</v>
      </c>
    </row>
    <row r="69" spans="4:14" x14ac:dyDescent="0.2">
      <c r="D69">
        <f t="shared" si="8"/>
        <v>46</v>
      </c>
      <c r="E69" s="1">
        <f t="shared" si="9"/>
        <v>1.8854438202360304</v>
      </c>
      <c r="F69" s="1">
        <f t="shared" si="10"/>
        <v>-0.45026589429369968</v>
      </c>
      <c r="G69" s="1">
        <f t="shared" si="7"/>
        <v>0.63745863247284074</v>
      </c>
      <c r="H69" s="1">
        <f t="shared" si="0"/>
        <v>6.5556822787273426E-3</v>
      </c>
      <c r="I69">
        <f t="shared" si="1"/>
        <v>10</v>
      </c>
      <c r="J69">
        <f t="shared" si="2"/>
        <v>32</v>
      </c>
      <c r="K69" s="5">
        <f t="shared" si="3"/>
        <v>0</v>
      </c>
      <c r="L69">
        <f t="shared" si="4"/>
        <v>95</v>
      </c>
      <c r="M69">
        <f t="shared" si="5"/>
        <v>1</v>
      </c>
      <c r="N69">
        <f t="shared" si="6"/>
        <v>1</v>
      </c>
    </row>
    <row r="70" spans="4:14" x14ac:dyDescent="0.2">
      <c r="D70">
        <f t="shared" si="8"/>
        <v>47</v>
      </c>
      <c r="E70" s="1">
        <f t="shared" si="9"/>
        <v>1.8749725203687351</v>
      </c>
      <c r="F70" s="1">
        <f t="shared" si="10"/>
        <v>-0.46073719416099501</v>
      </c>
      <c r="G70" s="1">
        <f t="shared" si="7"/>
        <v>0.63081843838458196</v>
      </c>
      <c r="H70" s="1">
        <f t="shared" si="0"/>
        <v>6.4873939216572663E-3</v>
      </c>
      <c r="I70">
        <f t="shared" si="1"/>
        <v>10</v>
      </c>
      <c r="J70">
        <f t="shared" si="2"/>
        <v>33</v>
      </c>
      <c r="K70" s="5">
        <f t="shared" si="3"/>
        <v>0</v>
      </c>
      <c r="L70">
        <f t="shared" si="4"/>
        <v>95</v>
      </c>
      <c r="M70">
        <f t="shared" si="5"/>
        <v>1</v>
      </c>
      <c r="N70">
        <f t="shared" si="6"/>
        <v>1</v>
      </c>
    </row>
    <row r="71" spans="4:14" x14ac:dyDescent="0.2">
      <c r="D71">
        <f t="shared" si="8"/>
        <v>48</v>
      </c>
      <c r="E71" s="1">
        <f t="shared" si="9"/>
        <v>1.8645012205014397</v>
      </c>
      <c r="F71" s="1">
        <f t="shared" si="10"/>
        <v>-0.47120849402829035</v>
      </c>
      <c r="G71" s="1">
        <f t="shared" si="7"/>
        <v>0.62424741298474262</v>
      </c>
      <c r="H71" s="1">
        <f t="shared" si="0"/>
        <v>6.4198169016400032E-3</v>
      </c>
      <c r="I71">
        <f t="shared" si="1"/>
        <v>10</v>
      </c>
      <c r="J71">
        <f t="shared" si="2"/>
        <v>34</v>
      </c>
      <c r="K71" s="5">
        <f t="shared" si="3"/>
        <v>0</v>
      </c>
      <c r="L71">
        <f t="shared" si="4"/>
        <v>95</v>
      </c>
      <c r="M71">
        <f t="shared" si="5"/>
        <v>1</v>
      </c>
      <c r="N71">
        <f t="shared" si="6"/>
        <v>1</v>
      </c>
    </row>
    <row r="72" spans="4:14" x14ac:dyDescent="0.2">
      <c r="D72">
        <f t="shared" si="8"/>
        <v>49</v>
      </c>
      <c r="E72" s="1">
        <f t="shared" si="9"/>
        <v>1.8540299206341444</v>
      </c>
      <c r="F72" s="1">
        <f t="shared" si="10"/>
        <v>-0.48167979389558568</v>
      </c>
      <c r="G72" s="1">
        <f t="shared" si="7"/>
        <v>0.61774483576615158</v>
      </c>
      <c r="H72" s="1">
        <f t="shared" si="0"/>
        <v>6.352943808914587E-3</v>
      </c>
      <c r="I72">
        <f t="shared" si="1"/>
        <v>10</v>
      </c>
      <c r="J72">
        <f t="shared" si="2"/>
        <v>35</v>
      </c>
      <c r="K72" s="5">
        <f t="shared" si="3"/>
        <v>0</v>
      </c>
      <c r="L72">
        <f t="shared" si="4"/>
        <v>95</v>
      </c>
      <c r="M72">
        <f t="shared" si="5"/>
        <v>1</v>
      </c>
      <c r="N72">
        <f t="shared" si="6"/>
        <v>1</v>
      </c>
    </row>
    <row r="73" spans="4:14" x14ac:dyDescent="0.2">
      <c r="D73">
        <f t="shared" si="8"/>
        <v>50</v>
      </c>
      <c r="E73" s="1">
        <f t="shared" si="9"/>
        <v>1.8435586207668491</v>
      </c>
      <c r="F73" s="1">
        <f t="shared" si="10"/>
        <v>-0.49215109376288102</v>
      </c>
      <c r="G73" s="1">
        <f t="shared" si="7"/>
        <v>0.61130999372692096</v>
      </c>
      <c r="H73" s="1">
        <f t="shared" si="0"/>
        <v>6.2867673109050616E-3</v>
      </c>
      <c r="I73">
        <f t="shared" si="1"/>
        <v>10</v>
      </c>
      <c r="J73">
        <f t="shared" si="2"/>
        <v>36</v>
      </c>
      <c r="K73" s="5">
        <f t="shared" si="3"/>
        <v>0</v>
      </c>
      <c r="L73">
        <f t="shared" si="4"/>
        <v>95</v>
      </c>
      <c r="M73">
        <f t="shared" si="5"/>
        <v>1</v>
      </c>
      <c r="N73">
        <f t="shared" si="6"/>
        <v>1</v>
      </c>
    </row>
    <row r="74" spans="4:14" x14ac:dyDescent="0.2">
      <c r="D74">
        <f t="shared" si="8"/>
        <v>51</v>
      </c>
      <c r="E74" s="1">
        <f t="shared" si="9"/>
        <v>1.8330873208995537</v>
      </c>
      <c r="F74" s="1">
        <f t="shared" si="10"/>
        <v>-0.50262239363017636</v>
      </c>
      <c r="G74" s="1">
        <f t="shared" si="7"/>
        <v>0.60494218129226551</v>
      </c>
      <c r="H74" s="1">
        <f t="shared" si="0"/>
        <v>6.2212801514164671E-3</v>
      </c>
      <c r="I74">
        <f t="shared" si="1"/>
        <v>10</v>
      </c>
      <c r="J74">
        <f t="shared" si="2"/>
        <v>37</v>
      </c>
      <c r="K74" s="5">
        <f t="shared" si="3"/>
        <v>0</v>
      </c>
      <c r="L74">
        <f t="shared" si="4"/>
        <v>95</v>
      </c>
      <c r="M74">
        <f t="shared" si="5"/>
        <v>1</v>
      </c>
      <c r="N74">
        <f t="shared" si="6"/>
        <v>1</v>
      </c>
    </row>
    <row r="75" spans="4:14" x14ac:dyDescent="0.2">
      <c r="D75">
        <f t="shared" si="8"/>
        <v>52</v>
      </c>
      <c r="E75" s="1">
        <f t="shared" si="9"/>
        <v>1.8226160210322584</v>
      </c>
      <c r="F75" s="1">
        <f t="shared" si="10"/>
        <v>-0.51309369349747169</v>
      </c>
      <c r="G75" s="1">
        <f t="shared" si="7"/>
        <v>0.59864070023713778</v>
      </c>
      <c r="H75" s="1">
        <f t="shared" si="0"/>
        <v>6.156475149839212E-3</v>
      </c>
      <c r="I75">
        <f t="shared" si="1"/>
        <v>10</v>
      </c>
      <c r="J75">
        <f t="shared" si="2"/>
        <v>38</v>
      </c>
      <c r="K75" s="5">
        <f t="shared" si="3"/>
        <v>0</v>
      </c>
      <c r="L75">
        <f t="shared" si="4"/>
        <v>95</v>
      </c>
      <c r="M75">
        <f t="shared" si="5"/>
        <v>1</v>
      </c>
      <c r="N75">
        <f t="shared" si="6"/>
        <v>1</v>
      </c>
    </row>
    <row r="76" spans="4:14" x14ac:dyDescent="0.2">
      <c r="D76">
        <f t="shared" si="8"/>
        <v>53</v>
      </c>
      <c r="E76" s="1">
        <f t="shared" si="9"/>
        <v>1.8121447211649631</v>
      </c>
      <c r="F76" s="1">
        <f t="shared" si="10"/>
        <v>-0.52356499336476703</v>
      </c>
      <c r="G76" s="1">
        <f t="shared" si="7"/>
        <v>0.59240485960966771</v>
      </c>
      <c r="H76" s="1">
        <f t="shared" si="0"/>
        <v>6.0923452003617219E-3</v>
      </c>
      <c r="I76">
        <f t="shared" si="1"/>
        <v>10</v>
      </c>
      <c r="J76">
        <f t="shared" si="2"/>
        <v>39</v>
      </c>
      <c r="K76" s="5">
        <f t="shared" si="3"/>
        <v>0</v>
      </c>
      <c r="L76">
        <f t="shared" si="4"/>
        <v>95</v>
      </c>
      <c r="M76">
        <f t="shared" si="5"/>
        <v>1</v>
      </c>
      <c r="N76">
        <f t="shared" si="6"/>
        <v>0</v>
      </c>
    </row>
    <row r="77" spans="4:14" x14ac:dyDescent="0.2">
      <c r="D77">
        <f t="shared" si="8"/>
        <v>54</v>
      </c>
      <c r="E77" s="1">
        <f t="shared" si="9"/>
        <v>1.8016734212976677</v>
      </c>
      <c r="F77" s="1">
        <f t="shared" si="10"/>
        <v>-0.53403629323206236</v>
      </c>
      <c r="G77" s="1">
        <f t="shared" si="7"/>
        <v>0.58623397565540036</v>
      </c>
      <c r="H77" s="1">
        <f t="shared" si="0"/>
        <v>6.0288832711912869E-3</v>
      </c>
      <c r="I77">
        <f t="shared" si="1"/>
        <v>10</v>
      </c>
      <c r="J77">
        <f t="shared" si="2"/>
        <v>40</v>
      </c>
      <c r="K77" s="5">
        <f t="shared" si="3"/>
        <v>0</v>
      </c>
      <c r="L77">
        <f t="shared" si="4"/>
        <v>95</v>
      </c>
      <c r="M77">
        <f t="shared" si="5"/>
        <v>1</v>
      </c>
      <c r="N77">
        <f t="shared" si="6"/>
        <v>0</v>
      </c>
    </row>
    <row r="78" spans="4:14" x14ac:dyDescent="0.2">
      <c r="D78">
        <f t="shared" si="8"/>
        <v>55</v>
      </c>
      <c r="E78" s="1">
        <f t="shared" si="9"/>
        <v>1.7912021214303724</v>
      </c>
      <c r="F78" s="1">
        <f t="shared" si="10"/>
        <v>-0.5445075930993577</v>
      </c>
      <c r="G78" s="1">
        <f t="shared" si="7"/>
        <v>0.58012737174232332</v>
      </c>
      <c r="H78" s="1">
        <f t="shared" si="0"/>
        <v>5.9660824037830454E-3</v>
      </c>
      <c r="I78">
        <f t="shared" si="1"/>
        <v>10</v>
      </c>
      <c r="J78">
        <f t="shared" si="2"/>
        <v>41</v>
      </c>
      <c r="K78" s="5">
        <f t="shared" si="3"/>
        <v>0</v>
      </c>
      <c r="L78">
        <f t="shared" si="4"/>
        <v>95</v>
      </c>
      <c r="M78">
        <f t="shared" si="5"/>
        <v>1</v>
      </c>
      <c r="N78">
        <f t="shared" si="6"/>
        <v>0</v>
      </c>
    </row>
    <row r="79" spans="4:14" x14ac:dyDescent="0.2">
      <c r="D79">
        <f t="shared" si="8"/>
        <v>56</v>
      </c>
      <c r="E79" s="1">
        <f t="shared" si="9"/>
        <v>1.780730821563077</v>
      </c>
      <c r="F79" s="1">
        <f t="shared" si="10"/>
        <v>-0.55497889296665304</v>
      </c>
      <c r="G79" s="1">
        <f t="shared" si="7"/>
        <v>0.57408437828667414</v>
      </c>
      <c r="H79" s="1">
        <f t="shared" si="0"/>
        <v>5.903935712076972E-3</v>
      </c>
      <c r="I79">
        <f t="shared" si="1"/>
        <v>10</v>
      </c>
      <c r="J79">
        <f t="shared" si="2"/>
        <v>42</v>
      </c>
      <c r="K79" s="5">
        <f t="shared" si="3"/>
        <v>0</v>
      </c>
      <c r="L79">
        <f t="shared" si="4"/>
        <v>95</v>
      </c>
      <c r="M79">
        <f t="shared" si="5"/>
        <v>1</v>
      </c>
      <c r="N79">
        <f t="shared" si="6"/>
        <v>0</v>
      </c>
    </row>
    <row r="80" spans="4:14" x14ac:dyDescent="0.2">
      <c r="D80">
        <f t="shared" si="8"/>
        <v>57</v>
      </c>
      <c r="E80" s="1">
        <f t="shared" si="9"/>
        <v>1.7702595216957817</v>
      </c>
      <c r="F80" s="1">
        <f t="shared" si="10"/>
        <v>-0.56545019283394837</v>
      </c>
      <c r="G80" s="1">
        <f t="shared" si="7"/>
        <v>0.56810433267952132</v>
      </c>
      <c r="H80" s="1">
        <f t="shared" si="0"/>
        <v>5.8424363817428373E-3</v>
      </c>
      <c r="I80">
        <f t="shared" si="1"/>
        <v>10</v>
      </c>
      <c r="J80">
        <f t="shared" si="2"/>
        <v>43</v>
      </c>
      <c r="K80" s="5">
        <f t="shared" si="3"/>
        <v>0</v>
      </c>
      <c r="L80">
        <f t="shared" si="4"/>
        <v>95</v>
      </c>
      <c r="M80">
        <f t="shared" si="5"/>
        <v>1</v>
      </c>
      <c r="N80">
        <f t="shared" si="6"/>
        <v>0</v>
      </c>
    </row>
    <row r="81" spans="4:14" x14ac:dyDescent="0.2">
      <c r="D81">
        <f t="shared" si="8"/>
        <v>58</v>
      </c>
      <c r="E81" s="1">
        <f t="shared" si="9"/>
        <v>1.7597882218284864</v>
      </c>
      <c r="F81" s="1">
        <f t="shared" si="10"/>
        <v>-0.57592149270124371</v>
      </c>
      <c r="G81" s="1">
        <f t="shared" si="7"/>
        <v>0.56218657921410964</v>
      </c>
      <c r="H81" s="1">
        <f t="shared" si="0"/>
        <v>5.7815776694330164E-3</v>
      </c>
      <c r="I81">
        <f t="shared" si="1"/>
        <v>10</v>
      </c>
      <c r="J81">
        <f t="shared" si="2"/>
        <v>44</v>
      </c>
      <c r="K81" s="5">
        <f t="shared" si="3"/>
        <v>0</v>
      </c>
      <c r="L81">
        <f t="shared" si="4"/>
        <v>95</v>
      </c>
      <c r="M81">
        <f t="shared" si="5"/>
        <v>1</v>
      </c>
      <c r="N81">
        <f t="shared" si="6"/>
        <v>0</v>
      </c>
    </row>
    <row r="82" spans="4:14" x14ac:dyDescent="0.2">
      <c r="D82">
        <f t="shared" si="8"/>
        <v>59</v>
      </c>
      <c r="E82" s="1">
        <f t="shared" si="9"/>
        <v>1.749316921961191</v>
      </c>
      <c r="F82" s="1">
        <f t="shared" si="10"/>
        <v>-0.58639279256853905</v>
      </c>
      <c r="G82" s="1">
        <f t="shared" si="7"/>
        <v>0.55633046901396277</v>
      </c>
      <c r="H82" s="1">
        <f t="shared" si="0"/>
        <v>5.7213529020430903E-3</v>
      </c>
      <c r="I82">
        <f t="shared" si="1"/>
        <v>10</v>
      </c>
      <c r="J82">
        <f t="shared" si="2"/>
        <v>45</v>
      </c>
      <c r="K82" s="5">
        <f t="shared" si="3"/>
        <v>0</v>
      </c>
      <c r="L82">
        <f t="shared" si="4"/>
        <v>95</v>
      </c>
      <c r="M82">
        <f t="shared" si="5"/>
        <v>1</v>
      </c>
      <c r="N82">
        <f t="shared" si="6"/>
        <v>0</v>
      </c>
    </row>
    <row r="83" spans="4:14" x14ac:dyDescent="0.2">
      <c r="D83">
        <f t="shared" si="8"/>
        <v>60</v>
      </c>
      <c r="E83" s="1">
        <f t="shared" si="9"/>
        <v>1.7388456220938957</v>
      </c>
      <c r="F83" s="1">
        <f t="shared" si="10"/>
        <v>-0.59686409243583438</v>
      </c>
      <c r="G83" s="1">
        <f t="shared" si="7"/>
        <v>0.55053535996173397</v>
      </c>
      <c r="H83" s="1">
        <f t="shared" si="0"/>
        <v>5.6617554759801408E-3</v>
      </c>
      <c r="I83">
        <f t="shared" si="1"/>
        <v>10</v>
      </c>
      <c r="J83">
        <f t="shared" si="2"/>
        <v>46</v>
      </c>
      <c r="K83" s="5">
        <f t="shared" si="3"/>
        <v>0</v>
      </c>
      <c r="L83">
        <f t="shared" si="4"/>
        <v>95</v>
      </c>
      <c r="M83">
        <f t="shared" si="5"/>
        <v>1</v>
      </c>
      <c r="N83">
        <f t="shared" si="6"/>
        <v>0</v>
      </c>
    </row>
    <row r="84" spans="4:14" x14ac:dyDescent="0.2">
      <c r="D84">
        <f t="shared" si="8"/>
        <v>61</v>
      </c>
      <c r="E84" s="1">
        <f t="shared" si="9"/>
        <v>1.7283743222266004</v>
      </c>
      <c r="F84" s="1">
        <f t="shared" si="10"/>
        <v>-0.60733539230312972</v>
      </c>
      <c r="G84" s="1">
        <f t="shared" si="7"/>
        <v>0.54480061662879931</v>
      </c>
      <c r="H84" s="1">
        <f t="shared" si="0"/>
        <v>5.6027788564386814E-3</v>
      </c>
      <c r="I84">
        <f t="shared" si="1"/>
        <v>10</v>
      </c>
      <c r="J84">
        <f t="shared" si="2"/>
        <v>47</v>
      </c>
      <c r="K84" s="5">
        <f t="shared" si="3"/>
        <v>0</v>
      </c>
      <c r="L84">
        <f t="shared" si="4"/>
        <v>95</v>
      </c>
      <c r="M84">
        <f t="shared" si="5"/>
        <v>1</v>
      </c>
      <c r="N84">
        <f t="shared" si="6"/>
        <v>0</v>
      </c>
    </row>
    <row r="85" spans="4:14" x14ac:dyDescent="0.2">
      <c r="D85">
        <f t="shared" si="8"/>
        <v>62</v>
      </c>
      <c r="E85" s="1">
        <f t="shared" si="9"/>
        <v>1.717903022359305</v>
      </c>
      <c r="F85" s="1">
        <f t="shared" si="10"/>
        <v>-0.61780669217042505</v>
      </c>
      <c r="G85" s="1">
        <f t="shared" si="7"/>
        <v>0.53912561020558269</v>
      </c>
      <c r="H85" s="1">
        <f t="shared" si="0"/>
        <v>5.5444165766841127E-3</v>
      </c>
      <c r="I85">
        <f t="shared" si="1"/>
        <v>10</v>
      </c>
      <c r="J85">
        <f t="shared" si="2"/>
        <v>48</v>
      </c>
      <c r="K85" s="5">
        <f t="shared" si="3"/>
        <v>0</v>
      </c>
      <c r="L85">
        <f t="shared" si="4"/>
        <v>95</v>
      </c>
      <c r="M85">
        <f t="shared" si="5"/>
        <v>1</v>
      </c>
      <c r="N85">
        <f t="shared" si="6"/>
        <v>0</v>
      </c>
    </row>
    <row r="86" spans="4:14" x14ac:dyDescent="0.2">
      <c r="D86">
        <f t="shared" si="8"/>
        <v>63</v>
      </c>
      <c r="E86" s="1">
        <f t="shared" si="9"/>
        <v>1.7074317224920097</v>
      </c>
      <c r="F86" s="1">
        <f t="shared" si="10"/>
        <v>-0.62827799203772039</v>
      </c>
      <c r="G86" s="1">
        <f t="shared" si="7"/>
        <v>0.53350971843260786</v>
      </c>
      <c r="H86" s="1">
        <f t="shared" si="0"/>
        <v>5.4866622373436532E-3</v>
      </c>
      <c r="I86">
        <f t="shared" si="1"/>
        <v>10</v>
      </c>
      <c r="J86">
        <f t="shared" si="2"/>
        <v>49</v>
      </c>
      <c r="K86" s="5">
        <f t="shared" si="3"/>
        <v>0</v>
      </c>
      <c r="L86">
        <f t="shared" si="4"/>
        <v>95</v>
      </c>
      <c r="M86">
        <f t="shared" si="5"/>
        <v>1</v>
      </c>
      <c r="N86">
        <f t="shared" si="6"/>
        <v>0</v>
      </c>
    </row>
    <row r="87" spans="4:14" x14ac:dyDescent="0.2">
      <c r="D87">
        <f t="shared" si="8"/>
        <v>64</v>
      </c>
      <c r="E87" s="1">
        <f t="shared" si="9"/>
        <v>1.6969604226247144</v>
      </c>
      <c r="F87" s="1">
        <f t="shared" si="10"/>
        <v>-0.63874929190501573</v>
      </c>
      <c r="G87" s="1">
        <f t="shared" si="7"/>
        <v>0.52795232553226823</v>
      </c>
      <c r="H87" s="1">
        <f t="shared" ref="H87:H150" si="11">G87/$G$21</f>
        <v>5.4295095057046569E-3</v>
      </c>
      <c r="I87">
        <f t="shared" ref="I87:I150" si="12">IF($F$11&lt;=D87, IF(D87&lt;=$A$15,D87-$F$11,$C$11),0)</f>
        <v>10</v>
      </c>
      <c r="J87">
        <f t="shared" ref="J87:J150" si="13">IF(D87&lt;=$A$15,0,D87-$A$15)</f>
        <v>50</v>
      </c>
      <c r="K87" s="5">
        <f t="shared" ref="K87:K150" si="14">IF(D87&lt;$F$11,H87,0)</f>
        <v>0</v>
      </c>
      <c r="L87">
        <f t="shared" ref="L87:L150" si="15">IF(D87&lt;$A$15,$D$11,$D$11*(1-$H$11))</f>
        <v>95</v>
      </c>
      <c r="M87">
        <f t="shared" ref="M87:M150" si="16">IF(D87&lt;$A$15,0,1)</f>
        <v>1</v>
      </c>
      <c r="N87">
        <f t="shared" ref="N87:N150" si="17">IF(SUM(I87:J87)&lt;=($G$11/60*$F$11/($E$11/60)),1,0)</f>
        <v>0</v>
      </c>
    </row>
    <row r="88" spans="4:14" x14ac:dyDescent="0.2">
      <c r="D88">
        <f t="shared" si="8"/>
        <v>65</v>
      </c>
      <c r="E88" s="1">
        <f t="shared" si="9"/>
        <v>1.686489122757419</v>
      </c>
      <c r="F88" s="1">
        <f t="shared" si="10"/>
        <v>-0.64922059177231106</v>
      </c>
      <c r="G88" s="1">
        <f t="shared" ref="G88:G151" si="18">EXP(F88)</f>
        <v>0.52245282214130717</v>
      </c>
      <c r="H88" s="1">
        <f t="shared" si="11"/>
        <v>5.3729521150202341E-3</v>
      </c>
      <c r="I88">
        <f t="shared" si="12"/>
        <v>10</v>
      </c>
      <c r="J88">
        <f t="shared" si="13"/>
        <v>51</v>
      </c>
      <c r="K88" s="5">
        <f t="shared" si="14"/>
        <v>0</v>
      </c>
      <c r="L88">
        <f t="shared" si="15"/>
        <v>95</v>
      </c>
      <c r="M88">
        <f t="shared" si="16"/>
        <v>1</v>
      </c>
      <c r="N88">
        <f t="shared" si="17"/>
        <v>0</v>
      </c>
    </row>
    <row r="89" spans="4:14" x14ac:dyDescent="0.2">
      <c r="D89">
        <f t="shared" ref="D89:D152" si="19">1+D88</f>
        <v>66</v>
      </c>
      <c r="E89" s="1">
        <f t="shared" ref="E89:E152" si="20">IF($H$11=1,IF(D89&lt;=$A$15, E88+LN($D$11)-LN(60/$E$11)-LN(MIN(D89,$F$11)), E88-LN(60/$E$11)-LN(MIN(D89,$F$11))), IF(D89&lt;=$A$15, E88+LN($D$11)-LN(60/$E$11)-LN(MIN(D89,$F$11)), E88+LN($D$11)+LN(1-$H$11)-LN(60/$E$11)-LN(MIN(D89,$F$11))))</f>
        <v>1.6760178228901237</v>
      </c>
      <c r="F89" s="1">
        <f t="shared" ref="F89:F152" si="21">E89-$E$21</f>
        <v>-0.6596918916396064</v>
      </c>
      <c r="G89" s="1">
        <f t="shared" si="18"/>
        <v>0.51701060524400189</v>
      </c>
      <c r="H89" s="1">
        <f t="shared" si="11"/>
        <v>5.3169838638221067E-3</v>
      </c>
      <c r="I89">
        <f t="shared" si="12"/>
        <v>10</v>
      </c>
      <c r="J89">
        <f t="shared" si="13"/>
        <v>52</v>
      </c>
      <c r="K89" s="5">
        <f t="shared" si="14"/>
        <v>0</v>
      </c>
      <c r="L89">
        <f t="shared" si="15"/>
        <v>95</v>
      </c>
      <c r="M89">
        <f t="shared" si="16"/>
        <v>1</v>
      </c>
      <c r="N89">
        <f t="shared" si="17"/>
        <v>0</v>
      </c>
    </row>
    <row r="90" spans="4:14" x14ac:dyDescent="0.2">
      <c r="D90">
        <f t="shared" si="19"/>
        <v>67</v>
      </c>
      <c r="E90" s="1">
        <f t="shared" si="20"/>
        <v>1.6655465230228284</v>
      </c>
      <c r="F90" s="1">
        <f t="shared" si="21"/>
        <v>-0.67016319150690173</v>
      </c>
      <c r="G90" s="1">
        <f t="shared" si="18"/>
        <v>0.51162507810604363</v>
      </c>
      <c r="H90" s="1">
        <f t="shared" si="11"/>
        <v>5.2615986152406277E-3</v>
      </c>
      <c r="I90">
        <f t="shared" si="12"/>
        <v>10</v>
      </c>
      <c r="J90">
        <f t="shared" si="13"/>
        <v>53</v>
      </c>
      <c r="K90" s="5">
        <f t="shared" si="14"/>
        <v>0</v>
      </c>
      <c r="L90">
        <f t="shared" si="15"/>
        <v>95</v>
      </c>
      <c r="M90">
        <f t="shared" si="16"/>
        <v>1</v>
      </c>
      <c r="N90">
        <f t="shared" si="17"/>
        <v>0</v>
      </c>
    </row>
    <row r="91" spans="4:14" x14ac:dyDescent="0.2">
      <c r="D91">
        <f t="shared" si="19"/>
        <v>68</v>
      </c>
      <c r="E91" s="1">
        <f t="shared" si="20"/>
        <v>1.655075223155533</v>
      </c>
      <c r="F91" s="1">
        <f t="shared" si="21"/>
        <v>-0.68063449137419707</v>
      </c>
      <c r="G91" s="1">
        <f t="shared" si="18"/>
        <v>0.50629565020910572</v>
      </c>
      <c r="H91" s="1">
        <f t="shared" si="11"/>
        <v>5.2067902963318716E-3</v>
      </c>
      <c r="I91">
        <f t="shared" si="12"/>
        <v>10</v>
      </c>
      <c r="J91">
        <f t="shared" si="13"/>
        <v>54</v>
      </c>
      <c r="K91" s="5">
        <f t="shared" si="14"/>
        <v>0</v>
      </c>
      <c r="L91">
        <f t="shared" si="15"/>
        <v>95</v>
      </c>
      <c r="M91">
        <f t="shared" si="16"/>
        <v>1</v>
      </c>
      <c r="N91">
        <f t="shared" si="17"/>
        <v>0</v>
      </c>
    </row>
    <row r="92" spans="4:14" x14ac:dyDescent="0.2">
      <c r="D92">
        <f t="shared" si="19"/>
        <v>69</v>
      </c>
      <c r="E92" s="1">
        <f t="shared" si="20"/>
        <v>1.6446039232882377</v>
      </c>
      <c r="F92" s="1">
        <f t="shared" si="21"/>
        <v>-0.69110579124149241</v>
      </c>
      <c r="G92" s="1">
        <f t="shared" si="18"/>
        <v>0.50102173718609422</v>
      </c>
      <c r="H92" s="1">
        <f t="shared" si="11"/>
        <v>5.1525528974117477E-3</v>
      </c>
      <c r="I92">
        <f t="shared" si="12"/>
        <v>10</v>
      </c>
      <c r="J92">
        <f t="shared" si="13"/>
        <v>55</v>
      </c>
      <c r="K92" s="5">
        <f t="shared" si="14"/>
        <v>0</v>
      </c>
      <c r="L92">
        <f t="shared" si="15"/>
        <v>95</v>
      </c>
      <c r="M92">
        <f t="shared" si="16"/>
        <v>1</v>
      </c>
      <c r="N92">
        <f t="shared" si="17"/>
        <v>0</v>
      </c>
    </row>
    <row r="93" spans="4:14" x14ac:dyDescent="0.2">
      <c r="D93">
        <f t="shared" si="19"/>
        <v>70</v>
      </c>
      <c r="E93" s="1">
        <f t="shared" si="20"/>
        <v>1.6341326234209423</v>
      </c>
      <c r="F93" s="1">
        <f t="shared" si="21"/>
        <v>-0.70157709110878774</v>
      </c>
      <c r="G93" s="1">
        <f t="shared" si="18"/>
        <v>0.49580276075707241</v>
      </c>
      <c r="H93" s="1">
        <f t="shared" si="11"/>
        <v>5.0988804713970421E-3</v>
      </c>
      <c r="I93">
        <f t="shared" si="12"/>
        <v>10</v>
      </c>
      <c r="J93">
        <f t="shared" si="13"/>
        <v>56</v>
      </c>
      <c r="K93" s="5">
        <f t="shared" si="14"/>
        <v>0</v>
      </c>
      <c r="L93">
        <f t="shared" si="15"/>
        <v>95</v>
      </c>
      <c r="M93">
        <f t="shared" si="16"/>
        <v>1</v>
      </c>
      <c r="N93">
        <f t="shared" si="17"/>
        <v>0</v>
      </c>
    </row>
    <row r="94" spans="4:14" x14ac:dyDescent="0.2">
      <c r="D94">
        <f t="shared" si="19"/>
        <v>71</v>
      </c>
      <c r="E94" s="1">
        <f t="shared" si="20"/>
        <v>1.623661323553647</v>
      </c>
      <c r="F94" s="1">
        <f t="shared" si="21"/>
        <v>-0.71204839097608308</v>
      </c>
      <c r="G94" s="1">
        <f t="shared" si="18"/>
        <v>0.49063814866585292</v>
      </c>
      <c r="H94" s="1">
        <f t="shared" si="11"/>
        <v>5.0457671331533231E-3</v>
      </c>
      <c r="I94">
        <f t="shared" si="12"/>
        <v>10</v>
      </c>
      <c r="J94">
        <f t="shared" si="13"/>
        <v>57</v>
      </c>
      <c r="K94" s="5">
        <f t="shared" si="14"/>
        <v>0</v>
      </c>
      <c r="L94">
        <f t="shared" si="15"/>
        <v>95</v>
      </c>
      <c r="M94">
        <f t="shared" si="16"/>
        <v>1</v>
      </c>
      <c r="N94">
        <f t="shared" si="17"/>
        <v>0</v>
      </c>
    </row>
    <row r="95" spans="4:14" x14ac:dyDescent="0.2">
      <c r="D95">
        <f t="shared" si="19"/>
        <v>72</v>
      </c>
      <c r="E95" s="1">
        <f t="shared" si="20"/>
        <v>1.6131900236863517</v>
      </c>
      <c r="F95" s="1">
        <f t="shared" si="21"/>
        <v>-0.72251969084337841</v>
      </c>
      <c r="G95" s="1">
        <f t="shared" si="18"/>
        <v>0.48552733461725034</v>
      </c>
      <c r="H95" s="1">
        <f t="shared" si="11"/>
        <v>4.9932070588496434E-3</v>
      </c>
      <c r="I95">
        <f t="shared" si="12"/>
        <v>10</v>
      </c>
      <c r="J95">
        <f t="shared" si="13"/>
        <v>58</v>
      </c>
      <c r="K95" s="5">
        <f t="shared" si="14"/>
        <v>0</v>
      </c>
      <c r="L95">
        <f t="shared" si="15"/>
        <v>95</v>
      </c>
      <c r="M95">
        <f t="shared" si="16"/>
        <v>1</v>
      </c>
      <c r="N95">
        <f t="shared" si="17"/>
        <v>0</v>
      </c>
    </row>
    <row r="96" spans="4:14" x14ac:dyDescent="0.2">
      <c r="D96">
        <f t="shared" si="19"/>
        <v>73</v>
      </c>
      <c r="E96" s="1">
        <f t="shared" si="20"/>
        <v>1.6027187238190563</v>
      </c>
      <c r="F96" s="1">
        <f t="shared" si="21"/>
        <v>-0.73299099071067375</v>
      </c>
      <c r="G96" s="1">
        <f t="shared" si="18"/>
        <v>0.48046975821498733</v>
      </c>
      <c r="H96" s="1">
        <f t="shared" si="11"/>
        <v>4.9411944853199599E-3</v>
      </c>
      <c r="I96">
        <f t="shared" si="12"/>
        <v>10</v>
      </c>
      <c r="J96">
        <f t="shared" si="13"/>
        <v>59</v>
      </c>
      <c r="K96" s="5">
        <f t="shared" si="14"/>
        <v>0</v>
      </c>
      <c r="L96">
        <f t="shared" si="15"/>
        <v>95</v>
      </c>
      <c r="M96">
        <f t="shared" si="16"/>
        <v>1</v>
      </c>
      <c r="N96">
        <f t="shared" si="17"/>
        <v>0</v>
      </c>
    </row>
    <row r="97" spans="4:14" x14ac:dyDescent="0.2">
      <c r="D97">
        <f t="shared" si="19"/>
        <v>74</v>
      </c>
      <c r="E97" s="1">
        <f t="shared" si="20"/>
        <v>1.592247423951761</v>
      </c>
      <c r="F97" s="1">
        <f t="shared" si="21"/>
        <v>-0.74346229057796909</v>
      </c>
      <c r="G97" s="1">
        <f t="shared" si="18"/>
        <v>0.47546486490024792</v>
      </c>
      <c r="H97" s="1">
        <f t="shared" si="11"/>
        <v>4.8897237094312103E-3</v>
      </c>
      <c r="I97">
        <f t="shared" si="12"/>
        <v>10</v>
      </c>
      <c r="J97">
        <f t="shared" si="13"/>
        <v>60</v>
      </c>
      <c r="K97" s="5">
        <f t="shared" si="14"/>
        <v>0</v>
      </c>
      <c r="L97">
        <f t="shared" si="15"/>
        <v>95</v>
      </c>
      <c r="M97">
        <f t="shared" si="16"/>
        <v>1</v>
      </c>
      <c r="N97">
        <f t="shared" si="17"/>
        <v>0</v>
      </c>
    </row>
    <row r="98" spans="4:14" x14ac:dyDescent="0.2">
      <c r="D98">
        <f t="shared" si="19"/>
        <v>75</v>
      </c>
      <c r="E98" s="1">
        <f t="shared" si="20"/>
        <v>1.5817761240844657</v>
      </c>
      <c r="F98" s="1">
        <f t="shared" si="21"/>
        <v>-0.75393359044526442</v>
      </c>
      <c r="G98" s="1">
        <f t="shared" si="18"/>
        <v>0.47051210589087039</v>
      </c>
      <c r="H98" s="1">
        <f t="shared" si="11"/>
        <v>4.8387890874579693E-3</v>
      </c>
      <c r="I98">
        <f t="shared" si="12"/>
        <v>10</v>
      </c>
      <c r="J98">
        <f t="shared" si="13"/>
        <v>61</v>
      </c>
      <c r="K98" s="5">
        <f t="shared" si="14"/>
        <v>0</v>
      </c>
      <c r="L98">
        <f t="shared" si="15"/>
        <v>95</v>
      </c>
      <c r="M98">
        <f t="shared" si="16"/>
        <v>1</v>
      </c>
      <c r="N98">
        <f t="shared" si="17"/>
        <v>0</v>
      </c>
    </row>
    <row r="99" spans="4:14" x14ac:dyDescent="0.2">
      <c r="D99">
        <f t="shared" si="19"/>
        <v>76</v>
      </c>
      <c r="E99" s="1">
        <f t="shared" si="20"/>
        <v>1.5713048242171703</v>
      </c>
      <c r="F99" s="1">
        <f t="shared" si="21"/>
        <v>-0.76440489031255976</v>
      </c>
      <c r="G99" s="1">
        <f t="shared" si="18"/>
        <v>0.46561093812117382</v>
      </c>
      <c r="H99" s="1">
        <f t="shared" si="11"/>
        <v>4.7883850344636152E-3</v>
      </c>
      <c r="I99">
        <f t="shared" si="12"/>
        <v>10</v>
      </c>
      <c r="J99">
        <f t="shared" si="13"/>
        <v>62</v>
      </c>
      <c r="K99" s="5">
        <f t="shared" si="14"/>
        <v>0</v>
      </c>
      <c r="L99">
        <f t="shared" si="15"/>
        <v>95</v>
      </c>
      <c r="M99">
        <f t="shared" si="16"/>
        <v>1</v>
      </c>
      <c r="N99">
        <f t="shared" si="17"/>
        <v>0</v>
      </c>
    </row>
    <row r="100" spans="4:14" x14ac:dyDescent="0.2">
      <c r="D100">
        <f t="shared" si="19"/>
        <v>77</v>
      </c>
      <c r="E100" s="1">
        <f t="shared" si="20"/>
        <v>1.560833524349875</v>
      </c>
      <c r="F100" s="1">
        <f t="shared" si="21"/>
        <v>-0.7748761901798551</v>
      </c>
      <c r="G100" s="1">
        <f t="shared" si="18"/>
        <v>0.46076082418241165</v>
      </c>
      <c r="H100" s="1">
        <f t="shared" si="11"/>
        <v>4.7385060236879535E-3</v>
      </c>
      <c r="I100">
        <f t="shared" si="12"/>
        <v>10</v>
      </c>
      <c r="J100">
        <f t="shared" si="13"/>
        <v>63</v>
      </c>
      <c r="K100" s="5">
        <f t="shared" si="14"/>
        <v>0</v>
      </c>
      <c r="L100">
        <f t="shared" si="15"/>
        <v>95</v>
      </c>
      <c r="M100">
        <f t="shared" si="16"/>
        <v>1</v>
      </c>
      <c r="N100">
        <f t="shared" si="17"/>
        <v>0</v>
      </c>
    </row>
    <row r="101" spans="4:14" x14ac:dyDescent="0.2">
      <c r="D101">
        <f t="shared" si="19"/>
        <v>78</v>
      </c>
      <c r="E101" s="1">
        <f t="shared" si="20"/>
        <v>1.5503622244825797</v>
      </c>
      <c r="F101" s="1">
        <f t="shared" si="21"/>
        <v>-0.78534749004715043</v>
      </c>
      <c r="G101" s="1">
        <f t="shared" si="18"/>
        <v>0.45596123226384488</v>
      </c>
      <c r="H101" s="1">
        <f t="shared" si="11"/>
        <v>4.6891465859412043E-3</v>
      </c>
      <c r="I101">
        <f t="shared" si="12"/>
        <v>10</v>
      </c>
      <c r="J101">
        <f t="shared" si="13"/>
        <v>64</v>
      </c>
      <c r="K101" s="5">
        <f t="shared" si="14"/>
        <v>0</v>
      </c>
      <c r="L101">
        <f t="shared" si="15"/>
        <v>95</v>
      </c>
      <c r="M101">
        <f t="shared" si="16"/>
        <v>1</v>
      </c>
      <c r="N101">
        <f t="shared" si="17"/>
        <v>0</v>
      </c>
    </row>
    <row r="102" spans="4:14" x14ac:dyDescent="0.2">
      <c r="D102">
        <f t="shared" si="19"/>
        <v>79</v>
      </c>
      <c r="E102" s="1">
        <f t="shared" si="20"/>
        <v>1.5398909246152843</v>
      </c>
      <c r="F102" s="1">
        <f t="shared" si="21"/>
        <v>-0.79581878991444577</v>
      </c>
      <c r="G102" s="1">
        <f t="shared" si="18"/>
        <v>0.45121163609442988</v>
      </c>
      <c r="H102" s="1">
        <f t="shared" si="11"/>
        <v>4.6403013090043172E-3</v>
      </c>
      <c r="I102">
        <f t="shared" si="12"/>
        <v>10</v>
      </c>
      <c r="J102">
        <f t="shared" si="13"/>
        <v>65</v>
      </c>
      <c r="K102" s="5">
        <f t="shared" si="14"/>
        <v>0</v>
      </c>
      <c r="L102">
        <f t="shared" si="15"/>
        <v>95</v>
      </c>
      <c r="M102">
        <f t="shared" si="16"/>
        <v>1</v>
      </c>
      <c r="N102">
        <f t="shared" si="17"/>
        <v>0</v>
      </c>
    </row>
    <row r="103" spans="4:14" x14ac:dyDescent="0.2">
      <c r="D103">
        <f t="shared" si="19"/>
        <v>80</v>
      </c>
      <c r="E103" s="1">
        <f t="shared" si="20"/>
        <v>1.529419624747989</v>
      </c>
      <c r="F103" s="1">
        <f t="shared" si="21"/>
        <v>-0.8062900897817411</v>
      </c>
      <c r="G103" s="1">
        <f t="shared" si="18"/>
        <v>0.44651151488511293</v>
      </c>
      <c r="H103" s="1">
        <f t="shared" si="11"/>
        <v>4.5919648370355221E-3</v>
      </c>
      <c r="I103">
        <f t="shared" si="12"/>
        <v>10</v>
      </c>
      <c r="J103">
        <f t="shared" si="13"/>
        <v>66</v>
      </c>
      <c r="K103" s="5">
        <f t="shared" si="14"/>
        <v>0</v>
      </c>
      <c r="L103">
        <f t="shared" si="15"/>
        <v>95</v>
      </c>
      <c r="M103">
        <f t="shared" si="16"/>
        <v>1</v>
      </c>
      <c r="N103">
        <f t="shared" si="17"/>
        <v>0</v>
      </c>
    </row>
    <row r="104" spans="4:14" x14ac:dyDescent="0.2">
      <c r="D104">
        <f t="shared" si="19"/>
        <v>81</v>
      </c>
      <c r="E104" s="1">
        <f t="shared" si="20"/>
        <v>1.5189483248806936</v>
      </c>
      <c r="F104" s="1">
        <f t="shared" si="21"/>
        <v>-0.81676138964903644</v>
      </c>
      <c r="G104" s="1">
        <f t="shared" si="18"/>
        <v>0.44186035327172635</v>
      </c>
      <c r="H104" s="1">
        <f t="shared" si="11"/>
        <v>4.544131869983069E-3</v>
      </c>
      <c r="I104">
        <f t="shared" si="12"/>
        <v>10</v>
      </c>
      <c r="J104">
        <f t="shared" si="13"/>
        <v>67</v>
      </c>
      <c r="K104" s="5">
        <f t="shared" si="14"/>
        <v>0</v>
      </c>
      <c r="L104">
        <f t="shared" si="15"/>
        <v>95</v>
      </c>
      <c r="M104">
        <f t="shared" si="16"/>
        <v>1</v>
      </c>
      <c r="N104">
        <f t="shared" si="17"/>
        <v>0</v>
      </c>
    </row>
    <row r="105" spans="4:14" x14ac:dyDescent="0.2">
      <c r="D105">
        <f t="shared" si="19"/>
        <v>82</v>
      </c>
      <c r="E105" s="1">
        <f t="shared" si="20"/>
        <v>1.5084770250133983</v>
      </c>
      <c r="F105" s="1">
        <f t="shared" si="21"/>
        <v>-0.82723268951633178</v>
      </c>
      <c r="G105" s="1">
        <f t="shared" si="18"/>
        <v>0.43725764125847927</v>
      </c>
      <c r="H105" s="1">
        <f t="shared" si="11"/>
        <v>4.4967971630040793E-3</v>
      </c>
      <c r="I105">
        <f t="shared" si="12"/>
        <v>10</v>
      </c>
      <c r="J105">
        <f t="shared" si="13"/>
        <v>68</v>
      </c>
      <c r="K105" s="5">
        <f t="shared" si="14"/>
        <v>0</v>
      </c>
      <c r="L105">
        <f t="shared" si="15"/>
        <v>95</v>
      </c>
      <c r="M105">
        <f t="shared" si="16"/>
        <v>1</v>
      </c>
      <c r="N105">
        <f t="shared" si="17"/>
        <v>0</v>
      </c>
    </row>
    <row r="106" spans="4:14" x14ac:dyDescent="0.2">
      <c r="D106">
        <f t="shared" si="19"/>
        <v>83</v>
      </c>
      <c r="E106" s="1">
        <f t="shared" si="20"/>
        <v>1.498005725146103</v>
      </c>
      <c r="F106" s="1">
        <f t="shared" si="21"/>
        <v>-0.83770398938362711</v>
      </c>
      <c r="G106" s="1">
        <f t="shared" si="18"/>
        <v>0.43270287416203679</v>
      </c>
      <c r="H106" s="1">
        <f t="shared" si="11"/>
        <v>4.4499555258894537E-3</v>
      </c>
      <c r="I106">
        <f t="shared" si="12"/>
        <v>10</v>
      </c>
      <c r="J106">
        <f t="shared" si="13"/>
        <v>69</v>
      </c>
      <c r="K106" s="5">
        <f t="shared" si="14"/>
        <v>0</v>
      </c>
      <c r="L106">
        <f t="shared" si="15"/>
        <v>95</v>
      </c>
      <c r="M106">
        <f t="shared" si="16"/>
        <v>1</v>
      </c>
      <c r="N106">
        <f t="shared" si="17"/>
        <v>0</v>
      </c>
    </row>
    <row r="107" spans="4:14" x14ac:dyDescent="0.2">
      <c r="D107">
        <f t="shared" si="19"/>
        <v>84</v>
      </c>
      <c r="E107" s="1">
        <f t="shared" si="20"/>
        <v>1.4875344252788076</v>
      </c>
      <c r="F107" s="1">
        <f t="shared" si="21"/>
        <v>-0.84817528925092245</v>
      </c>
      <c r="G107" s="1">
        <f t="shared" si="18"/>
        <v>0.42819555255618225</v>
      </c>
      <c r="H107" s="1">
        <f t="shared" si="11"/>
        <v>4.403601822494772E-3</v>
      </c>
      <c r="I107">
        <f t="shared" si="12"/>
        <v>10</v>
      </c>
      <c r="J107">
        <f t="shared" si="13"/>
        <v>70</v>
      </c>
      <c r="K107" s="5">
        <f t="shared" si="14"/>
        <v>0</v>
      </c>
      <c r="L107">
        <f t="shared" si="15"/>
        <v>95</v>
      </c>
      <c r="M107">
        <f t="shared" si="16"/>
        <v>1</v>
      </c>
      <c r="N107">
        <f t="shared" si="17"/>
        <v>0</v>
      </c>
    </row>
    <row r="108" spans="4:14" x14ac:dyDescent="0.2">
      <c r="D108">
        <f t="shared" si="19"/>
        <v>85</v>
      </c>
      <c r="E108" s="1">
        <f t="shared" si="20"/>
        <v>1.4770631254115123</v>
      </c>
      <c r="F108" s="1">
        <f t="shared" si="21"/>
        <v>-0.85864658911821778</v>
      </c>
      <c r="G108" s="1">
        <f t="shared" si="18"/>
        <v>0.42373518221705542</v>
      </c>
      <c r="H108" s="1">
        <f t="shared" si="11"/>
        <v>4.357730970177119E-3</v>
      </c>
      <c r="I108">
        <f t="shared" si="12"/>
        <v>10</v>
      </c>
      <c r="J108">
        <f t="shared" si="13"/>
        <v>71</v>
      </c>
      <c r="K108" s="5">
        <f t="shared" si="14"/>
        <v>0</v>
      </c>
      <c r="L108">
        <f t="shared" si="15"/>
        <v>95</v>
      </c>
      <c r="M108">
        <f t="shared" si="16"/>
        <v>1</v>
      </c>
      <c r="N108">
        <f t="shared" si="17"/>
        <v>0</v>
      </c>
    </row>
    <row r="109" spans="4:14" x14ac:dyDescent="0.2">
      <c r="D109">
        <f t="shared" si="19"/>
        <v>86</v>
      </c>
      <c r="E109" s="1">
        <f t="shared" si="20"/>
        <v>1.466591825544217</v>
      </c>
      <c r="F109" s="1">
        <f t="shared" si="21"/>
        <v>-0.86911788898551312</v>
      </c>
      <c r="G109" s="1">
        <f t="shared" si="18"/>
        <v>0.41932127406896108</v>
      </c>
      <c r="H109" s="1">
        <f t="shared" si="11"/>
        <v>4.3123379392377738E-3</v>
      </c>
      <c r="I109">
        <f t="shared" si="12"/>
        <v>10</v>
      </c>
      <c r="J109">
        <f t="shared" si="13"/>
        <v>72</v>
      </c>
      <c r="K109" s="5">
        <f t="shared" si="14"/>
        <v>0</v>
      </c>
      <c r="L109">
        <f t="shared" si="15"/>
        <v>95</v>
      </c>
      <c r="M109">
        <f t="shared" si="16"/>
        <v>1</v>
      </c>
      <c r="N109">
        <f t="shared" si="17"/>
        <v>0</v>
      </c>
    </row>
    <row r="110" spans="4:14" x14ac:dyDescent="0.2">
      <c r="D110">
        <f t="shared" si="19"/>
        <v>87</v>
      </c>
      <c r="E110" s="1">
        <f t="shared" si="20"/>
        <v>1.4561205256769216</v>
      </c>
      <c r="F110" s="1">
        <f t="shared" si="21"/>
        <v>-0.87958918885280846</v>
      </c>
      <c r="G110" s="1">
        <f t="shared" si="18"/>
        <v>0.41495334413074275</v>
      </c>
      <c r="H110" s="1">
        <f t="shared" si="11"/>
        <v>4.2674177523707134E-3</v>
      </c>
      <c r="I110">
        <f t="shared" si="12"/>
        <v>10</v>
      </c>
      <c r="J110">
        <f t="shared" si="13"/>
        <v>73</v>
      </c>
      <c r="K110" s="5">
        <f t="shared" si="14"/>
        <v>0</v>
      </c>
      <c r="L110">
        <f t="shared" si="15"/>
        <v>95</v>
      </c>
      <c r="M110">
        <f t="shared" si="16"/>
        <v>1</v>
      </c>
      <c r="N110">
        <f t="shared" si="17"/>
        <v>0</v>
      </c>
    </row>
    <row r="111" spans="4:14" x14ac:dyDescent="0.2">
      <c r="D111">
        <f t="shared" si="19"/>
        <v>88</v>
      </c>
      <c r="E111" s="1">
        <f t="shared" si="20"/>
        <v>1.4456492258096263</v>
      </c>
      <c r="F111" s="1">
        <f t="shared" si="21"/>
        <v>-0.89006048872010379</v>
      </c>
      <c r="G111" s="1">
        <f t="shared" si="18"/>
        <v>0.41063091346271424</v>
      </c>
      <c r="H111" s="1">
        <f t="shared" si="11"/>
        <v>4.2229654841168529E-3</v>
      </c>
      <c r="I111">
        <f t="shared" si="12"/>
        <v>10</v>
      </c>
      <c r="J111">
        <f t="shared" si="13"/>
        <v>74</v>
      </c>
      <c r="K111" s="5">
        <f t="shared" si="14"/>
        <v>0</v>
      </c>
      <c r="L111">
        <f t="shared" si="15"/>
        <v>95</v>
      </c>
      <c r="M111">
        <f t="shared" si="16"/>
        <v>1</v>
      </c>
      <c r="N111">
        <f t="shared" si="17"/>
        <v>0</v>
      </c>
    </row>
    <row r="112" spans="4:14" x14ac:dyDescent="0.2">
      <c r="D112">
        <f t="shared" si="19"/>
        <v>89</v>
      </c>
      <c r="E112" s="1">
        <f t="shared" si="20"/>
        <v>1.435177925942331</v>
      </c>
      <c r="F112" s="1">
        <f t="shared" si="21"/>
        <v>-0.90053178858739913</v>
      </c>
      <c r="G112" s="1">
        <f t="shared" si="18"/>
        <v>0.40635350811414434</v>
      </c>
      <c r="H112" s="1">
        <f t="shared" si="11"/>
        <v>4.178976260323969E-3</v>
      </c>
      <c r="I112">
        <f t="shared" si="12"/>
        <v>10</v>
      </c>
      <c r="J112">
        <f t="shared" si="13"/>
        <v>75</v>
      </c>
      <c r="K112" s="5">
        <f t="shared" si="14"/>
        <v>0</v>
      </c>
      <c r="L112">
        <f t="shared" si="15"/>
        <v>95</v>
      </c>
      <c r="M112">
        <f t="shared" si="16"/>
        <v>1</v>
      </c>
      <c r="N112">
        <f t="shared" si="17"/>
        <v>0</v>
      </c>
    </row>
    <row r="113" spans="4:14" x14ac:dyDescent="0.2">
      <c r="D113">
        <f t="shared" si="19"/>
        <v>90</v>
      </c>
      <c r="E113" s="1">
        <f t="shared" si="20"/>
        <v>1.4247066260750356</v>
      </c>
      <c r="F113" s="1">
        <f t="shared" si="21"/>
        <v>-0.91100308845469447</v>
      </c>
      <c r="G113" s="1">
        <f t="shared" si="18"/>
        <v>0.40212065907128869</v>
      </c>
      <c r="H113" s="1">
        <f t="shared" si="11"/>
        <v>4.1354452576122611E-3</v>
      </c>
      <c r="I113">
        <f t="shared" si="12"/>
        <v>10</v>
      </c>
      <c r="J113">
        <f t="shared" si="13"/>
        <v>76</v>
      </c>
      <c r="K113" s="5">
        <f t="shared" si="14"/>
        <v>0</v>
      </c>
      <c r="L113">
        <f t="shared" si="15"/>
        <v>95</v>
      </c>
      <c r="M113">
        <f t="shared" si="16"/>
        <v>1</v>
      </c>
      <c r="N113">
        <f t="shared" si="17"/>
        <v>0</v>
      </c>
    </row>
    <row r="114" spans="4:14" x14ac:dyDescent="0.2">
      <c r="D114">
        <f t="shared" si="19"/>
        <v>91</v>
      </c>
      <c r="E114" s="1">
        <f t="shared" si="20"/>
        <v>1.4142353262077403</v>
      </c>
      <c r="F114" s="1">
        <f t="shared" si="21"/>
        <v>-0.9214743883219898</v>
      </c>
      <c r="G114" s="1">
        <f t="shared" si="18"/>
        <v>0.39793190220596281</v>
      </c>
      <c r="H114" s="1">
        <f t="shared" si="11"/>
        <v>4.0923677028454671E-3</v>
      </c>
      <c r="I114">
        <f t="shared" si="12"/>
        <v>10</v>
      </c>
      <c r="J114">
        <f t="shared" si="13"/>
        <v>77</v>
      </c>
      <c r="K114" s="5">
        <f t="shared" si="14"/>
        <v>0</v>
      </c>
      <c r="L114">
        <f t="shared" si="15"/>
        <v>95</v>
      </c>
      <c r="M114">
        <f t="shared" si="16"/>
        <v>1</v>
      </c>
      <c r="N114">
        <f t="shared" si="17"/>
        <v>0</v>
      </c>
    </row>
    <row r="115" spans="4:14" x14ac:dyDescent="0.2">
      <c r="D115">
        <f t="shared" si="19"/>
        <v>92</v>
      </c>
      <c r="E115" s="1">
        <f t="shared" si="20"/>
        <v>1.4037640263404449</v>
      </c>
      <c r="F115" s="1">
        <f t="shared" si="21"/>
        <v>-0.93194568818928514</v>
      </c>
      <c r="G115" s="1">
        <f t="shared" si="18"/>
        <v>0.39378677822465069</v>
      </c>
      <c r="H115" s="1">
        <f t="shared" si="11"/>
        <v>4.0497388726074939E-3</v>
      </c>
      <c r="I115">
        <f t="shared" si="12"/>
        <v>10</v>
      </c>
      <c r="J115">
        <f t="shared" si="13"/>
        <v>78</v>
      </c>
      <c r="K115" s="5">
        <f t="shared" si="14"/>
        <v>0</v>
      </c>
      <c r="L115">
        <f t="shared" si="15"/>
        <v>95</v>
      </c>
      <c r="M115">
        <f t="shared" si="16"/>
        <v>1</v>
      </c>
      <c r="N115">
        <f t="shared" si="17"/>
        <v>0</v>
      </c>
    </row>
    <row r="116" spans="4:14" x14ac:dyDescent="0.2">
      <c r="D116">
        <f t="shared" si="19"/>
        <v>93</v>
      </c>
      <c r="E116" s="1">
        <f t="shared" si="20"/>
        <v>1.3932927264731496</v>
      </c>
      <c r="F116" s="1">
        <f t="shared" si="21"/>
        <v>-0.94241698805658047</v>
      </c>
      <c r="G116" s="1">
        <f t="shared" si="18"/>
        <v>0.38968483261814396</v>
      </c>
      <c r="H116" s="1">
        <f t="shared" si="11"/>
        <v>4.0075540926844998E-3</v>
      </c>
      <c r="I116">
        <f t="shared" si="12"/>
        <v>10</v>
      </c>
      <c r="J116">
        <f t="shared" si="13"/>
        <v>79</v>
      </c>
      <c r="K116" s="5">
        <f t="shared" si="14"/>
        <v>0</v>
      </c>
      <c r="L116">
        <f t="shared" si="15"/>
        <v>95</v>
      </c>
      <c r="M116">
        <f t="shared" si="16"/>
        <v>1</v>
      </c>
      <c r="N116">
        <f t="shared" si="17"/>
        <v>0</v>
      </c>
    </row>
    <row r="117" spans="4:14" x14ac:dyDescent="0.2">
      <c r="D117">
        <f t="shared" si="19"/>
        <v>94</v>
      </c>
      <c r="E117" s="1">
        <f t="shared" si="20"/>
        <v>1.3828214266058543</v>
      </c>
      <c r="F117" s="1">
        <f t="shared" si="21"/>
        <v>-0.95288828792387581</v>
      </c>
      <c r="G117" s="1">
        <f t="shared" si="18"/>
        <v>0.385625615611705</v>
      </c>
      <c r="H117" s="1">
        <f t="shared" si="11"/>
        <v>3.9658087375523694E-3</v>
      </c>
      <c r="I117">
        <f t="shared" si="12"/>
        <v>10</v>
      </c>
      <c r="J117">
        <f t="shared" si="13"/>
        <v>80</v>
      </c>
      <c r="K117" s="5">
        <f t="shared" si="14"/>
        <v>0</v>
      </c>
      <c r="L117">
        <f t="shared" si="15"/>
        <v>95</v>
      </c>
      <c r="M117">
        <f t="shared" si="16"/>
        <v>1</v>
      </c>
      <c r="N117">
        <f t="shared" si="17"/>
        <v>0</v>
      </c>
    </row>
    <row r="118" spans="4:14" x14ac:dyDescent="0.2">
      <c r="D118">
        <f t="shared" si="19"/>
        <v>95</v>
      </c>
      <c r="E118" s="1">
        <f t="shared" si="20"/>
        <v>1.3723501267385589</v>
      </c>
      <c r="F118" s="1">
        <f t="shared" si="21"/>
        <v>-0.96335958779117115</v>
      </c>
      <c r="G118" s="1">
        <f t="shared" si="18"/>
        <v>0.38160868211574972</v>
      </c>
      <c r="H118" s="1">
        <f t="shared" si="11"/>
        <v>3.9244982298695325E-3</v>
      </c>
      <c r="I118">
        <f t="shared" si="12"/>
        <v>10</v>
      </c>
      <c r="J118">
        <f t="shared" si="13"/>
        <v>81</v>
      </c>
      <c r="K118" s="5">
        <f t="shared" si="14"/>
        <v>0</v>
      </c>
      <c r="L118">
        <f t="shared" si="15"/>
        <v>95</v>
      </c>
      <c r="M118">
        <f t="shared" si="16"/>
        <v>1</v>
      </c>
      <c r="N118">
        <f t="shared" si="17"/>
        <v>0</v>
      </c>
    </row>
    <row r="119" spans="4:14" x14ac:dyDescent="0.2">
      <c r="D119">
        <f t="shared" si="19"/>
        <v>96</v>
      </c>
      <c r="E119" s="1">
        <f t="shared" si="20"/>
        <v>1.3618788268712636</v>
      </c>
      <c r="F119" s="1">
        <f t="shared" si="21"/>
        <v>-0.97383088765846648</v>
      </c>
      <c r="G119" s="1">
        <f t="shared" si="18"/>
        <v>0.37763359167704402</v>
      </c>
      <c r="H119" s="1">
        <f t="shared" si="11"/>
        <v>3.8836180399750586E-3</v>
      </c>
      <c r="I119">
        <f t="shared" si="12"/>
        <v>10</v>
      </c>
      <c r="J119">
        <f t="shared" si="13"/>
        <v>82</v>
      </c>
      <c r="K119" s="5">
        <f t="shared" si="14"/>
        <v>0</v>
      </c>
      <c r="L119">
        <f t="shared" si="15"/>
        <v>95</v>
      </c>
      <c r="M119">
        <f t="shared" si="16"/>
        <v>1</v>
      </c>
      <c r="N119">
        <f t="shared" si="17"/>
        <v>0</v>
      </c>
    </row>
    <row r="120" spans="4:14" x14ac:dyDescent="0.2">
      <c r="D120">
        <f t="shared" si="19"/>
        <v>97</v>
      </c>
      <c r="E120" s="1">
        <f t="shared" si="20"/>
        <v>1.3514075270039683</v>
      </c>
      <c r="F120" s="1">
        <f t="shared" si="21"/>
        <v>-0.98430218752576182</v>
      </c>
      <c r="G120" s="1">
        <f t="shared" si="18"/>
        <v>0.37369990843040818</v>
      </c>
      <c r="H120" s="1">
        <f t="shared" si="11"/>
        <v>3.8431636853919851E-3</v>
      </c>
      <c r="I120">
        <f t="shared" si="12"/>
        <v>10</v>
      </c>
      <c r="J120">
        <f t="shared" si="13"/>
        <v>83</v>
      </c>
      <c r="K120" s="5">
        <f t="shared" si="14"/>
        <v>0</v>
      </c>
      <c r="L120">
        <f t="shared" si="15"/>
        <v>95</v>
      </c>
      <c r="M120">
        <f t="shared" si="16"/>
        <v>1</v>
      </c>
      <c r="N120">
        <f t="shared" si="17"/>
        <v>0</v>
      </c>
    </row>
    <row r="121" spans="4:14" x14ac:dyDescent="0.2">
      <c r="D121">
        <f t="shared" si="19"/>
        <v>98</v>
      </c>
      <c r="E121" s="1">
        <f t="shared" si="20"/>
        <v>1.3409362271366729</v>
      </c>
      <c r="F121" s="1">
        <f t="shared" si="21"/>
        <v>-0.99477348739305715</v>
      </c>
      <c r="G121" s="1">
        <f t="shared" si="18"/>
        <v>0.36980720105092479</v>
      </c>
      <c r="H121" s="1">
        <f t="shared" si="11"/>
        <v>3.8031307303358192E-3</v>
      </c>
      <c r="I121">
        <f t="shared" si="12"/>
        <v>10</v>
      </c>
      <c r="J121">
        <f t="shared" si="13"/>
        <v>84</v>
      </c>
      <c r="K121" s="5">
        <f t="shared" si="14"/>
        <v>0</v>
      </c>
      <c r="L121">
        <f t="shared" si="15"/>
        <v>95</v>
      </c>
      <c r="M121">
        <f t="shared" si="16"/>
        <v>1</v>
      </c>
      <c r="N121">
        <f t="shared" si="17"/>
        <v>0</v>
      </c>
    </row>
    <row r="122" spans="4:14" x14ac:dyDescent="0.2">
      <c r="D122">
        <f t="shared" si="19"/>
        <v>99</v>
      </c>
      <c r="E122" s="1">
        <f t="shared" si="20"/>
        <v>1.3304649272693776</v>
      </c>
      <c r="F122" s="1">
        <f t="shared" si="21"/>
        <v>-1.0052447872603525</v>
      </c>
      <c r="G122" s="1">
        <f t="shared" si="18"/>
        <v>0.36595504270664436</v>
      </c>
      <c r="H122" s="1">
        <f t="shared" si="11"/>
        <v>3.7635147852281546E-3</v>
      </c>
      <c r="I122">
        <f t="shared" si="12"/>
        <v>10</v>
      </c>
      <c r="J122">
        <f t="shared" si="13"/>
        <v>85</v>
      </c>
      <c r="K122" s="5">
        <f t="shared" si="14"/>
        <v>0</v>
      </c>
      <c r="L122">
        <f t="shared" si="15"/>
        <v>95</v>
      </c>
      <c r="M122">
        <f t="shared" si="16"/>
        <v>1</v>
      </c>
      <c r="N122">
        <f t="shared" si="17"/>
        <v>0</v>
      </c>
    </row>
    <row r="123" spans="4:14" x14ac:dyDescent="0.2">
      <c r="D123">
        <f t="shared" si="19"/>
        <v>100</v>
      </c>
      <c r="E123" s="1">
        <f t="shared" si="20"/>
        <v>1.3199936274020823</v>
      </c>
      <c r="F123" s="1">
        <f t="shared" si="21"/>
        <v>-1.0157160871276478</v>
      </c>
      <c r="G123" s="1">
        <f t="shared" si="18"/>
        <v>0.36214301101178348</v>
      </c>
      <c r="H123" s="1">
        <f t="shared" si="11"/>
        <v>3.7243115062153614E-3</v>
      </c>
      <c r="I123">
        <f t="shared" si="12"/>
        <v>10</v>
      </c>
      <c r="J123">
        <f t="shared" si="13"/>
        <v>86</v>
      </c>
      <c r="K123" s="5">
        <f t="shared" si="14"/>
        <v>0</v>
      </c>
      <c r="L123">
        <f t="shared" si="15"/>
        <v>95</v>
      </c>
      <c r="M123">
        <f t="shared" si="16"/>
        <v>1</v>
      </c>
      <c r="N123">
        <f t="shared" si="17"/>
        <v>0</v>
      </c>
    </row>
    <row r="124" spans="4:14" x14ac:dyDescent="0.2">
      <c r="D124">
        <f t="shared" si="19"/>
        <v>101</v>
      </c>
      <c r="E124" s="1">
        <f t="shared" si="20"/>
        <v>1.3095223275347869</v>
      </c>
      <c r="F124" s="1">
        <f t="shared" si="21"/>
        <v>-1.0261873869949432</v>
      </c>
      <c r="G124" s="1">
        <f t="shared" si="18"/>
        <v>0.35837068798041077</v>
      </c>
      <c r="H124" s="1">
        <f t="shared" si="11"/>
        <v>3.6855165946922852E-3</v>
      </c>
      <c r="I124">
        <f t="shared" si="12"/>
        <v>10</v>
      </c>
      <c r="J124">
        <f t="shared" si="13"/>
        <v>87</v>
      </c>
      <c r="K124" s="5">
        <f t="shared" si="14"/>
        <v>0</v>
      </c>
      <c r="L124">
        <f t="shared" si="15"/>
        <v>95</v>
      </c>
      <c r="M124">
        <f t="shared" si="16"/>
        <v>1</v>
      </c>
      <c r="N124">
        <f t="shared" si="17"/>
        <v>0</v>
      </c>
    </row>
    <row r="125" spans="4:14" x14ac:dyDescent="0.2">
      <c r="D125">
        <f t="shared" si="19"/>
        <v>102</v>
      </c>
      <c r="E125" s="1">
        <f t="shared" si="20"/>
        <v>1.2990510276674916</v>
      </c>
      <c r="F125" s="1">
        <f t="shared" si="21"/>
        <v>-1.0366586868622385</v>
      </c>
      <c r="G125" s="1">
        <f t="shared" si="18"/>
        <v>0.35463765998061486</v>
      </c>
      <c r="H125" s="1">
        <f t="shared" si="11"/>
        <v>3.6471257968309074E-3</v>
      </c>
      <c r="I125">
        <f t="shared" si="12"/>
        <v>10</v>
      </c>
      <c r="J125">
        <f t="shared" si="13"/>
        <v>88</v>
      </c>
      <c r="K125" s="5">
        <f t="shared" si="14"/>
        <v>0</v>
      </c>
      <c r="L125">
        <f t="shared" si="15"/>
        <v>95</v>
      </c>
      <c r="M125">
        <f t="shared" si="16"/>
        <v>1</v>
      </c>
      <c r="N125">
        <f t="shared" si="17"/>
        <v>0</v>
      </c>
    </row>
    <row r="126" spans="4:14" x14ac:dyDescent="0.2">
      <c r="D126">
        <f t="shared" si="19"/>
        <v>103</v>
      </c>
      <c r="E126" s="1">
        <f t="shared" si="20"/>
        <v>1.2885797278001963</v>
      </c>
      <c r="F126" s="1">
        <f t="shared" si="21"/>
        <v>-1.0471299867295338</v>
      </c>
      <c r="G126" s="1">
        <f t="shared" si="18"/>
        <v>0.35094351768915016</v>
      </c>
      <c r="H126" s="1">
        <f t="shared" si="11"/>
        <v>3.6091349031139191E-3</v>
      </c>
      <c r="I126">
        <f t="shared" si="12"/>
        <v>10</v>
      </c>
      <c r="J126">
        <f t="shared" si="13"/>
        <v>89</v>
      </c>
      <c r="K126" s="5">
        <f t="shared" si="14"/>
        <v>0</v>
      </c>
      <c r="L126">
        <f t="shared" si="15"/>
        <v>95</v>
      </c>
      <c r="M126">
        <f t="shared" si="16"/>
        <v>1</v>
      </c>
      <c r="N126">
        <f t="shared" si="17"/>
        <v>0</v>
      </c>
    </row>
    <row r="127" spans="4:14" x14ac:dyDescent="0.2">
      <c r="D127">
        <f t="shared" si="19"/>
        <v>104</v>
      </c>
      <c r="E127" s="1">
        <f t="shared" si="20"/>
        <v>1.2781084279329009</v>
      </c>
      <c r="F127" s="1">
        <f t="shared" si="21"/>
        <v>-1.0576012865968292</v>
      </c>
      <c r="G127" s="1">
        <f t="shared" si="18"/>
        <v>0.34728785604655482</v>
      </c>
      <c r="H127" s="1">
        <f t="shared" si="11"/>
        <v>3.5715397478731487E-3</v>
      </c>
      <c r="I127">
        <f t="shared" si="12"/>
        <v>10</v>
      </c>
      <c r="J127">
        <f t="shared" si="13"/>
        <v>90</v>
      </c>
      <c r="K127" s="5">
        <f t="shared" si="14"/>
        <v>0</v>
      </c>
      <c r="L127">
        <f t="shared" si="15"/>
        <v>95</v>
      </c>
      <c r="M127">
        <f t="shared" si="16"/>
        <v>1</v>
      </c>
      <c r="N127">
        <f t="shared" si="17"/>
        <v>0</v>
      </c>
    </row>
    <row r="128" spans="4:14" x14ac:dyDescent="0.2">
      <c r="D128">
        <f t="shared" si="19"/>
        <v>105</v>
      </c>
      <c r="E128" s="1">
        <f t="shared" si="20"/>
        <v>1.2676371280656056</v>
      </c>
      <c r="F128" s="1">
        <f t="shared" si="21"/>
        <v>-1.0680725864641245</v>
      </c>
      <c r="G128" s="1">
        <f t="shared" si="18"/>
        <v>0.3436702742127366</v>
      </c>
      <c r="H128" s="1">
        <f t="shared" si="11"/>
        <v>3.5343362088328042E-3</v>
      </c>
      <c r="I128">
        <f t="shared" si="12"/>
        <v>10</v>
      </c>
      <c r="J128">
        <f t="shared" si="13"/>
        <v>91</v>
      </c>
      <c r="K128" s="5">
        <f t="shared" si="14"/>
        <v>0</v>
      </c>
      <c r="L128">
        <f t="shared" si="15"/>
        <v>95</v>
      </c>
      <c r="M128">
        <f t="shared" si="16"/>
        <v>1</v>
      </c>
      <c r="N128">
        <f t="shared" si="17"/>
        <v>0</v>
      </c>
    </row>
    <row r="129" spans="4:14" x14ac:dyDescent="0.2">
      <c r="D129">
        <f t="shared" si="19"/>
        <v>106</v>
      </c>
      <c r="E129" s="1">
        <f t="shared" si="20"/>
        <v>1.2571658281983102</v>
      </c>
      <c r="F129" s="1">
        <f t="shared" si="21"/>
        <v>-1.0785438863314198</v>
      </c>
      <c r="G129" s="1">
        <f t="shared" si="18"/>
        <v>0.34009037552302063</v>
      </c>
      <c r="H129" s="1">
        <f t="shared" si="11"/>
        <v>3.4975202066574629E-3</v>
      </c>
      <c r="I129">
        <f t="shared" si="12"/>
        <v>10</v>
      </c>
      <c r="J129">
        <f t="shared" si="13"/>
        <v>92</v>
      </c>
      <c r="K129" s="5">
        <f t="shared" si="14"/>
        <v>0</v>
      </c>
      <c r="L129">
        <f t="shared" si="15"/>
        <v>95</v>
      </c>
      <c r="M129">
        <f t="shared" si="16"/>
        <v>1</v>
      </c>
      <c r="N129">
        <f t="shared" si="17"/>
        <v>0</v>
      </c>
    </row>
    <row r="130" spans="4:14" x14ac:dyDescent="0.2">
      <c r="D130">
        <f t="shared" si="19"/>
        <v>107</v>
      </c>
      <c r="E130" s="1">
        <f t="shared" si="20"/>
        <v>1.2466945283310149</v>
      </c>
      <c r="F130" s="1">
        <f t="shared" si="21"/>
        <v>-1.0890151861987152</v>
      </c>
      <c r="G130" s="1">
        <f t="shared" si="18"/>
        <v>0.33654776744465581</v>
      </c>
      <c r="H130" s="1">
        <f t="shared" si="11"/>
        <v>3.4610877045047807E-3</v>
      </c>
      <c r="I130">
        <f t="shared" si="12"/>
        <v>10</v>
      </c>
      <c r="J130">
        <f t="shared" si="13"/>
        <v>93</v>
      </c>
      <c r="K130" s="5">
        <f t="shared" si="14"/>
        <v>0</v>
      </c>
      <c r="L130">
        <f t="shared" si="15"/>
        <v>95</v>
      </c>
      <c r="M130">
        <f t="shared" si="16"/>
        <v>1</v>
      </c>
      <c r="N130">
        <f t="shared" si="17"/>
        <v>0</v>
      </c>
    </row>
    <row r="131" spans="4:14" x14ac:dyDescent="0.2">
      <c r="D131">
        <f t="shared" si="19"/>
        <v>108</v>
      </c>
      <c r="E131" s="1">
        <f t="shared" si="20"/>
        <v>1.2362232284637196</v>
      </c>
      <c r="F131" s="1">
        <f t="shared" si="21"/>
        <v>-1.0994864860660105</v>
      </c>
      <c r="G131" s="1">
        <f t="shared" si="18"/>
        <v>0.33304206153377403</v>
      </c>
      <c r="H131" s="1">
        <f t="shared" si="11"/>
        <v>3.4250347075828564E-3</v>
      </c>
      <c r="I131">
        <f t="shared" si="12"/>
        <v>10</v>
      </c>
      <c r="J131">
        <f t="shared" si="13"/>
        <v>94</v>
      </c>
      <c r="K131" s="5">
        <f t="shared" si="14"/>
        <v>0</v>
      </c>
      <c r="L131">
        <f t="shared" si="15"/>
        <v>95</v>
      </c>
      <c r="M131">
        <f t="shared" si="16"/>
        <v>1</v>
      </c>
      <c r="N131">
        <f t="shared" si="17"/>
        <v>0</v>
      </c>
    </row>
    <row r="132" spans="4:14" x14ac:dyDescent="0.2">
      <c r="D132">
        <f t="shared" si="19"/>
        <v>109</v>
      </c>
      <c r="E132" s="1">
        <f t="shared" si="20"/>
        <v>1.2257519285964242</v>
      </c>
      <c r="F132" s="1">
        <f t="shared" si="21"/>
        <v>-1.1099577859333059</v>
      </c>
      <c r="G132" s="1">
        <f t="shared" si="18"/>
        <v>0.32957287339279723</v>
      </c>
      <c r="H132" s="1">
        <f t="shared" si="11"/>
        <v>3.3893572627122018E-3</v>
      </c>
      <c r="I132">
        <f t="shared" si="12"/>
        <v>10</v>
      </c>
      <c r="J132">
        <f t="shared" si="13"/>
        <v>95</v>
      </c>
      <c r="K132" s="5">
        <f t="shared" si="14"/>
        <v>0</v>
      </c>
      <c r="L132">
        <f t="shared" si="15"/>
        <v>95</v>
      </c>
      <c r="M132">
        <f t="shared" si="16"/>
        <v>1</v>
      </c>
      <c r="N132">
        <f t="shared" si="17"/>
        <v>0</v>
      </c>
    </row>
    <row r="133" spans="4:14" x14ac:dyDescent="0.2">
      <c r="D133">
        <f t="shared" si="19"/>
        <v>110</v>
      </c>
      <c r="E133" s="1">
        <f t="shared" si="20"/>
        <v>1.2152806287291289</v>
      </c>
      <c r="F133" s="1">
        <f t="shared" si="21"/>
        <v>-1.1204290858006012</v>
      </c>
      <c r="G133" s="1">
        <f t="shared" si="18"/>
        <v>0.32613982262828894</v>
      </c>
      <c r="H133" s="1">
        <f t="shared" si="11"/>
        <v>3.3540514578922834E-3</v>
      </c>
      <c r="I133">
        <f t="shared" si="12"/>
        <v>10</v>
      </c>
      <c r="J133">
        <f t="shared" si="13"/>
        <v>96</v>
      </c>
      <c r="K133" s="5">
        <f t="shared" si="14"/>
        <v>0</v>
      </c>
      <c r="L133">
        <f t="shared" si="15"/>
        <v>95</v>
      </c>
      <c r="M133">
        <f t="shared" si="16"/>
        <v>1</v>
      </c>
      <c r="N133">
        <f t="shared" si="17"/>
        <v>0</v>
      </c>
    </row>
    <row r="134" spans="4:14" x14ac:dyDescent="0.2">
      <c r="D134">
        <f t="shared" si="19"/>
        <v>111</v>
      </c>
      <c r="E134" s="1">
        <f t="shared" si="20"/>
        <v>1.2048093288618336</v>
      </c>
      <c r="F134" s="1">
        <f t="shared" si="21"/>
        <v>-1.1309003856678965</v>
      </c>
      <c r="G134" s="1">
        <f t="shared" si="18"/>
        <v>0.32274253280924431</v>
      </c>
      <c r="H134" s="1">
        <f t="shared" si="11"/>
        <v>3.3191134218725723E-3</v>
      </c>
      <c r="I134">
        <f t="shared" si="12"/>
        <v>10</v>
      </c>
      <c r="J134">
        <f t="shared" si="13"/>
        <v>97</v>
      </c>
      <c r="K134" s="5">
        <f t="shared" si="14"/>
        <v>0</v>
      </c>
      <c r="L134">
        <f t="shared" si="15"/>
        <v>95</v>
      </c>
      <c r="M134">
        <f t="shared" si="16"/>
        <v>1</v>
      </c>
      <c r="N134">
        <f t="shared" si="17"/>
        <v>0</v>
      </c>
    </row>
    <row r="135" spans="4:14" x14ac:dyDescent="0.2">
      <c r="D135">
        <f t="shared" si="19"/>
        <v>112</v>
      </c>
      <c r="E135" s="1">
        <f t="shared" si="20"/>
        <v>1.1943380289945382</v>
      </c>
      <c r="F135" s="1">
        <f t="shared" si="21"/>
        <v>-1.1413716855351919</v>
      </c>
      <c r="G135" s="1">
        <f t="shared" si="18"/>
        <v>0.31938063142581469</v>
      </c>
      <c r="H135" s="1">
        <f t="shared" si="11"/>
        <v>3.2845393237280664E-3</v>
      </c>
      <c r="I135">
        <f t="shared" si="12"/>
        <v>10</v>
      </c>
      <c r="J135">
        <f t="shared" si="13"/>
        <v>98</v>
      </c>
      <c r="K135" s="5">
        <f t="shared" si="14"/>
        <v>0</v>
      </c>
      <c r="L135">
        <f t="shared" si="15"/>
        <v>95</v>
      </c>
      <c r="M135">
        <f t="shared" si="16"/>
        <v>1</v>
      </c>
      <c r="N135">
        <f t="shared" si="17"/>
        <v>0</v>
      </c>
    </row>
    <row r="136" spans="4:14" x14ac:dyDescent="0.2">
      <c r="D136">
        <f t="shared" si="19"/>
        <v>113</v>
      </c>
      <c r="E136" s="1">
        <f t="shared" si="20"/>
        <v>1.1838667291272429</v>
      </c>
      <c r="F136" s="1">
        <f t="shared" si="21"/>
        <v>-1.1518429854024872</v>
      </c>
      <c r="G136" s="1">
        <f t="shared" si="18"/>
        <v>0.31605374984846246</v>
      </c>
      <c r="H136" s="1">
        <f t="shared" si="11"/>
        <v>3.2503253724392328E-3</v>
      </c>
      <c r="I136">
        <f t="shared" si="12"/>
        <v>10</v>
      </c>
      <c r="J136">
        <f t="shared" si="13"/>
        <v>99</v>
      </c>
      <c r="K136" s="5">
        <f t="shared" si="14"/>
        <v>0</v>
      </c>
      <c r="L136">
        <f t="shared" si="15"/>
        <v>95</v>
      </c>
      <c r="M136">
        <f t="shared" si="16"/>
        <v>1</v>
      </c>
      <c r="N136">
        <f t="shared" si="17"/>
        <v>0</v>
      </c>
    </row>
    <row r="137" spans="4:14" x14ac:dyDescent="0.2">
      <c r="D137">
        <f t="shared" si="19"/>
        <v>114</v>
      </c>
      <c r="E137" s="1">
        <f t="shared" si="20"/>
        <v>1.1733954292599476</v>
      </c>
      <c r="F137" s="1">
        <f t="shared" si="21"/>
        <v>-1.1623142852697825</v>
      </c>
      <c r="G137" s="1">
        <f t="shared" si="18"/>
        <v>0.31276152328754103</v>
      </c>
      <c r="H137" s="1">
        <f t="shared" si="11"/>
        <v>3.2164678164763247E-3</v>
      </c>
      <c r="I137">
        <f t="shared" si="12"/>
        <v>10</v>
      </c>
      <c r="J137">
        <f t="shared" si="13"/>
        <v>100</v>
      </c>
      <c r="K137" s="5">
        <f t="shared" si="14"/>
        <v>0</v>
      </c>
      <c r="L137">
        <f t="shared" si="15"/>
        <v>95</v>
      </c>
      <c r="M137">
        <f t="shared" si="16"/>
        <v>1</v>
      </c>
      <c r="N137">
        <f t="shared" si="17"/>
        <v>0</v>
      </c>
    </row>
    <row r="138" spans="4:14" x14ac:dyDescent="0.2">
      <c r="D138">
        <f t="shared" si="19"/>
        <v>115</v>
      </c>
      <c r="E138" s="1">
        <f t="shared" si="20"/>
        <v>1.1629241293926522</v>
      </c>
      <c r="F138" s="1">
        <f t="shared" si="21"/>
        <v>-1.1727855851370779</v>
      </c>
      <c r="G138" s="1">
        <f t="shared" si="18"/>
        <v>0.30950359075329581</v>
      </c>
      <c r="H138" s="1">
        <f t="shared" si="11"/>
        <v>3.1829629433880293E-3</v>
      </c>
      <c r="I138">
        <f t="shared" si="12"/>
        <v>10</v>
      </c>
      <c r="J138">
        <f t="shared" si="13"/>
        <v>101</v>
      </c>
      <c r="K138" s="5">
        <f t="shared" si="14"/>
        <v>0</v>
      </c>
      <c r="L138">
        <f t="shared" si="15"/>
        <v>95</v>
      </c>
      <c r="M138">
        <f t="shared" si="16"/>
        <v>1</v>
      </c>
      <c r="N138">
        <f t="shared" si="17"/>
        <v>0</v>
      </c>
    </row>
    <row r="139" spans="4:14" x14ac:dyDescent="0.2">
      <c r="D139">
        <f t="shared" si="19"/>
        <v>116</v>
      </c>
      <c r="E139" s="1">
        <f t="shared" si="20"/>
        <v>1.1524528295253569</v>
      </c>
      <c r="F139" s="1">
        <f t="shared" si="21"/>
        <v>-1.1832568850043732</v>
      </c>
      <c r="G139" s="1">
        <f t="shared" si="18"/>
        <v>0.30627959501628232</v>
      </c>
      <c r="H139" s="1">
        <f t="shared" si="11"/>
        <v>3.1498070793944044E-3</v>
      </c>
      <c r="I139">
        <f t="shared" si="12"/>
        <v>10</v>
      </c>
      <c r="J139">
        <f t="shared" si="13"/>
        <v>102</v>
      </c>
      <c r="K139" s="5">
        <f t="shared" si="14"/>
        <v>0</v>
      </c>
      <c r="L139">
        <f t="shared" si="15"/>
        <v>95</v>
      </c>
      <c r="M139">
        <f t="shared" si="16"/>
        <v>1</v>
      </c>
      <c r="N139">
        <f t="shared" si="17"/>
        <v>0</v>
      </c>
    </row>
    <row r="140" spans="4:14" x14ac:dyDescent="0.2">
      <c r="D140">
        <f t="shared" si="19"/>
        <v>117</v>
      </c>
      <c r="E140" s="1">
        <f t="shared" si="20"/>
        <v>1.1419815296580615</v>
      </c>
      <c r="F140" s="1">
        <f t="shared" si="21"/>
        <v>-1.1937281848716685</v>
      </c>
      <c r="G140" s="1">
        <f t="shared" si="18"/>
        <v>0.30308918256819606</v>
      </c>
      <c r="H140" s="1">
        <f t="shared" si="11"/>
        <v>3.1169965889840459E-3</v>
      </c>
      <c r="I140">
        <f t="shared" si="12"/>
        <v>10</v>
      </c>
      <c r="J140">
        <f t="shared" si="13"/>
        <v>103</v>
      </c>
      <c r="K140" s="5">
        <f t="shared" si="14"/>
        <v>0</v>
      </c>
      <c r="L140">
        <f t="shared" si="15"/>
        <v>95</v>
      </c>
      <c r="M140">
        <f t="shared" si="16"/>
        <v>1</v>
      </c>
      <c r="N140">
        <f t="shared" si="17"/>
        <v>0</v>
      </c>
    </row>
    <row r="141" spans="4:14" x14ac:dyDescent="0.2">
      <c r="D141">
        <f t="shared" si="19"/>
        <v>118</v>
      </c>
      <c r="E141" s="1">
        <f t="shared" si="20"/>
        <v>1.1315102297907662</v>
      </c>
      <c r="F141" s="1">
        <f t="shared" si="21"/>
        <v>-1.2041994847389639</v>
      </c>
      <c r="G141" s="1">
        <f t="shared" si="18"/>
        <v>0.29993200358311073</v>
      </c>
      <c r="H141" s="1">
        <f t="shared" si="11"/>
        <v>3.0845278745154628E-3</v>
      </c>
      <c r="I141">
        <f t="shared" si="12"/>
        <v>10</v>
      </c>
      <c r="J141">
        <f t="shared" si="13"/>
        <v>104</v>
      </c>
      <c r="K141" s="5">
        <f t="shared" si="14"/>
        <v>0</v>
      </c>
      <c r="L141">
        <f t="shared" si="15"/>
        <v>95</v>
      </c>
      <c r="M141">
        <f t="shared" si="16"/>
        <v>1</v>
      </c>
      <c r="N141">
        <f t="shared" si="17"/>
        <v>0</v>
      </c>
    </row>
    <row r="142" spans="4:14" x14ac:dyDescent="0.2">
      <c r="D142">
        <f t="shared" si="19"/>
        <v>119</v>
      </c>
      <c r="E142" s="1">
        <f t="shared" si="20"/>
        <v>1.1210389299234709</v>
      </c>
      <c r="F142" s="1">
        <f t="shared" si="21"/>
        <v>-1.2146707846062592</v>
      </c>
      <c r="G142" s="1">
        <f t="shared" si="18"/>
        <v>0.29680771187912003</v>
      </c>
      <c r="H142" s="1">
        <f t="shared" si="11"/>
        <v>3.0523973758225936E-3</v>
      </c>
      <c r="I142">
        <f t="shared" si="12"/>
        <v>10</v>
      </c>
      <c r="J142">
        <f t="shared" si="13"/>
        <v>105</v>
      </c>
      <c r="K142" s="5">
        <f t="shared" si="14"/>
        <v>0</v>
      </c>
      <c r="L142">
        <f t="shared" si="15"/>
        <v>95</v>
      </c>
      <c r="M142">
        <f t="shared" si="16"/>
        <v>1</v>
      </c>
      <c r="N142">
        <f t="shared" si="17"/>
        <v>0</v>
      </c>
    </row>
    <row r="143" spans="4:14" x14ac:dyDescent="0.2">
      <c r="D143">
        <f t="shared" si="19"/>
        <v>120</v>
      </c>
      <c r="E143" s="1">
        <f t="shared" si="20"/>
        <v>1.1105676300561755</v>
      </c>
      <c r="F143" s="1">
        <f t="shared" si="21"/>
        <v>-1.2251420844735545</v>
      </c>
      <c r="G143" s="1">
        <f t="shared" si="18"/>
        <v>0.29371596488037921</v>
      </c>
      <c r="H143" s="1">
        <f t="shared" si="11"/>
        <v>3.0206015698244419E-3</v>
      </c>
      <c r="I143">
        <f t="shared" si="12"/>
        <v>10</v>
      </c>
      <c r="J143">
        <f t="shared" si="13"/>
        <v>106</v>
      </c>
      <c r="K143" s="5">
        <f t="shared" si="14"/>
        <v>0</v>
      </c>
      <c r="L143">
        <f t="shared" si="15"/>
        <v>95</v>
      </c>
      <c r="M143">
        <f t="shared" si="16"/>
        <v>1</v>
      </c>
      <c r="N143">
        <f t="shared" si="17"/>
        <v>0</v>
      </c>
    </row>
    <row r="144" spans="4:14" x14ac:dyDescent="0.2">
      <c r="D144">
        <f t="shared" si="19"/>
        <v>121</v>
      </c>
      <c r="E144" s="1">
        <f t="shared" si="20"/>
        <v>1.1000963301888802</v>
      </c>
      <c r="F144" s="1">
        <f t="shared" si="21"/>
        <v>-1.2356133843408499</v>
      </c>
      <c r="G144" s="1">
        <f t="shared" si="18"/>
        <v>0.29065642357954191</v>
      </c>
      <c r="H144" s="1">
        <f t="shared" si="11"/>
        <v>2.9891369701387704E-3</v>
      </c>
      <c r="I144">
        <f t="shared" si="12"/>
        <v>10</v>
      </c>
      <c r="J144">
        <f t="shared" si="13"/>
        <v>107</v>
      </c>
      <c r="K144" s="5">
        <f t="shared" si="14"/>
        <v>0</v>
      </c>
      <c r="L144">
        <f t="shared" si="15"/>
        <v>95</v>
      </c>
      <c r="M144">
        <f t="shared" si="16"/>
        <v>1</v>
      </c>
      <c r="N144">
        <f t="shared" si="17"/>
        <v>0</v>
      </c>
    </row>
    <row r="145" spans="4:14" x14ac:dyDescent="0.2">
      <c r="D145">
        <f t="shared" si="19"/>
        <v>122</v>
      </c>
      <c r="E145" s="1">
        <f t="shared" si="20"/>
        <v>1.0896250303215849</v>
      </c>
      <c r="F145" s="1">
        <f t="shared" si="21"/>
        <v>-1.2460846842081452</v>
      </c>
      <c r="G145" s="1">
        <f t="shared" si="18"/>
        <v>0.28762875250058839</v>
      </c>
      <c r="H145" s="1">
        <f t="shared" si="11"/>
        <v>2.9580001266998252E-3</v>
      </c>
      <c r="I145">
        <f t="shared" si="12"/>
        <v>10</v>
      </c>
      <c r="J145">
        <f t="shared" si="13"/>
        <v>108</v>
      </c>
      <c r="K145" s="5">
        <f t="shared" si="14"/>
        <v>0</v>
      </c>
      <c r="L145">
        <f t="shared" si="15"/>
        <v>95</v>
      </c>
      <c r="M145">
        <f t="shared" si="16"/>
        <v>1</v>
      </c>
      <c r="N145">
        <f t="shared" si="17"/>
        <v>0</v>
      </c>
    </row>
    <row r="146" spans="4:14" x14ac:dyDescent="0.2">
      <c r="D146">
        <f t="shared" si="19"/>
        <v>123</v>
      </c>
      <c r="E146" s="1">
        <f t="shared" si="20"/>
        <v>1.0791537304542895</v>
      </c>
      <c r="F146" s="1">
        <f t="shared" si="21"/>
        <v>-1.2565559840754406</v>
      </c>
      <c r="G146" s="1">
        <f t="shared" si="18"/>
        <v>0.28463261966204062</v>
      </c>
      <c r="H146" s="1">
        <f t="shared" si="11"/>
        <v>2.9271876253800354E-3</v>
      </c>
      <c r="I146">
        <f t="shared" si="12"/>
        <v>10</v>
      </c>
      <c r="J146">
        <f t="shared" si="13"/>
        <v>109</v>
      </c>
      <c r="K146" s="5">
        <f t="shared" si="14"/>
        <v>0</v>
      </c>
      <c r="L146">
        <f t="shared" si="15"/>
        <v>95</v>
      </c>
      <c r="M146">
        <f t="shared" si="16"/>
        <v>1</v>
      </c>
      <c r="N146">
        <f t="shared" si="17"/>
        <v>0</v>
      </c>
    </row>
    <row r="147" spans="4:14" x14ac:dyDescent="0.2">
      <c r="D147">
        <f t="shared" si="19"/>
        <v>124</v>
      </c>
      <c r="E147" s="1">
        <f t="shared" si="20"/>
        <v>1.0686824305869942</v>
      </c>
      <c r="F147" s="1">
        <f t="shared" si="21"/>
        <v>-1.2670272839427359</v>
      </c>
      <c r="G147" s="1">
        <f t="shared" si="18"/>
        <v>0.28166769654056106</v>
      </c>
      <c r="H147" s="1">
        <f t="shared" si="11"/>
        <v>2.8966960876156606E-3</v>
      </c>
      <c r="I147">
        <f t="shared" si="12"/>
        <v>10</v>
      </c>
      <c r="J147">
        <f t="shared" si="13"/>
        <v>110</v>
      </c>
      <c r="K147" s="5">
        <f t="shared" si="14"/>
        <v>0</v>
      </c>
      <c r="L147">
        <f t="shared" si="15"/>
        <v>95</v>
      </c>
      <c r="M147">
        <f t="shared" si="16"/>
        <v>1</v>
      </c>
      <c r="N147">
        <f t="shared" si="17"/>
        <v>0</v>
      </c>
    </row>
    <row r="148" spans="4:14" x14ac:dyDescent="0.2">
      <c r="D148">
        <f t="shared" si="19"/>
        <v>125</v>
      </c>
      <c r="E148" s="1">
        <f t="shared" si="20"/>
        <v>1.0582111307196989</v>
      </c>
      <c r="F148" s="1">
        <f t="shared" si="21"/>
        <v>-1.2774985838100312</v>
      </c>
      <c r="G148" s="1">
        <f t="shared" si="18"/>
        <v>0.27873365803493022</v>
      </c>
      <c r="H148" s="1">
        <f t="shared" si="11"/>
        <v>2.8665221700363308E-3</v>
      </c>
      <c r="I148">
        <f t="shared" si="12"/>
        <v>10</v>
      </c>
      <c r="J148">
        <f t="shared" si="13"/>
        <v>111</v>
      </c>
      <c r="K148" s="5">
        <f t="shared" si="14"/>
        <v>0</v>
      </c>
      <c r="L148">
        <f t="shared" si="15"/>
        <v>95</v>
      </c>
      <c r="M148">
        <f t="shared" si="16"/>
        <v>1</v>
      </c>
      <c r="N148">
        <f t="shared" si="17"/>
        <v>0</v>
      </c>
    </row>
    <row r="149" spans="4:14" x14ac:dyDescent="0.2">
      <c r="D149">
        <f t="shared" si="19"/>
        <v>126</v>
      </c>
      <c r="E149" s="1">
        <f t="shared" si="20"/>
        <v>1.0477398308524035</v>
      </c>
      <c r="F149" s="1">
        <f t="shared" si="21"/>
        <v>-1.2879698836773266</v>
      </c>
      <c r="G149" s="1">
        <f t="shared" si="18"/>
        <v>0.2758301824303997</v>
      </c>
      <c r="H149" s="1">
        <f t="shared" si="11"/>
        <v>2.8366625640984522E-3</v>
      </c>
      <c r="I149">
        <f t="shared" si="12"/>
        <v>10</v>
      </c>
      <c r="J149">
        <f t="shared" si="13"/>
        <v>112</v>
      </c>
      <c r="K149" s="5">
        <f t="shared" si="14"/>
        <v>0</v>
      </c>
      <c r="L149">
        <f t="shared" si="15"/>
        <v>95</v>
      </c>
      <c r="M149">
        <f t="shared" si="16"/>
        <v>1</v>
      </c>
      <c r="N149">
        <f t="shared" si="17"/>
        <v>0</v>
      </c>
    </row>
    <row r="150" spans="4:14" x14ac:dyDescent="0.2">
      <c r="D150">
        <f t="shared" si="19"/>
        <v>127</v>
      </c>
      <c r="E150" s="1">
        <f t="shared" si="20"/>
        <v>1.0372685309851082</v>
      </c>
      <c r="F150" s="1">
        <f t="shared" si="21"/>
        <v>-1.2984411835446219</v>
      </c>
      <c r="G150" s="1">
        <f t="shared" si="18"/>
        <v>0.27295695136341641</v>
      </c>
      <c r="H150" s="1">
        <f t="shared" si="11"/>
        <v>2.8071139957224272E-3</v>
      </c>
      <c r="I150">
        <f t="shared" si="12"/>
        <v>10</v>
      </c>
      <c r="J150">
        <f t="shared" si="13"/>
        <v>113</v>
      </c>
      <c r="K150" s="5">
        <f t="shared" si="14"/>
        <v>0</v>
      </c>
      <c r="L150">
        <f t="shared" si="15"/>
        <v>95</v>
      </c>
      <c r="M150">
        <f t="shared" si="16"/>
        <v>1</v>
      </c>
      <c r="N150">
        <f t="shared" si="17"/>
        <v>0</v>
      </c>
    </row>
    <row r="151" spans="4:14" x14ac:dyDescent="0.2">
      <c r="D151">
        <f t="shared" si="19"/>
        <v>128</v>
      </c>
      <c r="E151" s="1">
        <f t="shared" si="20"/>
        <v>1.0267972311178128</v>
      </c>
      <c r="F151" s="1">
        <f t="shared" si="21"/>
        <v>-1.3089124834119172</v>
      </c>
      <c r="G151" s="1">
        <f t="shared" si="18"/>
        <v>0.27011364978671415</v>
      </c>
      <c r="H151" s="1">
        <f t="shared" ref="H151:H214" si="22">G151/$G$21</f>
        <v>2.7778732249336517E-3</v>
      </c>
      <c r="I151">
        <f t="shared" ref="I151:I214" si="23">IF($F$11&lt;=D151, IF(D151&lt;=$A$15,D151-$F$11,$C$11),0)</f>
        <v>10</v>
      </c>
      <c r="J151">
        <f t="shared" ref="J151:J214" si="24">IF(D151&lt;=$A$15,0,D151-$A$15)</f>
        <v>114</v>
      </c>
      <c r="K151" s="5">
        <f t="shared" ref="K151:K214" si="25">IF(D151&lt;$F$11,H151,0)</f>
        <v>0</v>
      </c>
      <c r="L151">
        <f t="shared" ref="L151:L214" si="26">IF(D151&lt;$A$15,$D$11,$D$11*(1-$H$11))</f>
        <v>95</v>
      </c>
      <c r="M151">
        <f t="shared" ref="M151:M214" si="27">IF(D151&lt;$A$15,0,1)</f>
        <v>1</v>
      </c>
      <c r="N151">
        <f t="shared" ref="N151:N214" si="28">IF(SUM(I151:J151)&lt;=($G$11/60*$F$11/($E$11/60)),1,0)</f>
        <v>0</v>
      </c>
    </row>
    <row r="152" spans="4:14" x14ac:dyDescent="0.2">
      <c r="D152">
        <f t="shared" si="19"/>
        <v>129</v>
      </c>
      <c r="E152" s="1">
        <f t="shared" si="20"/>
        <v>1.0163259312505175</v>
      </c>
      <c r="F152" s="1">
        <f t="shared" si="21"/>
        <v>-1.3193837832792126</v>
      </c>
      <c r="G152" s="1">
        <f t="shared" ref="G152:G215" si="29">EXP(F152)</f>
        <v>0.26729996593476923</v>
      </c>
      <c r="H152" s="1">
        <f t="shared" si="22"/>
        <v>2.7489370455072598E-3</v>
      </c>
      <c r="I152">
        <f t="shared" si="23"/>
        <v>10</v>
      </c>
      <c r="J152">
        <f t="shared" si="24"/>
        <v>115</v>
      </c>
      <c r="K152" s="5">
        <f t="shared" si="25"/>
        <v>0</v>
      </c>
      <c r="L152">
        <f t="shared" si="26"/>
        <v>95</v>
      </c>
      <c r="M152">
        <f t="shared" si="27"/>
        <v>1</v>
      </c>
      <c r="N152">
        <f t="shared" si="28"/>
        <v>0</v>
      </c>
    </row>
    <row r="153" spans="4:14" x14ac:dyDescent="0.2">
      <c r="D153">
        <f t="shared" ref="D153:D216" si="30">1+D152</f>
        <v>130</v>
      </c>
      <c r="E153" s="1">
        <f t="shared" ref="E153:E216" si="31">IF($H$11=1,IF(D153&lt;=$A$15, E152+LN($D$11)-LN(60/$E$11)-LN(MIN(D153,$F$11)), E152-LN(60/$E$11)-LN(MIN(D153,$F$11))), IF(D153&lt;=$A$15, E152+LN($D$11)-LN(60/$E$11)-LN(MIN(D153,$F$11)), E152+LN($D$11)+LN(1-$H$11)-LN(60/$E$11)-LN(MIN(D153,$F$11))))</f>
        <v>1.0058546313832222</v>
      </c>
      <c r="F153" s="1">
        <f t="shared" ref="F153:F216" si="32">E153-$E$21</f>
        <v>-1.3298550831465079</v>
      </c>
      <c r="G153" s="1">
        <f t="shared" si="29"/>
        <v>0.26451559128961544</v>
      </c>
      <c r="H153" s="1">
        <f t="shared" si="22"/>
        <v>2.7203022846165599E-3</v>
      </c>
      <c r="I153">
        <f t="shared" si="23"/>
        <v>10</v>
      </c>
      <c r="J153">
        <f t="shared" si="24"/>
        <v>116</v>
      </c>
      <c r="K153" s="5">
        <f t="shared" si="25"/>
        <v>0</v>
      </c>
      <c r="L153">
        <f t="shared" si="26"/>
        <v>95</v>
      </c>
      <c r="M153">
        <f t="shared" si="27"/>
        <v>1</v>
      </c>
      <c r="N153">
        <f t="shared" si="28"/>
        <v>0</v>
      </c>
    </row>
    <row r="154" spans="4:14" x14ac:dyDescent="0.2">
      <c r="D154">
        <f t="shared" si="30"/>
        <v>131</v>
      </c>
      <c r="E154" s="1">
        <f t="shared" si="31"/>
        <v>0.99538333151592684</v>
      </c>
      <c r="F154" s="1">
        <f t="shared" si="32"/>
        <v>-1.3403263830138032</v>
      </c>
      <c r="G154" s="1">
        <f t="shared" si="29"/>
        <v>0.26176022054701525</v>
      </c>
      <c r="H154" s="1">
        <f t="shared" si="22"/>
        <v>2.6919658024851371E-3</v>
      </c>
      <c r="I154">
        <f t="shared" si="23"/>
        <v>10</v>
      </c>
      <c r="J154">
        <f t="shared" si="24"/>
        <v>117</v>
      </c>
      <c r="K154" s="5">
        <f t="shared" si="25"/>
        <v>0</v>
      </c>
      <c r="L154">
        <f t="shared" si="26"/>
        <v>95</v>
      </c>
      <c r="M154">
        <f t="shared" si="27"/>
        <v>1</v>
      </c>
      <c r="N154">
        <f t="shared" si="28"/>
        <v>0</v>
      </c>
    </row>
    <row r="155" spans="4:14" x14ac:dyDescent="0.2">
      <c r="D155">
        <f t="shared" si="30"/>
        <v>132</v>
      </c>
      <c r="E155" s="1">
        <f t="shared" si="31"/>
        <v>0.9849120316486315</v>
      </c>
      <c r="F155" s="1">
        <f t="shared" si="32"/>
        <v>-1.3507976828810986</v>
      </c>
      <c r="G155" s="1">
        <f t="shared" si="29"/>
        <v>0.25903355158298386</v>
      </c>
      <c r="H155" s="1">
        <f t="shared" si="22"/>
        <v>2.6639244920425836E-3</v>
      </c>
      <c r="I155">
        <f t="shared" si="23"/>
        <v>10</v>
      </c>
      <c r="J155">
        <f t="shared" si="24"/>
        <v>118</v>
      </c>
      <c r="K155" s="5">
        <f t="shared" si="25"/>
        <v>0</v>
      </c>
      <c r="L155">
        <f t="shared" si="26"/>
        <v>95</v>
      </c>
      <c r="M155">
        <f t="shared" si="27"/>
        <v>1</v>
      </c>
      <c r="N155">
        <f t="shared" si="28"/>
        <v>0</v>
      </c>
    </row>
    <row r="156" spans="4:14" x14ac:dyDescent="0.2">
      <c r="D156">
        <f t="shared" si="30"/>
        <v>133</v>
      </c>
      <c r="E156" s="1">
        <f t="shared" si="31"/>
        <v>0.97444073178133617</v>
      </c>
      <c r="F156" s="1">
        <f t="shared" si="32"/>
        <v>-1.3612689827483939</v>
      </c>
      <c r="G156" s="1">
        <f t="shared" si="29"/>
        <v>0.25633528542066114</v>
      </c>
      <c r="H156" s="1">
        <f t="shared" si="22"/>
        <v>2.6361752785838072E-3</v>
      </c>
      <c r="I156">
        <f t="shared" si="23"/>
        <v>10</v>
      </c>
      <c r="J156">
        <f t="shared" si="24"/>
        <v>119</v>
      </c>
      <c r="K156" s="5">
        <f t="shared" si="25"/>
        <v>0</v>
      </c>
      <c r="L156">
        <f t="shared" si="26"/>
        <v>95</v>
      </c>
      <c r="M156">
        <f t="shared" si="27"/>
        <v>1</v>
      </c>
      <c r="N156">
        <f t="shared" si="28"/>
        <v>0</v>
      </c>
    </row>
    <row r="157" spans="4:14" x14ac:dyDescent="0.2">
      <c r="D157">
        <f t="shared" si="30"/>
        <v>134</v>
      </c>
      <c r="E157" s="1">
        <f t="shared" si="31"/>
        <v>0.96396943191404083</v>
      </c>
      <c r="F157" s="1">
        <f t="shared" si="32"/>
        <v>-1.3717402826156893</v>
      </c>
      <c r="G157" s="1">
        <f t="shared" si="29"/>
        <v>0.25366512619752929</v>
      </c>
      <c r="H157" s="1">
        <f t="shared" si="22"/>
        <v>2.6087151194318929E-3</v>
      </c>
      <c r="I157">
        <f t="shared" si="23"/>
        <v>10</v>
      </c>
      <c r="J157">
        <f t="shared" si="24"/>
        <v>120</v>
      </c>
      <c r="K157" s="5">
        <f t="shared" si="25"/>
        <v>0</v>
      </c>
      <c r="L157">
        <f t="shared" si="26"/>
        <v>95</v>
      </c>
      <c r="M157">
        <f t="shared" si="27"/>
        <v>1</v>
      </c>
      <c r="N157">
        <f t="shared" si="28"/>
        <v>0</v>
      </c>
    </row>
    <row r="158" spans="4:14" x14ac:dyDescent="0.2">
      <c r="D158">
        <f t="shared" si="30"/>
        <v>135</v>
      </c>
      <c r="E158" s="1">
        <f t="shared" si="31"/>
        <v>0.95349813204674549</v>
      </c>
      <c r="F158" s="1">
        <f t="shared" si="32"/>
        <v>-1.3822115824829846</v>
      </c>
      <c r="G158" s="1">
        <f t="shared" si="29"/>
        <v>0.25102278113297172</v>
      </c>
      <c r="H158" s="1">
        <f t="shared" si="22"/>
        <v>2.5815410036044775E-3</v>
      </c>
      <c r="I158">
        <f t="shared" si="23"/>
        <v>10</v>
      </c>
      <c r="J158">
        <f t="shared" si="24"/>
        <v>121</v>
      </c>
      <c r="K158" s="5">
        <f t="shared" si="25"/>
        <v>0</v>
      </c>
      <c r="L158">
        <f t="shared" si="26"/>
        <v>95</v>
      </c>
      <c r="M158">
        <f t="shared" si="27"/>
        <v>1</v>
      </c>
      <c r="N158">
        <f t="shared" si="28"/>
        <v>0</v>
      </c>
    </row>
    <row r="159" spans="4:14" x14ac:dyDescent="0.2">
      <c r="D159">
        <f t="shared" si="30"/>
        <v>136</v>
      </c>
      <c r="E159" s="1">
        <f t="shared" si="31"/>
        <v>0.94302683217945016</v>
      </c>
      <c r="F159" s="1">
        <f t="shared" si="32"/>
        <v>-1.3926828823502799</v>
      </c>
      <c r="G159" s="1">
        <f t="shared" si="29"/>
        <v>0.24840796049616992</v>
      </c>
      <c r="H159" s="1">
        <f t="shared" si="22"/>
        <v>2.5546499514835976E-3</v>
      </c>
      <c r="I159">
        <f t="shared" si="23"/>
        <v>10</v>
      </c>
      <c r="J159">
        <f t="shared" si="24"/>
        <v>122</v>
      </c>
      <c r="K159" s="5">
        <f t="shared" si="25"/>
        <v>0</v>
      </c>
      <c r="L159">
        <f t="shared" si="26"/>
        <v>95</v>
      </c>
      <c r="M159">
        <f t="shared" si="27"/>
        <v>1</v>
      </c>
      <c r="N159">
        <f t="shared" si="28"/>
        <v>0</v>
      </c>
    </row>
    <row r="160" spans="4:14" x14ac:dyDescent="0.2">
      <c r="D160">
        <f t="shared" si="30"/>
        <v>137</v>
      </c>
      <c r="E160" s="1">
        <f t="shared" si="31"/>
        <v>0.93255553231215482</v>
      </c>
      <c r="F160" s="1">
        <f t="shared" si="32"/>
        <v>-1.4031541822175753</v>
      </c>
      <c r="G160" s="1">
        <f t="shared" si="29"/>
        <v>0.24582037757433484</v>
      </c>
      <c r="H160" s="1">
        <f t="shared" si="22"/>
        <v>2.528039014488977E-3</v>
      </c>
      <c r="I160">
        <f t="shared" si="23"/>
        <v>10</v>
      </c>
      <c r="J160">
        <f t="shared" si="24"/>
        <v>123</v>
      </c>
      <c r="K160" s="5">
        <f t="shared" si="25"/>
        <v>0</v>
      </c>
      <c r="L160">
        <f t="shared" si="26"/>
        <v>95</v>
      </c>
      <c r="M160">
        <f t="shared" si="27"/>
        <v>1</v>
      </c>
      <c r="N160">
        <f t="shared" si="28"/>
        <v>0</v>
      </c>
    </row>
    <row r="161" spans="4:14" x14ac:dyDescent="0.2">
      <c r="D161">
        <f t="shared" si="30"/>
        <v>138</v>
      </c>
      <c r="E161" s="1">
        <f t="shared" si="31"/>
        <v>0.92208423244485949</v>
      </c>
      <c r="F161" s="1">
        <f t="shared" si="32"/>
        <v>-1.4136254820848706</v>
      </c>
      <c r="G161" s="1">
        <f t="shared" si="29"/>
        <v>0.24325974864126887</v>
      </c>
      <c r="H161" s="1">
        <f t="shared" si="22"/>
        <v>2.5017052747547167E-3</v>
      </c>
      <c r="I161">
        <f t="shared" si="23"/>
        <v>10</v>
      </c>
      <c r="J161">
        <f t="shared" si="24"/>
        <v>124</v>
      </c>
      <c r="K161" s="5">
        <f t="shared" si="25"/>
        <v>0</v>
      </c>
      <c r="L161">
        <f t="shared" si="26"/>
        <v>95</v>
      </c>
      <c r="M161">
        <f t="shared" si="27"/>
        <v>1</v>
      </c>
      <c r="N161">
        <f t="shared" si="28"/>
        <v>0</v>
      </c>
    </row>
    <row r="162" spans="4:14" x14ac:dyDescent="0.2">
      <c r="D162">
        <f t="shared" si="30"/>
        <v>139</v>
      </c>
      <c r="E162" s="1">
        <f t="shared" si="31"/>
        <v>0.91161293257756415</v>
      </c>
      <c r="F162" s="1">
        <f t="shared" si="32"/>
        <v>-1.4240967819521659</v>
      </c>
      <c r="G162" s="1">
        <f t="shared" si="29"/>
        <v>0.24072579292625568</v>
      </c>
      <c r="H162" s="1">
        <f t="shared" si="22"/>
        <v>2.4756458448093556E-3</v>
      </c>
      <c r="I162">
        <f t="shared" si="23"/>
        <v>10</v>
      </c>
      <c r="J162">
        <f t="shared" si="24"/>
        <v>125</v>
      </c>
      <c r="K162" s="5">
        <f t="shared" si="25"/>
        <v>0</v>
      </c>
      <c r="L162">
        <f t="shared" si="26"/>
        <v>95</v>
      </c>
      <c r="M162">
        <f t="shared" si="27"/>
        <v>1</v>
      </c>
      <c r="N162">
        <f t="shared" si="28"/>
        <v>0</v>
      </c>
    </row>
    <row r="163" spans="4:14" x14ac:dyDescent="0.2">
      <c r="D163">
        <f t="shared" si="30"/>
        <v>140</v>
      </c>
      <c r="E163" s="1">
        <f t="shared" si="31"/>
        <v>0.90114163271026881</v>
      </c>
      <c r="F163" s="1">
        <f t="shared" si="32"/>
        <v>-1.4345680818194613</v>
      </c>
      <c r="G163" s="1">
        <f t="shared" si="29"/>
        <v>0.23821823258327385</v>
      </c>
      <c r="H163" s="1">
        <f t="shared" si="22"/>
        <v>2.4498578672592581E-3</v>
      </c>
      <c r="I163">
        <f t="shared" si="23"/>
        <v>10</v>
      </c>
      <c r="J163">
        <f t="shared" si="24"/>
        <v>126</v>
      </c>
      <c r="K163" s="5">
        <f t="shared" si="25"/>
        <v>0</v>
      </c>
      <c r="L163">
        <f t="shared" si="26"/>
        <v>95</v>
      </c>
      <c r="M163">
        <f t="shared" si="27"/>
        <v>1</v>
      </c>
      <c r="N163">
        <f t="shared" si="28"/>
        <v>0</v>
      </c>
    </row>
    <row r="164" spans="4:14" x14ac:dyDescent="0.2">
      <c r="D164">
        <f t="shared" si="30"/>
        <v>141</v>
      </c>
      <c r="E164" s="1">
        <f t="shared" si="31"/>
        <v>0.89067033284297348</v>
      </c>
      <c r="F164" s="1">
        <f t="shared" si="32"/>
        <v>-1.4450393816867566</v>
      </c>
      <c r="G164" s="1">
        <f t="shared" si="29"/>
        <v>0.23573679266053144</v>
      </c>
      <c r="H164" s="1">
        <f t="shared" si="22"/>
        <v>2.4243385144753077E-3</v>
      </c>
      <c r="I164">
        <f t="shared" si="23"/>
        <v>10</v>
      </c>
      <c r="J164">
        <f t="shared" si="24"/>
        <v>127</v>
      </c>
      <c r="K164" s="5">
        <f t="shared" si="25"/>
        <v>0</v>
      </c>
      <c r="L164">
        <f t="shared" si="26"/>
        <v>95</v>
      </c>
      <c r="M164">
        <f t="shared" si="27"/>
        <v>1</v>
      </c>
      <c r="N164">
        <f t="shared" si="28"/>
        <v>0</v>
      </c>
    </row>
    <row r="165" spans="4:14" x14ac:dyDescent="0.2">
      <c r="D165">
        <f t="shared" si="30"/>
        <v>142</v>
      </c>
      <c r="E165" s="1">
        <f t="shared" si="31"/>
        <v>0.88019903297567814</v>
      </c>
      <c r="F165" s="1">
        <f t="shared" si="32"/>
        <v>-1.4555106815540519</v>
      </c>
      <c r="G165" s="1">
        <f t="shared" si="29"/>
        <v>0.23328120107031758</v>
      </c>
      <c r="H165" s="1">
        <f t="shared" si="22"/>
        <v>2.3990849882828567E-3</v>
      </c>
      <c r="I165">
        <f t="shared" si="23"/>
        <v>10</v>
      </c>
      <c r="J165">
        <f t="shared" si="24"/>
        <v>128</v>
      </c>
      <c r="K165" s="5">
        <f t="shared" si="25"/>
        <v>0</v>
      </c>
      <c r="L165">
        <f t="shared" si="26"/>
        <v>95</v>
      </c>
      <c r="M165">
        <f t="shared" si="27"/>
        <v>1</v>
      </c>
      <c r="N165">
        <f t="shared" si="28"/>
        <v>0</v>
      </c>
    </row>
    <row r="166" spans="4:14" x14ac:dyDescent="0.2">
      <c r="D166">
        <f t="shared" si="30"/>
        <v>143</v>
      </c>
      <c r="E166" s="1">
        <f t="shared" si="31"/>
        <v>0.86972773310838281</v>
      </c>
      <c r="F166" s="1">
        <f t="shared" si="32"/>
        <v>-1.4659819814213473</v>
      </c>
      <c r="G166" s="1">
        <f t="shared" si="29"/>
        <v>0.23085118855916845</v>
      </c>
      <c r="H166" s="1">
        <f t="shared" si="22"/>
        <v>2.3740945196549105E-3</v>
      </c>
      <c r="I166">
        <f t="shared" si="23"/>
        <v>10</v>
      </c>
      <c r="J166">
        <f t="shared" si="24"/>
        <v>129</v>
      </c>
      <c r="K166" s="5">
        <f t="shared" si="25"/>
        <v>0</v>
      </c>
      <c r="L166">
        <f t="shared" si="26"/>
        <v>95</v>
      </c>
      <c r="M166">
        <f t="shared" si="27"/>
        <v>1</v>
      </c>
      <c r="N166">
        <f t="shared" si="28"/>
        <v>0</v>
      </c>
    </row>
    <row r="167" spans="4:14" x14ac:dyDescent="0.2">
      <c r="D167">
        <f t="shared" si="30"/>
        <v>144</v>
      </c>
      <c r="E167" s="1">
        <f t="shared" si="31"/>
        <v>0.85925643324108747</v>
      </c>
      <c r="F167" s="1">
        <f t="shared" si="32"/>
        <v>-1.4764532812886426</v>
      </c>
      <c r="G167" s="1">
        <f t="shared" si="29"/>
        <v>0.2284464886783438</v>
      </c>
      <c r="H167" s="1">
        <f t="shared" si="22"/>
        <v>2.3493643684085051E-3</v>
      </c>
      <c r="I167">
        <f t="shared" si="23"/>
        <v>10</v>
      </c>
      <c r="J167">
        <f t="shared" si="24"/>
        <v>130</v>
      </c>
      <c r="K167" s="5">
        <f t="shared" si="25"/>
        <v>0</v>
      </c>
      <c r="L167">
        <f t="shared" si="26"/>
        <v>95</v>
      </c>
      <c r="M167">
        <f t="shared" si="27"/>
        <v>1</v>
      </c>
      <c r="N167">
        <f t="shared" si="28"/>
        <v>0</v>
      </c>
    </row>
    <row r="168" spans="4:14" x14ac:dyDescent="0.2">
      <c r="D168">
        <f t="shared" si="30"/>
        <v>145</v>
      </c>
      <c r="E168" s="1">
        <f t="shared" si="31"/>
        <v>0.84878513337379213</v>
      </c>
      <c r="F168" s="1">
        <f t="shared" si="32"/>
        <v>-1.486924581155938</v>
      </c>
      <c r="G168" s="1">
        <f t="shared" si="29"/>
        <v>0.22606683775461106</v>
      </c>
      <c r="H168" s="1">
        <f t="shared" si="22"/>
        <v>2.3248918229042503E-3</v>
      </c>
      <c r="I168">
        <f t="shared" si="23"/>
        <v>10</v>
      </c>
      <c r="J168">
        <f t="shared" si="24"/>
        <v>131</v>
      </c>
      <c r="K168" s="5">
        <f t="shared" si="25"/>
        <v>0</v>
      </c>
      <c r="L168">
        <f t="shared" si="26"/>
        <v>95</v>
      </c>
      <c r="M168">
        <f t="shared" si="27"/>
        <v>1</v>
      </c>
      <c r="N168">
        <f t="shared" si="28"/>
        <v>0</v>
      </c>
    </row>
    <row r="169" spans="4:14" x14ac:dyDescent="0.2">
      <c r="D169">
        <f t="shared" si="30"/>
        <v>146</v>
      </c>
      <c r="E169" s="1">
        <f t="shared" si="31"/>
        <v>0.8383138335064968</v>
      </c>
      <c r="F169" s="1">
        <f t="shared" si="32"/>
        <v>-1.4973958810232333</v>
      </c>
      <c r="G169" s="1">
        <f t="shared" si="29"/>
        <v>0.22371197486133387</v>
      </c>
      <c r="H169" s="1">
        <f t="shared" si="22"/>
        <v>2.3006741997489977E-3</v>
      </c>
      <c r="I169">
        <f t="shared" si="23"/>
        <v>10</v>
      </c>
      <c r="J169">
        <f t="shared" si="24"/>
        <v>132</v>
      </c>
      <c r="K169" s="5">
        <f t="shared" si="25"/>
        <v>0</v>
      </c>
      <c r="L169">
        <f t="shared" si="26"/>
        <v>95</v>
      </c>
      <c r="M169">
        <f t="shared" si="27"/>
        <v>1</v>
      </c>
      <c r="N169">
        <f t="shared" si="28"/>
        <v>0</v>
      </c>
    </row>
    <row r="170" spans="4:14" x14ac:dyDescent="0.2">
      <c r="D170">
        <f t="shared" si="30"/>
        <v>147</v>
      </c>
      <c r="E170" s="1">
        <f t="shared" si="31"/>
        <v>0.82784253363920146</v>
      </c>
      <c r="F170" s="1">
        <f t="shared" si="32"/>
        <v>-1.5078671808905286</v>
      </c>
      <c r="G170" s="1">
        <f t="shared" si="29"/>
        <v>0.22138164178986167</v>
      </c>
      <c r="H170" s="1">
        <f t="shared" si="22"/>
        <v>2.2767088435016124E-3</v>
      </c>
      <c r="I170">
        <f t="shared" si="23"/>
        <v>10</v>
      </c>
      <c r="J170">
        <f t="shared" si="24"/>
        <v>133</v>
      </c>
      <c r="K170" s="5">
        <f t="shared" si="25"/>
        <v>0</v>
      </c>
      <c r="L170">
        <f t="shared" si="26"/>
        <v>95</v>
      </c>
      <c r="M170">
        <f t="shared" si="27"/>
        <v>1</v>
      </c>
      <c r="N170">
        <f t="shared" si="28"/>
        <v>0</v>
      </c>
    </row>
    <row r="171" spans="4:14" x14ac:dyDescent="0.2">
      <c r="D171">
        <f t="shared" si="30"/>
        <v>148</v>
      </c>
      <c r="E171" s="1">
        <f t="shared" si="31"/>
        <v>0.81737123377190612</v>
      </c>
      <c r="F171" s="1">
        <f t="shared" si="32"/>
        <v>-1.518338480757824</v>
      </c>
      <c r="G171" s="1">
        <f t="shared" si="29"/>
        <v>0.2190755830212173</v>
      </c>
      <c r="H171" s="1">
        <f t="shared" si="22"/>
        <v>2.2529931263818043E-3</v>
      </c>
      <c r="I171">
        <f t="shared" si="23"/>
        <v>10</v>
      </c>
      <c r="J171">
        <f t="shared" si="24"/>
        <v>134</v>
      </c>
      <c r="K171" s="5">
        <f t="shared" si="25"/>
        <v>0</v>
      </c>
      <c r="L171">
        <f t="shared" si="26"/>
        <v>95</v>
      </c>
      <c r="M171">
        <f t="shared" si="27"/>
        <v>1</v>
      </c>
      <c r="N171">
        <f t="shared" si="28"/>
        <v>0</v>
      </c>
    </row>
    <row r="172" spans="4:14" x14ac:dyDescent="0.2">
      <c r="D172">
        <f t="shared" si="30"/>
        <v>149</v>
      </c>
      <c r="E172" s="1">
        <f t="shared" si="31"/>
        <v>0.80689993390461079</v>
      </c>
      <c r="F172" s="1">
        <f t="shared" si="32"/>
        <v>-1.5288097806251193</v>
      </c>
      <c r="G172" s="1">
        <f t="shared" si="29"/>
        <v>0.21679354569807963</v>
      </c>
      <c r="H172" s="1">
        <f t="shared" si="22"/>
        <v>2.229524447981994E-3</v>
      </c>
      <c r="I172">
        <f t="shared" si="23"/>
        <v>10</v>
      </c>
      <c r="J172">
        <f t="shared" si="24"/>
        <v>135</v>
      </c>
      <c r="K172" s="5">
        <f t="shared" si="25"/>
        <v>0</v>
      </c>
      <c r="L172">
        <f t="shared" si="26"/>
        <v>95</v>
      </c>
      <c r="M172">
        <f t="shared" si="27"/>
        <v>1</v>
      </c>
      <c r="N172">
        <f t="shared" si="28"/>
        <v>0</v>
      </c>
    </row>
    <row r="173" spans="4:14" x14ac:dyDescent="0.2">
      <c r="D173">
        <f t="shared" si="30"/>
        <v>150</v>
      </c>
      <c r="E173" s="1">
        <f t="shared" si="31"/>
        <v>0.79642863403731545</v>
      </c>
      <c r="F173" s="1">
        <f t="shared" si="32"/>
        <v>-1.5392810804924146</v>
      </c>
      <c r="G173" s="1">
        <f t="shared" si="29"/>
        <v>0.21453527959705798</v>
      </c>
      <c r="H173" s="1">
        <f t="shared" si="22"/>
        <v>2.2063002349821817E-3</v>
      </c>
      <c r="I173">
        <f t="shared" si="23"/>
        <v>10</v>
      </c>
      <c r="J173">
        <f t="shared" si="24"/>
        <v>136</v>
      </c>
      <c r="K173" s="5">
        <f t="shared" si="25"/>
        <v>0</v>
      </c>
      <c r="L173">
        <f t="shared" si="26"/>
        <v>95</v>
      </c>
      <c r="M173">
        <f t="shared" si="27"/>
        <v>1</v>
      </c>
      <c r="N173">
        <f t="shared" si="28"/>
        <v>0</v>
      </c>
    </row>
    <row r="174" spans="4:14" x14ac:dyDescent="0.2">
      <c r="D174">
        <f t="shared" si="30"/>
        <v>151</v>
      </c>
      <c r="E174" s="1">
        <f t="shared" si="31"/>
        <v>0.78595733417002012</v>
      </c>
      <c r="F174" s="1">
        <f t="shared" si="32"/>
        <v>-1.54975238035971</v>
      </c>
      <c r="G174" s="1">
        <f t="shared" si="29"/>
        <v>0.21230053710125532</v>
      </c>
      <c r="H174" s="1">
        <f t="shared" si="22"/>
        <v>2.183317940867784E-3</v>
      </c>
      <c r="I174">
        <f t="shared" si="23"/>
        <v>10</v>
      </c>
      <c r="J174">
        <f t="shared" si="24"/>
        <v>137</v>
      </c>
      <c r="K174" s="5">
        <f t="shared" si="25"/>
        <v>0</v>
      </c>
      <c r="L174">
        <f t="shared" si="26"/>
        <v>95</v>
      </c>
      <c r="M174">
        <f t="shared" si="27"/>
        <v>1</v>
      </c>
      <c r="N174">
        <f t="shared" si="28"/>
        <v>0</v>
      </c>
    </row>
    <row r="175" spans="4:14" x14ac:dyDescent="0.2">
      <c r="D175">
        <f t="shared" si="30"/>
        <v>152</v>
      </c>
      <c r="E175" s="1">
        <f t="shared" si="31"/>
        <v>0.77548603430272478</v>
      </c>
      <c r="F175" s="1">
        <f t="shared" si="32"/>
        <v>-1.5602236802270053</v>
      </c>
      <c r="G175" s="1">
        <f t="shared" si="29"/>
        <v>0.21008907317311726</v>
      </c>
      <c r="H175" s="1">
        <f t="shared" si="22"/>
        <v>2.1605750456504115E-3</v>
      </c>
      <c r="I175">
        <f t="shared" si="23"/>
        <v>10</v>
      </c>
      <c r="J175">
        <f t="shared" si="24"/>
        <v>138</v>
      </c>
      <c r="K175" s="5">
        <f t="shared" si="25"/>
        <v>0</v>
      </c>
      <c r="L175">
        <f t="shared" si="26"/>
        <v>95</v>
      </c>
      <c r="M175">
        <f t="shared" si="27"/>
        <v>1</v>
      </c>
      <c r="N175">
        <f t="shared" si="28"/>
        <v>0</v>
      </c>
    </row>
    <row r="176" spans="4:14" x14ac:dyDescent="0.2">
      <c r="D176">
        <f t="shared" si="30"/>
        <v>153</v>
      </c>
      <c r="E176" s="1">
        <f t="shared" si="31"/>
        <v>0.76501473443542944</v>
      </c>
      <c r="F176" s="1">
        <f t="shared" si="32"/>
        <v>-1.5706949800943006</v>
      </c>
      <c r="G176" s="1">
        <f t="shared" si="29"/>
        <v>0.20790064532756394</v>
      </c>
      <c r="H176" s="1">
        <f t="shared" si="22"/>
        <v>2.1380690555915529E-3</v>
      </c>
      <c r="I176">
        <f t="shared" si="23"/>
        <v>10</v>
      </c>
      <c r="J176">
        <f t="shared" si="24"/>
        <v>139</v>
      </c>
      <c r="K176" s="5">
        <f t="shared" si="25"/>
        <v>0</v>
      </c>
      <c r="L176">
        <f t="shared" si="26"/>
        <v>95</v>
      </c>
      <c r="M176">
        <f t="shared" si="27"/>
        <v>1</v>
      </c>
      <c r="N176">
        <f t="shared" si="28"/>
        <v>0</v>
      </c>
    </row>
    <row r="177" spans="4:14" x14ac:dyDescent="0.2">
      <c r="D177">
        <f t="shared" si="30"/>
        <v>154</v>
      </c>
      <c r="E177" s="1">
        <f t="shared" si="31"/>
        <v>0.75454343456813411</v>
      </c>
      <c r="F177" s="1">
        <f t="shared" si="32"/>
        <v>-1.581166279961596</v>
      </c>
      <c r="G177" s="1">
        <f t="shared" si="29"/>
        <v>0.20573501360540183</v>
      </c>
      <c r="H177" s="1">
        <f t="shared" si="22"/>
        <v>2.115797502929141E-3</v>
      </c>
      <c r="I177">
        <f t="shared" si="23"/>
        <v>10</v>
      </c>
      <c r="J177">
        <f t="shared" si="24"/>
        <v>140</v>
      </c>
      <c r="K177" s="5">
        <f t="shared" si="25"/>
        <v>0</v>
      </c>
      <c r="L177">
        <f t="shared" si="26"/>
        <v>95</v>
      </c>
      <c r="M177">
        <f t="shared" si="27"/>
        <v>1</v>
      </c>
      <c r="N177">
        <f t="shared" si="28"/>
        <v>0</v>
      </c>
    </row>
    <row r="178" spans="4:14" x14ac:dyDescent="0.2">
      <c r="D178">
        <f t="shared" si="30"/>
        <v>155</v>
      </c>
      <c r="E178" s="1">
        <f t="shared" si="31"/>
        <v>0.74407213470083877</v>
      </c>
      <c r="F178" s="1">
        <f t="shared" si="32"/>
        <v>-1.5916375798288913</v>
      </c>
      <c r="G178" s="1">
        <f t="shared" si="29"/>
        <v>0.20359194054701227</v>
      </c>
      <c r="H178" s="1">
        <f t="shared" si="22"/>
        <v>2.0937579456069629E-3</v>
      </c>
      <c r="I178">
        <f t="shared" si="23"/>
        <v>10</v>
      </c>
      <c r="J178">
        <f t="shared" si="24"/>
        <v>141</v>
      </c>
      <c r="K178" s="5">
        <f t="shared" si="25"/>
        <v>0</v>
      </c>
      <c r="L178">
        <f t="shared" si="26"/>
        <v>95</v>
      </c>
      <c r="M178">
        <f t="shared" si="27"/>
        <v>1</v>
      </c>
      <c r="N178">
        <f t="shared" si="28"/>
        <v>0</v>
      </c>
    </row>
    <row r="179" spans="4:14" x14ac:dyDescent="0.2">
      <c r="D179">
        <f t="shared" si="30"/>
        <v>156</v>
      </c>
      <c r="E179" s="1">
        <f t="shared" si="31"/>
        <v>0.73360083483354344</v>
      </c>
      <c r="F179" s="1">
        <f t="shared" si="32"/>
        <v>-1.6021088796961866</v>
      </c>
      <c r="G179" s="1">
        <f t="shared" si="29"/>
        <v>0.20147119116631423</v>
      </c>
      <c r="H179" s="1">
        <f t="shared" si="22"/>
        <v>2.0719479670068906E-3</v>
      </c>
      <c r="I179">
        <f t="shared" si="23"/>
        <v>10</v>
      </c>
      <c r="J179">
        <f t="shared" si="24"/>
        <v>142</v>
      </c>
      <c r="K179" s="5">
        <f t="shared" si="25"/>
        <v>0</v>
      </c>
      <c r="L179">
        <f t="shared" si="26"/>
        <v>95</v>
      </c>
      <c r="M179">
        <f t="shared" si="27"/>
        <v>1</v>
      </c>
      <c r="N179">
        <f t="shared" si="28"/>
        <v>0</v>
      </c>
    </row>
    <row r="180" spans="4:14" x14ac:dyDescent="0.2">
      <c r="D180">
        <f t="shared" si="30"/>
        <v>157</v>
      </c>
      <c r="E180" s="1">
        <f t="shared" si="31"/>
        <v>0.7231295349662481</v>
      </c>
      <c r="F180" s="1">
        <f t="shared" si="32"/>
        <v>-1.612580179563482</v>
      </c>
      <c r="G180" s="1">
        <f t="shared" si="29"/>
        <v>0.19937253292499846</v>
      </c>
      <c r="H180" s="1">
        <f t="shared" si="22"/>
        <v>2.0503651756839021E-3</v>
      </c>
      <c r="I180">
        <f t="shared" si="23"/>
        <v>10</v>
      </c>
      <c r="J180">
        <f t="shared" si="24"/>
        <v>143</v>
      </c>
      <c r="K180" s="5">
        <f t="shared" si="25"/>
        <v>0</v>
      </c>
      <c r="L180">
        <f t="shared" si="26"/>
        <v>95</v>
      </c>
      <c r="M180">
        <f t="shared" si="27"/>
        <v>1</v>
      </c>
      <c r="N180">
        <f t="shared" si="28"/>
        <v>0</v>
      </c>
    </row>
    <row r="181" spans="4:14" x14ac:dyDescent="0.2">
      <c r="D181">
        <f t="shared" si="30"/>
        <v>158</v>
      </c>
      <c r="E181" s="1">
        <f t="shared" si="31"/>
        <v>0.71265823509895276</v>
      </c>
      <c r="F181" s="1">
        <f t="shared" si="32"/>
        <v>-1.6230514794307773</v>
      </c>
      <c r="G181" s="1">
        <f t="shared" si="29"/>
        <v>0.19729573570702974</v>
      </c>
      <c r="H181" s="1">
        <f t="shared" si="22"/>
        <v>2.0290072051038616E-3</v>
      </c>
      <c r="I181">
        <f t="shared" si="23"/>
        <v>10</v>
      </c>
      <c r="J181">
        <f t="shared" si="24"/>
        <v>144</v>
      </c>
      <c r="K181" s="5">
        <f t="shared" si="25"/>
        <v>0</v>
      </c>
      <c r="L181">
        <f t="shared" si="26"/>
        <v>95</v>
      </c>
      <c r="M181">
        <f t="shared" si="27"/>
        <v>1</v>
      </c>
      <c r="N181">
        <f t="shared" si="28"/>
        <v>0</v>
      </c>
    </row>
    <row r="182" spans="4:14" x14ac:dyDescent="0.2">
      <c r="D182">
        <f t="shared" si="30"/>
        <v>159</v>
      </c>
      <c r="E182" s="1">
        <f t="shared" si="31"/>
        <v>0.70218693523165743</v>
      </c>
      <c r="F182" s="1">
        <f t="shared" si="32"/>
        <v>-1.6335227792980727</v>
      </c>
      <c r="G182" s="1">
        <f t="shared" si="29"/>
        <v>0.19524057179341486</v>
      </c>
      <c r="H182" s="1">
        <f t="shared" si="22"/>
        <v>2.0078717133840298E-3</v>
      </c>
      <c r="I182">
        <f t="shared" si="23"/>
        <v>10</v>
      </c>
      <c r="J182">
        <f t="shared" si="24"/>
        <v>145</v>
      </c>
      <c r="K182" s="5">
        <f t="shared" si="25"/>
        <v>0</v>
      </c>
      <c r="L182">
        <f t="shared" si="26"/>
        <v>95</v>
      </c>
      <c r="M182">
        <f t="shared" si="27"/>
        <v>1</v>
      </c>
      <c r="N182">
        <f t="shared" si="28"/>
        <v>0</v>
      </c>
    </row>
    <row r="183" spans="4:14" x14ac:dyDescent="0.2">
      <c r="D183">
        <f t="shared" si="30"/>
        <v>160</v>
      </c>
      <c r="E183" s="1">
        <f t="shared" si="31"/>
        <v>0.69171563536436209</v>
      </c>
      <c r="F183" s="1">
        <f t="shared" si="32"/>
        <v>-1.643994079165368</v>
      </c>
      <c r="G183" s="1">
        <f t="shared" si="29"/>
        <v>0.19320681583723348</v>
      </c>
      <c r="H183" s="1">
        <f t="shared" si="22"/>
        <v>1.98695638303628E-3</v>
      </c>
      <c r="I183">
        <f t="shared" si="23"/>
        <v>10</v>
      </c>
      <c r="J183">
        <f t="shared" si="24"/>
        <v>146</v>
      </c>
      <c r="K183" s="5">
        <f t="shared" si="25"/>
        <v>0</v>
      </c>
      <c r="L183">
        <f t="shared" si="26"/>
        <v>95</v>
      </c>
      <c r="M183">
        <f t="shared" si="27"/>
        <v>1</v>
      </c>
      <c r="N183">
        <f t="shared" si="28"/>
        <v>0</v>
      </c>
    </row>
    <row r="184" spans="4:14" x14ac:dyDescent="0.2">
      <c r="D184">
        <f t="shared" si="30"/>
        <v>161</v>
      </c>
      <c r="E184" s="1">
        <f t="shared" si="31"/>
        <v>0.68124433549706676</v>
      </c>
      <c r="F184" s="1">
        <f t="shared" si="32"/>
        <v>-1.6544653790326633</v>
      </c>
      <c r="G184" s="1">
        <f t="shared" si="29"/>
        <v>0.19119424483892897</v>
      </c>
      <c r="H184" s="1">
        <f t="shared" si="22"/>
        <v>1.9662589207129853E-3</v>
      </c>
      <c r="I184">
        <f t="shared" si="23"/>
        <v>10</v>
      </c>
      <c r="J184">
        <f t="shared" si="24"/>
        <v>147</v>
      </c>
      <c r="K184" s="5">
        <f t="shared" si="25"/>
        <v>0</v>
      </c>
      <c r="L184">
        <f t="shared" si="26"/>
        <v>95</v>
      </c>
      <c r="M184">
        <f t="shared" si="27"/>
        <v>1</v>
      </c>
      <c r="N184">
        <f t="shared" si="28"/>
        <v>0</v>
      </c>
    </row>
    <row r="185" spans="4:14" x14ac:dyDescent="0.2">
      <c r="D185">
        <f t="shared" si="30"/>
        <v>162</v>
      </c>
      <c r="E185" s="1">
        <f t="shared" si="31"/>
        <v>0.67077303562977142</v>
      </c>
      <c r="F185" s="1">
        <f t="shared" si="32"/>
        <v>-1.6649366788999587</v>
      </c>
      <c r="G185" s="1">
        <f t="shared" si="29"/>
        <v>0.18920263812185681</v>
      </c>
      <c r="H185" s="1">
        <f t="shared" si="22"/>
        <v>1.9457770569555584E-3</v>
      </c>
      <c r="I185">
        <f t="shared" si="23"/>
        <v>10</v>
      </c>
      <c r="J185">
        <f t="shared" si="24"/>
        <v>148</v>
      </c>
      <c r="K185" s="5">
        <f t="shared" si="25"/>
        <v>0</v>
      </c>
      <c r="L185">
        <f t="shared" si="26"/>
        <v>95</v>
      </c>
      <c r="M185">
        <f t="shared" si="27"/>
        <v>1</v>
      </c>
      <c r="N185">
        <f t="shared" si="28"/>
        <v>0</v>
      </c>
    </row>
    <row r="186" spans="4:14" x14ac:dyDescent="0.2">
      <c r="D186">
        <f t="shared" si="30"/>
        <v>163</v>
      </c>
      <c r="E186" s="1">
        <f t="shared" si="31"/>
        <v>0.66030173576247608</v>
      </c>
      <c r="F186" s="1">
        <f t="shared" si="32"/>
        <v>-1.675407978767254</v>
      </c>
      <c r="G186" s="1">
        <f t="shared" si="29"/>
        <v>0.18723177730808749</v>
      </c>
      <c r="H186" s="1">
        <f t="shared" si="22"/>
        <v>1.925508545945605E-3</v>
      </c>
      <c r="I186">
        <f t="shared" si="23"/>
        <v>10</v>
      </c>
      <c r="J186">
        <f t="shared" si="24"/>
        <v>149</v>
      </c>
      <c r="K186" s="5">
        <f t="shared" si="25"/>
        <v>0</v>
      </c>
      <c r="L186">
        <f t="shared" si="26"/>
        <v>95</v>
      </c>
      <c r="M186">
        <f t="shared" si="27"/>
        <v>1</v>
      </c>
      <c r="N186">
        <f t="shared" si="28"/>
        <v>0</v>
      </c>
    </row>
    <row r="187" spans="4:14" x14ac:dyDescent="0.2">
      <c r="D187">
        <f t="shared" si="30"/>
        <v>164</v>
      </c>
      <c r="E187" s="1">
        <f t="shared" si="31"/>
        <v>0.64983043589518075</v>
      </c>
      <c r="F187" s="1">
        <f t="shared" si="32"/>
        <v>-1.6858792786345493</v>
      </c>
      <c r="G187" s="1">
        <f t="shared" si="29"/>
        <v>0.18528144629446158</v>
      </c>
      <c r="H187" s="1">
        <f t="shared" si="22"/>
        <v>1.9054511652586716E-3</v>
      </c>
      <c r="I187">
        <f t="shared" si="23"/>
        <v>10</v>
      </c>
      <c r="J187">
        <f t="shared" si="24"/>
        <v>150</v>
      </c>
      <c r="K187" s="5">
        <f t="shared" si="25"/>
        <v>0</v>
      </c>
      <c r="L187">
        <f t="shared" si="26"/>
        <v>95</v>
      </c>
      <c r="M187">
        <f t="shared" si="27"/>
        <v>1</v>
      </c>
      <c r="N187">
        <f t="shared" si="28"/>
        <v>0</v>
      </c>
    </row>
    <row r="188" spans="4:14" x14ac:dyDescent="0.2">
      <c r="D188">
        <f t="shared" si="30"/>
        <v>165</v>
      </c>
      <c r="E188" s="1">
        <f t="shared" si="31"/>
        <v>0.63935913602788541</v>
      </c>
      <c r="F188" s="1">
        <f t="shared" si="32"/>
        <v>-1.6963505785018447</v>
      </c>
      <c r="G188" s="1">
        <f t="shared" si="29"/>
        <v>0.18335143122889427</v>
      </c>
      <c r="H188" s="1">
        <f t="shared" si="22"/>
        <v>1.8856027156205605E-3</v>
      </c>
      <c r="I188">
        <f t="shared" si="23"/>
        <v>10</v>
      </c>
      <c r="J188">
        <f t="shared" si="24"/>
        <v>151</v>
      </c>
      <c r="K188" s="5">
        <f t="shared" si="25"/>
        <v>0</v>
      </c>
      <c r="L188">
        <f t="shared" si="26"/>
        <v>95</v>
      </c>
      <c r="M188">
        <f t="shared" si="27"/>
        <v>1</v>
      </c>
      <c r="N188">
        <f t="shared" si="28"/>
        <v>0</v>
      </c>
    </row>
    <row r="189" spans="4:14" x14ac:dyDescent="0.2">
      <c r="D189">
        <f t="shared" si="30"/>
        <v>166</v>
      </c>
      <c r="E189" s="1">
        <f t="shared" si="31"/>
        <v>0.62888783616059007</v>
      </c>
      <c r="F189" s="1">
        <f t="shared" si="32"/>
        <v>-1.70682187836914</v>
      </c>
      <c r="G189" s="1">
        <f t="shared" si="29"/>
        <v>0.18144152048692666</v>
      </c>
      <c r="H189" s="1">
        <f t="shared" si="22"/>
        <v>1.8659610206661801E-3</v>
      </c>
      <c r="I189">
        <f t="shared" si="23"/>
        <v>10</v>
      </c>
      <c r="J189">
        <f t="shared" si="24"/>
        <v>152</v>
      </c>
      <c r="K189" s="5">
        <f t="shared" si="25"/>
        <v>0</v>
      </c>
      <c r="L189">
        <f t="shared" si="26"/>
        <v>95</v>
      </c>
      <c r="M189">
        <f t="shared" si="27"/>
        <v>1</v>
      </c>
      <c r="N189">
        <f t="shared" si="28"/>
        <v>0</v>
      </c>
    </row>
    <row r="190" spans="4:14" x14ac:dyDescent="0.2">
      <c r="D190">
        <f t="shared" si="30"/>
        <v>167</v>
      </c>
      <c r="E190" s="1">
        <f t="shared" si="31"/>
        <v>0.61841653629329474</v>
      </c>
      <c r="F190" s="1">
        <f t="shared" si="32"/>
        <v>-1.7172931782364353</v>
      </c>
      <c r="G190" s="1">
        <f t="shared" si="29"/>
        <v>0.17955150464852118</v>
      </c>
      <c r="H190" s="1">
        <f t="shared" si="22"/>
        <v>1.8465239267009073E-3</v>
      </c>
      <c r="I190">
        <f t="shared" si="23"/>
        <v>10</v>
      </c>
      <c r="J190">
        <f t="shared" si="24"/>
        <v>153</v>
      </c>
      <c r="K190" s="5">
        <f t="shared" si="25"/>
        <v>0</v>
      </c>
      <c r="L190">
        <f t="shared" si="26"/>
        <v>95</v>
      </c>
      <c r="M190">
        <f t="shared" si="27"/>
        <v>1</v>
      </c>
      <c r="N190">
        <f t="shared" si="28"/>
        <v>0</v>
      </c>
    </row>
    <row r="191" spans="4:14" x14ac:dyDescent="0.2">
      <c r="D191">
        <f t="shared" si="30"/>
        <v>168</v>
      </c>
      <c r="E191" s="1">
        <f t="shared" si="31"/>
        <v>0.6079452364259994</v>
      </c>
      <c r="F191" s="1">
        <f t="shared" si="32"/>
        <v>-1.7277644781037307</v>
      </c>
      <c r="G191" s="1">
        <f t="shared" si="29"/>
        <v>0.1776811764750991</v>
      </c>
      <c r="H191" s="1">
        <f t="shared" si="22"/>
        <v>1.8272893024644397E-3</v>
      </c>
      <c r="I191">
        <f t="shared" si="23"/>
        <v>10</v>
      </c>
      <c r="J191">
        <f t="shared" si="24"/>
        <v>154</v>
      </c>
      <c r="K191" s="5">
        <f t="shared" si="25"/>
        <v>0</v>
      </c>
      <c r="L191">
        <f t="shared" si="26"/>
        <v>95</v>
      </c>
      <c r="M191">
        <f t="shared" si="27"/>
        <v>1</v>
      </c>
      <c r="N191">
        <f t="shared" si="28"/>
        <v>0</v>
      </c>
    </row>
    <row r="192" spans="4:14" x14ac:dyDescent="0.2">
      <c r="D192">
        <f t="shared" si="30"/>
        <v>169</v>
      </c>
      <c r="E192" s="1">
        <f t="shared" si="31"/>
        <v>0.59747393655870407</v>
      </c>
      <c r="F192" s="1">
        <f t="shared" si="32"/>
        <v>-1.738235777971026</v>
      </c>
      <c r="G192" s="1">
        <f t="shared" si="29"/>
        <v>0.17583033088681682</v>
      </c>
      <c r="H192" s="1">
        <f t="shared" si="22"/>
        <v>1.8082550388971018E-3</v>
      </c>
      <c r="I192">
        <f t="shared" si="23"/>
        <v>10</v>
      </c>
      <c r="J192">
        <f t="shared" si="24"/>
        <v>155</v>
      </c>
      <c r="K192" s="5">
        <f t="shared" si="25"/>
        <v>0</v>
      </c>
      <c r="L192">
        <f t="shared" si="26"/>
        <v>95</v>
      </c>
      <c r="M192">
        <f t="shared" si="27"/>
        <v>1</v>
      </c>
      <c r="N192">
        <f t="shared" si="28"/>
        <v>0</v>
      </c>
    </row>
    <row r="193" spans="4:14" x14ac:dyDescent="0.2">
      <c r="D193">
        <f t="shared" si="30"/>
        <v>170</v>
      </c>
      <c r="E193" s="1">
        <f t="shared" si="31"/>
        <v>0.58700263669140873</v>
      </c>
      <c r="F193" s="1">
        <f t="shared" si="32"/>
        <v>-1.7487070778383214</v>
      </c>
      <c r="G193" s="1">
        <f t="shared" si="29"/>
        <v>0.17399876494007915</v>
      </c>
      <c r="H193" s="1">
        <f t="shared" si="22"/>
        <v>1.7894190489085905E-3</v>
      </c>
      <c r="I193">
        <f t="shared" si="23"/>
        <v>10</v>
      </c>
      <c r="J193">
        <f t="shared" si="24"/>
        <v>156</v>
      </c>
      <c r="K193" s="5">
        <f t="shared" si="25"/>
        <v>0</v>
      </c>
      <c r="L193">
        <f t="shared" si="26"/>
        <v>95</v>
      </c>
      <c r="M193">
        <f t="shared" si="27"/>
        <v>1</v>
      </c>
      <c r="N193">
        <f t="shared" si="28"/>
        <v>0</v>
      </c>
    </row>
    <row r="194" spans="4:14" x14ac:dyDescent="0.2">
      <c r="D194">
        <f t="shared" si="30"/>
        <v>171</v>
      </c>
      <c r="E194" s="1">
        <f t="shared" si="31"/>
        <v>0.57653133682411339</v>
      </c>
      <c r="F194" s="1">
        <f t="shared" si="32"/>
        <v>-1.7591783777056167</v>
      </c>
      <c r="G194" s="1">
        <f t="shared" si="29"/>
        <v>0.17218627780528667</v>
      </c>
      <c r="H194" s="1">
        <f t="shared" si="22"/>
        <v>1.7707792671491261E-3</v>
      </c>
      <c r="I194">
        <f t="shared" si="23"/>
        <v>10</v>
      </c>
      <c r="J194">
        <f t="shared" si="24"/>
        <v>157</v>
      </c>
      <c r="K194" s="5">
        <f t="shared" si="25"/>
        <v>0</v>
      </c>
      <c r="L194">
        <f t="shared" si="26"/>
        <v>95</v>
      </c>
      <c r="M194">
        <f t="shared" si="27"/>
        <v>1</v>
      </c>
      <c r="N194">
        <f t="shared" si="28"/>
        <v>0</v>
      </c>
    </row>
    <row r="195" spans="4:14" x14ac:dyDescent="0.2">
      <c r="D195">
        <f t="shared" si="30"/>
        <v>172</v>
      </c>
      <c r="E195" s="1">
        <f t="shared" si="31"/>
        <v>0.56606003695681806</v>
      </c>
      <c r="F195" s="1">
        <f t="shared" si="32"/>
        <v>-1.769649677572912</v>
      </c>
      <c r="G195" s="1">
        <f t="shared" si="29"/>
        <v>0.17039267074481496</v>
      </c>
      <c r="H195" s="1">
        <f t="shared" si="22"/>
        <v>1.7523336497829896E-3</v>
      </c>
      <c r="I195">
        <f t="shared" si="23"/>
        <v>10</v>
      </c>
      <c r="J195">
        <f t="shared" si="24"/>
        <v>158</v>
      </c>
      <c r="K195" s="5">
        <f t="shared" si="25"/>
        <v>0</v>
      </c>
      <c r="L195">
        <f t="shared" si="26"/>
        <v>95</v>
      </c>
      <c r="M195">
        <f t="shared" si="27"/>
        <v>1</v>
      </c>
      <c r="N195">
        <f t="shared" si="28"/>
        <v>0</v>
      </c>
    </row>
    <row r="196" spans="4:14" x14ac:dyDescent="0.2">
      <c r="D196">
        <f t="shared" si="30"/>
        <v>173</v>
      </c>
      <c r="E196" s="1">
        <f t="shared" si="31"/>
        <v>0.55558873708952272</v>
      </c>
      <c r="F196" s="1">
        <f t="shared" si="32"/>
        <v>-1.7801209774402074</v>
      </c>
      <c r="G196" s="1">
        <f t="shared" si="29"/>
        <v>0.16861774709122315</v>
      </c>
      <c r="H196" s="1">
        <f t="shared" si="22"/>
        <v>1.734080174264417E-3</v>
      </c>
      <c r="I196">
        <f t="shared" si="23"/>
        <v>10</v>
      </c>
      <c r="J196">
        <f t="shared" si="24"/>
        <v>159</v>
      </c>
      <c r="K196" s="5">
        <f t="shared" si="25"/>
        <v>0</v>
      </c>
      <c r="L196">
        <f t="shared" si="26"/>
        <v>95</v>
      </c>
      <c r="M196">
        <f t="shared" si="27"/>
        <v>1</v>
      </c>
      <c r="N196">
        <f t="shared" si="28"/>
        <v>0</v>
      </c>
    </row>
    <row r="197" spans="4:14" x14ac:dyDescent="0.2">
      <c r="D197">
        <f t="shared" si="30"/>
        <v>174</v>
      </c>
      <c r="E197" s="1">
        <f t="shared" si="31"/>
        <v>0.54511743722222739</v>
      </c>
      <c r="F197" s="1">
        <f t="shared" si="32"/>
        <v>-1.7905922773075027</v>
      </c>
      <c r="G197" s="1">
        <f t="shared" si="29"/>
        <v>0.16686131222568959</v>
      </c>
      <c r="H197" s="1">
        <f t="shared" si="22"/>
        <v>1.7160168391158295E-3</v>
      </c>
      <c r="I197">
        <f t="shared" si="23"/>
        <v>10</v>
      </c>
      <c r="J197">
        <f t="shared" si="24"/>
        <v>160</v>
      </c>
      <c r="K197" s="5">
        <f t="shared" si="25"/>
        <v>0</v>
      </c>
      <c r="L197">
        <f t="shared" si="26"/>
        <v>95</v>
      </c>
      <c r="M197">
        <f t="shared" si="27"/>
        <v>1</v>
      </c>
      <c r="N197">
        <f t="shared" si="28"/>
        <v>0</v>
      </c>
    </row>
    <row r="198" spans="4:14" x14ac:dyDescent="0.2">
      <c r="D198">
        <f t="shared" si="30"/>
        <v>175</v>
      </c>
      <c r="E198" s="1">
        <f t="shared" si="31"/>
        <v>0.53464613735493205</v>
      </c>
      <c r="F198" s="1">
        <f t="shared" si="32"/>
        <v>-1.801063577174798</v>
      </c>
      <c r="G198" s="1">
        <f t="shared" si="29"/>
        <v>0.165123173556672</v>
      </c>
      <c r="H198" s="1">
        <f t="shared" si="22"/>
        <v>1.698141663708373E-3</v>
      </c>
      <c r="I198">
        <f t="shared" si="23"/>
        <v>10</v>
      </c>
      <c r="J198">
        <f t="shared" si="24"/>
        <v>161</v>
      </c>
      <c r="K198" s="5">
        <f t="shared" si="25"/>
        <v>0</v>
      </c>
      <c r="L198">
        <f t="shared" si="26"/>
        <v>95</v>
      </c>
      <c r="M198">
        <f t="shared" si="27"/>
        <v>1</v>
      </c>
      <c r="N198">
        <f t="shared" si="28"/>
        <v>0</v>
      </c>
    </row>
    <row r="199" spans="4:14" x14ac:dyDescent="0.2">
      <c r="D199">
        <f t="shared" si="30"/>
        <v>176</v>
      </c>
      <c r="E199" s="1">
        <f t="shared" si="31"/>
        <v>0.52417483748763671</v>
      </c>
      <c r="F199" s="1">
        <f t="shared" si="32"/>
        <v>-1.8115348770420934</v>
      </c>
      <c r="G199" s="1">
        <f t="shared" si="29"/>
        <v>0.16340314049879001</v>
      </c>
      <c r="H199" s="1">
        <f t="shared" si="22"/>
        <v>1.6804526880447443E-3</v>
      </c>
      <c r="I199">
        <f t="shared" si="23"/>
        <v>10</v>
      </c>
      <c r="J199">
        <f t="shared" si="24"/>
        <v>162</v>
      </c>
      <c r="K199" s="5">
        <f t="shared" si="25"/>
        <v>0</v>
      </c>
      <c r="L199">
        <f t="shared" si="26"/>
        <v>95</v>
      </c>
      <c r="M199">
        <f t="shared" si="27"/>
        <v>1</v>
      </c>
      <c r="N199">
        <f t="shared" si="28"/>
        <v>0</v>
      </c>
    </row>
    <row r="200" spans="4:14" x14ac:dyDescent="0.2">
      <c r="D200">
        <f t="shared" si="30"/>
        <v>177</v>
      </c>
      <c r="E200" s="1">
        <f t="shared" si="31"/>
        <v>0.51370353762034138</v>
      </c>
      <c r="F200" s="1">
        <f t="shared" si="32"/>
        <v>-1.8220061769093887</v>
      </c>
      <c r="G200" s="1">
        <f t="shared" si="29"/>
        <v>0.16170102445192761</v>
      </c>
      <c r="H200" s="1">
        <f t="shared" si="22"/>
        <v>1.6629479725442779E-3</v>
      </c>
      <c r="I200">
        <f t="shared" si="23"/>
        <v>10</v>
      </c>
      <c r="J200">
        <f t="shared" si="24"/>
        <v>163</v>
      </c>
      <c r="K200" s="5">
        <f t="shared" si="25"/>
        <v>0</v>
      </c>
      <c r="L200">
        <f t="shared" si="26"/>
        <v>95</v>
      </c>
      <c r="M200">
        <f t="shared" si="27"/>
        <v>1</v>
      </c>
      <c r="N200">
        <f t="shared" si="28"/>
        <v>0</v>
      </c>
    </row>
    <row r="201" spans="4:14" x14ac:dyDescent="0.2">
      <c r="D201">
        <f t="shared" si="30"/>
        <v>178</v>
      </c>
      <c r="E201" s="1">
        <f t="shared" si="31"/>
        <v>0.50323223775304604</v>
      </c>
      <c r="F201" s="1">
        <f t="shared" si="32"/>
        <v>-1.832477476776684</v>
      </c>
      <c r="G201" s="1">
        <f t="shared" si="29"/>
        <v>0.16001663878055339</v>
      </c>
      <c r="H201" s="1">
        <f t="shared" si="22"/>
        <v>1.6456255978302755E-3</v>
      </c>
      <c r="I201">
        <f t="shared" si="23"/>
        <v>10</v>
      </c>
      <c r="J201">
        <f t="shared" si="24"/>
        <v>164</v>
      </c>
      <c r="K201" s="5">
        <f t="shared" si="25"/>
        <v>0</v>
      </c>
      <c r="L201">
        <f t="shared" si="26"/>
        <v>95</v>
      </c>
      <c r="M201">
        <f t="shared" si="27"/>
        <v>1</v>
      </c>
      <c r="N201">
        <f t="shared" si="28"/>
        <v>0</v>
      </c>
    </row>
    <row r="202" spans="4:14" x14ac:dyDescent="0.2">
      <c r="D202">
        <f t="shared" si="30"/>
        <v>179</v>
      </c>
      <c r="E202" s="1">
        <f t="shared" si="31"/>
        <v>0.4927609378857507</v>
      </c>
      <c r="F202" s="1">
        <f t="shared" si="32"/>
        <v>-1.8429487766439794</v>
      </c>
      <c r="G202" s="1">
        <f t="shared" si="29"/>
        <v>0.15834979879325595</v>
      </c>
      <c r="H202" s="1">
        <f t="shared" si="22"/>
        <v>1.6284836645195431E-3</v>
      </c>
      <c r="I202">
        <f t="shared" si="23"/>
        <v>10</v>
      </c>
      <c r="J202">
        <f t="shared" si="24"/>
        <v>165</v>
      </c>
      <c r="K202" s="5">
        <f t="shared" si="25"/>
        <v>0</v>
      </c>
      <c r="L202">
        <f t="shared" si="26"/>
        <v>95</v>
      </c>
      <c r="M202">
        <f t="shared" si="27"/>
        <v>1</v>
      </c>
      <c r="N202">
        <f t="shared" si="28"/>
        <v>0</v>
      </c>
    </row>
    <row r="203" spans="4:14" x14ac:dyDescent="0.2">
      <c r="D203">
        <f t="shared" si="30"/>
        <v>180</v>
      </c>
      <c r="E203" s="1">
        <f t="shared" si="31"/>
        <v>0.48228963801845537</v>
      </c>
      <c r="F203" s="1">
        <f t="shared" si="32"/>
        <v>-1.8534200765112747</v>
      </c>
      <c r="G203" s="1">
        <f t="shared" si="29"/>
        <v>0.15670032172249287</v>
      </c>
      <c r="H203" s="1">
        <f t="shared" si="22"/>
        <v>1.6115202930141314E-3</v>
      </c>
      <c r="I203">
        <f t="shared" si="23"/>
        <v>10</v>
      </c>
      <c r="J203">
        <f t="shared" si="24"/>
        <v>166</v>
      </c>
      <c r="K203" s="5">
        <f t="shared" si="25"/>
        <v>0</v>
      </c>
      <c r="L203">
        <f t="shared" si="26"/>
        <v>95</v>
      </c>
      <c r="M203">
        <f t="shared" si="27"/>
        <v>1</v>
      </c>
      <c r="N203">
        <f t="shared" si="28"/>
        <v>0</v>
      </c>
    </row>
    <row r="204" spans="4:14" x14ac:dyDescent="0.2">
      <c r="D204">
        <f t="shared" si="30"/>
        <v>181</v>
      </c>
      <c r="E204" s="1">
        <f t="shared" si="31"/>
        <v>0.47181833815116003</v>
      </c>
      <c r="F204" s="1">
        <f t="shared" si="32"/>
        <v>-1.8638913763785701</v>
      </c>
      <c r="G204" s="1">
        <f t="shared" si="29"/>
        <v>0.15506802670455028</v>
      </c>
      <c r="H204" s="1">
        <f t="shared" si="22"/>
        <v>1.5947336232952345E-3</v>
      </c>
      <c r="I204">
        <f t="shared" si="23"/>
        <v>10</v>
      </c>
      <c r="J204">
        <f t="shared" si="24"/>
        <v>167</v>
      </c>
      <c r="K204" s="5">
        <f t="shared" si="25"/>
        <v>0</v>
      </c>
      <c r="L204">
        <f t="shared" si="26"/>
        <v>95</v>
      </c>
      <c r="M204">
        <f t="shared" si="27"/>
        <v>1</v>
      </c>
      <c r="N204">
        <f t="shared" si="28"/>
        <v>0</v>
      </c>
    </row>
    <row r="205" spans="4:14" x14ac:dyDescent="0.2">
      <c r="D205">
        <f t="shared" si="30"/>
        <v>182</v>
      </c>
      <c r="E205" s="1">
        <f t="shared" si="31"/>
        <v>0.4613470382838647</v>
      </c>
      <c r="F205" s="1">
        <f t="shared" si="32"/>
        <v>-1.8743626762458654</v>
      </c>
      <c r="G205" s="1">
        <f t="shared" si="29"/>
        <v>0.15345273475971122</v>
      </c>
      <c r="H205" s="1">
        <f t="shared" si="22"/>
        <v>1.5781218147192426E-3</v>
      </c>
      <c r="I205">
        <f t="shared" si="23"/>
        <v>10</v>
      </c>
      <c r="J205">
        <f t="shared" si="24"/>
        <v>168</v>
      </c>
      <c r="K205" s="5">
        <f t="shared" si="25"/>
        <v>0</v>
      </c>
      <c r="L205">
        <f t="shared" si="26"/>
        <v>95</v>
      </c>
      <c r="M205">
        <f t="shared" si="27"/>
        <v>1</v>
      </c>
      <c r="N205">
        <f t="shared" si="28"/>
        <v>0</v>
      </c>
    </row>
    <row r="206" spans="4:14" x14ac:dyDescent="0.2">
      <c r="D206">
        <f t="shared" si="30"/>
        <v>183</v>
      </c>
      <c r="E206" s="1">
        <f t="shared" si="31"/>
        <v>0.45087573841656936</v>
      </c>
      <c r="F206" s="1">
        <f t="shared" si="32"/>
        <v>-1.8848339761131607</v>
      </c>
      <c r="G206" s="1">
        <f t="shared" si="29"/>
        <v>0.15185426877263089</v>
      </c>
      <c r="H206" s="1">
        <f t="shared" si="22"/>
        <v>1.5616830458159172E-3</v>
      </c>
      <c r="I206">
        <f t="shared" si="23"/>
        <v>10</v>
      </c>
      <c r="J206">
        <f t="shared" si="24"/>
        <v>169</v>
      </c>
      <c r="K206" s="5">
        <f t="shared" si="25"/>
        <v>0</v>
      </c>
      <c r="L206">
        <f t="shared" si="26"/>
        <v>95</v>
      </c>
      <c r="M206">
        <f t="shared" si="27"/>
        <v>1</v>
      </c>
      <c r="N206">
        <f t="shared" si="28"/>
        <v>0</v>
      </c>
    </row>
    <row r="207" spans="4:14" x14ac:dyDescent="0.2">
      <c r="D207">
        <f t="shared" si="30"/>
        <v>184</v>
      </c>
      <c r="E207" s="1">
        <f t="shared" si="31"/>
        <v>0.44040443854927402</v>
      </c>
      <c r="F207" s="1">
        <f t="shared" si="32"/>
        <v>-1.8953052759804561</v>
      </c>
      <c r="G207" s="1">
        <f t="shared" si="29"/>
        <v>0.15027245347291601</v>
      </c>
      <c r="H207" s="1">
        <f t="shared" si="22"/>
        <v>1.5454155140886684E-3</v>
      </c>
      <c r="I207">
        <f t="shared" si="23"/>
        <v>10</v>
      </c>
      <c r="J207">
        <f t="shared" si="24"/>
        <v>170</v>
      </c>
      <c r="K207" s="5">
        <f t="shared" si="25"/>
        <v>0</v>
      </c>
      <c r="L207">
        <f t="shared" si="26"/>
        <v>95</v>
      </c>
      <c r="M207">
        <f t="shared" si="27"/>
        <v>1</v>
      </c>
      <c r="N207">
        <f t="shared" si="28"/>
        <v>0</v>
      </c>
    </row>
    <row r="208" spans="4:14" x14ac:dyDescent="0.2">
      <c r="D208">
        <f t="shared" si="30"/>
        <v>185</v>
      </c>
      <c r="E208" s="1">
        <f t="shared" si="31"/>
        <v>0.42993313868197869</v>
      </c>
      <c r="F208" s="1">
        <f t="shared" si="32"/>
        <v>-1.9057765758477514</v>
      </c>
      <c r="G208" s="1">
        <f t="shared" si="29"/>
        <v>0.14870711541590648</v>
      </c>
      <c r="H208" s="1">
        <f t="shared" si="22"/>
        <v>1.5293174358169115E-3</v>
      </c>
      <c r="I208">
        <f t="shared" si="23"/>
        <v>10</v>
      </c>
      <c r="J208">
        <f t="shared" si="24"/>
        <v>171</v>
      </c>
      <c r="K208" s="5">
        <f t="shared" si="25"/>
        <v>0</v>
      </c>
      <c r="L208">
        <f t="shared" si="26"/>
        <v>95</v>
      </c>
      <c r="M208">
        <f t="shared" si="27"/>
        <v>1</v>
      </c>
      <c r="N208">
        <f t="shared" si="28"/>
        <v>0</v>
      </c>
    </row>
    <row r="209" spans="4:14" x14ac:dyDescent="0.2">
      <c r="D209">
        <f t="shared" si="30"/>
        <v>186</v>
      </c>
      <c r="E209" s="1">
        <f t="shared" si="31"/>
        <v>0.41946183881468335</v>
      </c>
      <c r="F209" s="1">
        <f t="shared" si="32"/>
        <v>-1.9162478757150467</v>
      </c>
      <c r="G209" s="1">
        <f t="shared" si="29"/>
        <v>0.14715808296365746</v>
      </c>
      <c r="H209" s="1">
        <f t="shared" si="22"/>
        <v>1.5133870458604853E-3</v>
      </c>
      <c r="I209">
        <f t="shared" si="23"/>
        <v>10</v>
      </c>
      <c r="J209">
        <f t="shared" si="24"/>
        <v>172</v>
      </c>
      <c r="K209" s="5">
        <f t="shared" si="25"/>
        <v>0</v>
      </c>
      <c r="L209">
        <f t="shared" si="26"/>
        <v>95</v>
      </c>
      <c r="M209">
        <f t="shared" si="27"/>
        <v>1</v>
      </c>
      <c r="N209">
        <f t="shared" si="28"/>
        <v>0</v>
      </c>
    </row>
    <row r="210" spans="4:14" x14ac:dyDescent="0.2">
      <c r="D210">
        <f t="shared" si="30"/>
        <v>187</v>
      </c>
      <c r="E210" s="1">
        <f t="shared" si="31"/>
        <v>0.40899053894738802</v>
      </c>
      <c r="F210" s="1">
        <f t="shared" si="32"/>
        <v>-1.9267191755823421</v>
      </c>
      <c r="G210" s="1">
        <f t="shared" si="29"/>
        <v>0.14562518626611937</v>
      </c>
      <c r="H210" s="1">
        <f t="shared" si="22"/>
        <v>1.4976225974661053E-3</v>
      </c>
      <c r="I210">
        <f t="shared" si="23"/>
        <v>10</v>
      </c>
      <c r="J210">
        <f t="shared" si="24"/>
        <v>173</v>
      </c>
      <c r="K210" s="5">
        <f t="shared" si="25"/>
        <v>0</v>
      </c>
      <c r="L210">
        <f t="shared" si="26"/>
        <v>95</v>
      </c>
      <c r="M210">
        <f t="shared" si="27"/>
        <v>1</v>
      </c>
      <c r="N210">
        <f t="shared" si="28"/>
        <v>0</v>
      </c>
    </row>
    <row r="211" spans="4:14" x14ac:dyDescent="0.2">
      <c r="D211">
        <f t="shared" si="30"/>
        <v>188</v>
      </c>
      <c r="E211" s="1">
        <f t="shared" si="31"/>
        <v>0.39851923908009268</v>
      </c>
      <c r="F211" s="1">
        <f t="shared" si="32"/>
        <v>-1.9371904754496374</v>
      </c>
      <c r="G211" s="1">
        <f t="shared" si="29"/>
        <v>0.14410825724251397</v>
      </c>
      <c r="H211" s="1">
        <f t="shared" si="22"/>
        <v>1.4820223620758337E-3</v>
      </c>
      <c r="I211">
        <f t="shared" si="23"/>
        <v>10</v>
      </c>
      <c r="J211">
        <f t="shared" si="24"/>
        <v>174</v>
      </c>
      <c r="K211" s="5">
        <f t="shared" si="25"/>
        <v>0</v>
      </c>
      <c r="L211">
        <f t="shared" si="26"/>
        <v>95</v>
      </c>
      <c r="M211">
        <f t="shared" si="27"/>
        <v>1</v>
      </c>
      <c r="N211">
        <f t="shared" si="28"/>
        <v>0</v>
      </c>
    </row>
    <row r="212" spans="4:14" x14ac:dyDescent="0.2">
      <c r="D212">
        <f t="shared" si="30"/>
        <v>189</v>
      </c>
      <c r="E212" s="1">
        <f t="shared" si="31"/>
        <v>0.38804793921279734</v>
      </c>
      <c r="F212" s="1">
        <f t="shared" si="32"/>
        <v>-1.9476617753169327</v>
      </c>
      <c r="G212" s="1">
        <f t="shared" si="29"/>
        <v>0.14260712956290444</v>
      </c>
      <c r="H212" s="1">
        <f t="shared" si="22"/>
        <v>1.4665846291375437E-3</v>
      </c>
      <c r="I212">
        <f t="shared" si="23"/>
        <v>10</v>
      </c>
      <c r="J212">
        <f t="shared" si="24"/>
        <v>175</v>
      </c>
      <c r="K212" s="5">
        <f t="shared" si="25"/>
        <v>0</v>
      </c>
      <c r="L212">
        <f t="shared" si="26"/>
        <v>95</v>
      </c>
      <c r="M212">
        <f t="shared" si="27"/>
        <v>1</v>
      </c>
      <c r="N212">
        <f t="shared" si="28"/>
        <v>0</v>
      </c>
    </row>
    <row r="213" spans="4:14" x14ac:dyDescent="0.2">
      <c r="D213">
        <f t="shared" si="30"/>
        <v>190</v>
      </c>
      <c r="E213" s="1">
        <f t="shared" si="31"/>
        <v>0.37757663934550201</v>
      </c>
      <c r="F213" s="1">
        <f t="shared" si="32"/>
        <v>-1.9581330751842281</v>
      </c>
      <c r="G213" s="1">
        <f t="shared" si="29"/>
        <v>0.14112163862995755</v>
      </c>
      <c r="H213" s="1">
        <f t="shared" si="22"/>
        <v>1.451307705917361E-3</v>
      </c>
      <c r="I213">
        <f t="shared" si="23"/>
        <v>10</v>
      </c>
      <c r="J213">
        <f t="shared" si="24"/>
        <v>176</v>
      </c>
      <c r="K213" s="5">
        <f t="shared" si="25"/>
        <v>0</v>
      </c>
      <c r="L213">
        <f t="shared" si="26"/>
        <v>95</v>
      </c>
      <c r="M213">
        <f t="shared" si="27"/>
        <v>1</v>
      </c>
      <c r="N213">
        <f t="shared" si="28"/>
        <v>0</v>
      </c>
    </row>
    <row r="214" spans="4:14" x14ac:dyDescent="0.2">
      <c r="D214">
        <f t="shared" si="30"/>
        <v>191</v>
      </c>
      <c r="E214" s="1">
        <f t="shared" si="31"/>
        <v>0.36710533947820667</v>
      </c>
      <c r="F214" s="1">
        <f t="shared" si="32"/>
        <v>-1.9686043750515234</v>
      </c>
      <c r="G214" s="1">
        <f t="shared" si="29"/>
        <v>0.1396516215608955</v>
      </c>
      <c r="H214" s="1">
        <f t="shared" si="22"/>
        <v>1.4361899173140553E-3</v>
      </c>
      <c r="I214">
        <f t="shared" si="23"/>
        <v>10</v>
      </c>
      <c r="J214">
        <f t="shared" si="24"/>
        <v>177</v>
      </c>
      <c r="K214" s="5">
        <f t="shared" si="25"/>
        <v>0</v>
      </c>
      <c r="L214">
        <f t="shared" si="26"/>
        <v>95</v>
      </c>
      <c r="M214">
        <f t="shared" si="27"/>
        <v>1</v>
      </c>
      <c r="N214">
        <f t="shared" si="28"/>
        <v>0</v>
      </c>
    </row>
    <row r="215" spans="4:14" x14ac:dyDescent="0.2">
      <c r="D215">
        <f t="shared" si="30"/>
        <v>192</v>
      </c>
      <c r="E215" s="1">
        <f t="shared" si="31"/>
        <v>0.35663403961091134</v>
      </c>
      <c r="F215" s="1">
        <f t="shared" si="32"/>
        <v>-1.9790756749188188</v>
      </c>
      <c r="G215" s="1">
        <f t="shared" si="29"/>
        <v>0.13819691716963617</v>
      </c>
      <c r="H215" s="1">
        <f t="shared" ref="H215:H278" si="33">G215/$G$21</f>
        <v>1.4212296056753673E-3</v>
      </c>
      <c r="I215">
        <f t="shared" ref="I215:I278" si="34">IF($F$11&lt;=D215, IF(D215&lt;=$A$15,D215-$F$11,$C$11),0)</f>
        <v>10</v>
      </c>
      <c r="J215">
        <f t="shared" ref="J215:J278" si="35">IF(D215&lt;=$A$15,0,D215-$A$15)</f>
        <v>178</v>
      </c>
      <c r="K215" s="5">
        <f t="shared" ref="K215:K278" si="36">IF(D215&lt;$F$11,H215,0)</f>
        <v>0</v>
      </c>
      <c r="L215">
        <f t="shared" ref="L215:L278" si="37">IF(D215&lt;$A$15,$D$11,$D$11*(1-$H$11))</f>
        <v>95</v>
      </c>
      <c r="M215">
        <f t="shared" ref="M215:M278" si="38">IF(D215&lt;$A$15,0,1)</f>
        <v>1</v>
      </c>
      <c r="N215">
        <f t="shared" ref="N215:N278" si="39">IF(SUM(I215:J215)&lt;=($G$11/60*$F$11/($E$11/60)),1,0)</f>
        <v>0</v>
      </c>
    </row>
    <row r="216" spans="4:14" x14ac:dyDescent="0.2">
      <c r="D216">
        <f t="shared" si="30"/>
        <v>193</v>
      </c>
      <c r="E216" s="1">
        <f t="shared" si="31"/>
        <v>0.346162739743616</v>
      </c>
      <c r="F216" s="1">
        <f t="shared" si="32"/>
        <v>-1.9895469747861141</v>
      </c>
      <c r="G216" s="1">
        <f t="shared" ref="G216:G279" si="40">EXP(F216)</f>
        <v>0.13675736594911914</v>
      </c>
      <c r="H216" s="1">
        <f t="shared" si="33"/>
        <v>1.4064251306162489E-3</v>
      </c>
      <c r="I216">
        <f t="shared" si="34"/>
        <v>10</v>
      </c>
      <c r="J216">
        <f t="shared" si="35"/>
        <v>179</v>
      </c>
      <c r="K216" s="5">
        <f t="shared" si="36"/>
        <v>0</v>
      </c>
      <c r="L216">
        <f t="shared" si="37"/>
        <v>95</v>
      </c>
      <c r="M216">
        <f t="shared" si="38"/>
        <v>1</v>
      </c>
      <c r="N216">
        <f t="shared" si="39"/>
        <v>0</v>
      </c>
    </row>
    <row r="217" spans="4:14" x14ac:dyDescent="0.2">
      <c r="D217">
        <f t="shared" ref="D217:D280" si="41">1+D216</f>
        <v>194</v>
      </c>
      <c r="E217" s="1">
        <f t="shared" ref="E217:E280" si="42">IF($H$11=1,IF(D217&lt;=$A$15, E216+LN($D$11)-LN(60/$E$11)-LN(MIN(D217,$F$11)), E216-LN(60/$E$11)-LN(MIN(D217,$F$11))), IF(D217&lt;=$A$15, E216+LN($D$11)-LN(60/$E$11)-LN(MIN(D217,$F$11)), E216+LN($D$11)+LN(1-$H$11)-LN(60/$E$11)-LN(MIN(D217,$F$11))))</f>
        <v>0.33569143987632066</v>
      </c>
      <c r="F217" s="1">
        <f t="shared" ref="F217:F280" si="43">E217-$E$21</f>
        <v>-2.0000182746534092</v>
      </c>
      <c r="G217" s="1">
        <f t="shared" si="40"/>
        <v>0.13533281005381587</v>
      </c>
      <c r="H217" s="1">
        <f t="shared" si="33"/>
        <v>1.391774868838997E-3</v>
      </c>
      <c r="I217">
        <f t="shared" si="34"/>
        <v>10</v>
      </c>
      <c r="J217">
        <f t="shared" si="35"/>
        <v>180</v>
      </c>
      <c r="K217" s="5">
        <f t="shared" si="36"/>
        <v>0</v>
      </c>
      <c r="L217">
        <f t="shared" si="37"/>
        <v>95</v>
      </c>
      <c r="M217">
        <f t="shared" si="38"/>
        <v>1</v>
      </c>
      <c r="N217">
        <f t="shared" si="39"/>
        <v>0</v>
      </c>
    </row>
    <row r="218" spans="4:14" x14ac:dyDescent="0.2">
      <c r="D218">
        <f t="shared" si="41"/>
        <v>195</v>
      </c>
      <c r="E218" s="1">
        <f t="shared" si="42"/>
        <v>0.32522014000902533</v>
      </c>
      <c r="F218" s="1">
        <f t="shared" si="43"/>
        <v>-2.0104895745207045</v>
      </c>
      <c r="G218" s="1">
        <f t="shared" si="40"/>
        <v>0.13392309328242194</v>
      </c>
      <c r="H218" s="1">
        <f t="shared" si="33"/>
        <v>1.3772772139552573E-3</v>
      </c>
      <c r="I218">
        <f t="shared" si="34"/>
        <v>10</v>
      </c>
      <c r="J218">
        <f t="shared" si="35"/>
        <v>181</v>
      </c>
      <c r="K218" s="5">
        <f t="shared" si="36"/>
        <v>0</v>
      </c>
      <c r="L218">
        <f t="shared" si="37"/>
        <v>95</v>
      </c>
      <c r="M218">
        <f t="shared" si="38"/>
        <v>1</v>
      </c>
      <c r="N218">
        <f t="shared" si="39"/>
        <v>0</v>
      </c>
    </row>
    <row r="219" spans="4:14" x14ac:dyDescent="0.2">
      <c r="D219">
        <f t="shared" si="41"/>
        <v>196</v>
      </c>
      <c r="E219" s="1">
        <f t="shared" si="42"/>
        <v>0.31474884014172999</v>
      </c>
      <c r="F219" s="1">
        <f t="shared" si="43"/>
        <v>-2.0209608743879999</v>
      </c>
      <c r="G219" s="1">
        <f t="shared" si="40"/>
        <v>0.13252806106073006</v>
      </c>
      <c r="H219" s="1">
        <f t="shared" si="33"/>
        <v>1.36293057630989E-3</v>
      </c>
      <c r="I219">
        <f t="shared" si="34"/>
        <v>10</v>
      </c>
      <c r="J219">
        <f t="shared" si="35"/>
        <v>182</v>
      </c>
      <c r="K219" s="5">
        <f t="shared" si="36"/>
        <v>0</v>
      </c>
      <c r="L219">
        <f t="shared" si="37"/>
        <v>95</v>
      </c>
      <c r="M219">
        <f t="shared" si="38"/>
        <v>1</v>
      </c>
      <c r="N219">
        <f t="shared" si="39"/>
        <v>0</v>
      </c>
    </row>
    <row r="220" spans="4:14" x14ac:dyDescent="0.2">
      <c r="D220">
        <f t="shared" si="41"/>
        <v>197</v>
      </c>
      <c r="E220" s="1">
        <f t="shared" si="42"/>
        <v>0.30427754027443465</v>
      </c>
      <c r="F220" s="1">
        <f t="shared" si="43"/>
        <v>-2.0314321742552952</v>
      </c>
      <c r="G220" s="1">
        <f t="shared" si="40"/>
        <v>0.13114756042468079</v>
      </c>
      <c r="H220" s="1">
        <f t="shared" si="33"/>
        <v>1.348733382806662E-3</v>
      </c>
      <c r="I220">
        <f t="shared" si="34"/>
        <v>10</v>
      </c>
      <c r="J220">
        <f t="shared" si="35"/>
        <v>183</v>
      </c>
      <c r="K220" s="5">
        <f t="shared" si="36"/>
        <v>0</v>
      </c>
      <c r="L220">
        <f t="shared" si="37"/>
        <v>95</v>
      </c>
      <c r="M220">
        <f t="shared" si="38"/>
        <v>1</v>
      </c>
      <c r="N220">
        <f t="shared" si="39"/>
        <v>0</v>
      </c>
    </row>
    <row r="221" spans="4:14" x14ac:dyDescent="0.2">
      <c r="D221">
        <f t="shared" si="41"/>
        <v>198</v>
      </c>
      <c r="E221" s="1">
        <f t="shared" si="42"/>
        <v>0.29380624040713932</v>
      </c>
      <c r="F221" s="1">
        <f t="shared" si="43"/>
        <v>-2.0419034741225905</v>
      </c>
      <c r="G221" s="1">
        <f t="shared" si="40"/>
        <v>0.12978144000359038</v>
      </c>
      <c r="H221" s="1">
        <f t="shared" si="33"/>
        <v>1.3346840767357595E-3</v>
      </c>
      <c r="I221">
        <f t="shared" si="34"/>
        <v>10</v>
      </c>
      <c r="J221">
        <f t="shared" si="35"/>
        <v>184</v>
      </c>
      <c r="K221" s="5">
        <f t="shared" si="36"/>
        <v>0</v>
      </c>
      <c r="L221">
        <f t="shared" si="37"/>
        <v>95</v>
      </c>
      <c r="M221">
        <f t="shared" si="38"/>
        <v>1</v>
      </c>
      <c r="N221">
        <f t="shared" si="39"/>
        <v>0</v>
      </c>
    </row>
    <row r="222" spans="4:14" x14ac:dyDescent="0.2">
      <c r="D222">
        <f t="shared" si="41"/>
        <v>199</v>
      </c>
      <c r="E222" s="1">
        <f t="shared" si="42"/>
        <v>0.28333494053984398</v>
      </c>
      <c r="F222" s="1">
        <f t="shared" si="43"/>
        <v>-2.0523747739898859</v>
      </c>
      <c r="G222" s="1">
        <f t="shared" si="40"/>
        <v>0.12842955000355299</v>
      </c>
      <c r="H222" s="1">
        <f t="shared" si="33"/>
        <v>1.3207811176030955E-3</v>
      </c>
      <c r="I222">
        <f t="shared" si="34"/>
        <v>10</v>
      </c>
      <c r="J222">
        <f t="shared" si="35"/>
        <v>185</v>
      </c>
      <c r="K222" s="5">
        <f t="shared" si="36"/>
        <v>0</v>
      </c>
      <c r="L222">
        <f t="shared" si="37"/>
        <v>95</v>
      </c>
      <c r="M222">
        <f t="shared" si="38"/>
        <v>1</v>
      </c>
      <c r="N222">
        <f t="shared" si="39"/>
        <v>0</v>
      </c>
    </row>
    <row r="223" spans="4:14" x14ac:dyDescent="0.2">
      <c r="D223">
        <f t="shared" si="41"/>
        <v>200</v>
      </c>
      <c r="E223" s="1">
        <f t="shared" si="42"/>
        <v>0.27286364067254865</v>
      </c>
      <c r="F223" s="1">
        <f t="shared" si="43"/>
        <v>-2.0628460738571812</v>
      </c>
      <c r="G223" s="1">
        <f t="shared" si="40"/>
        <v>0.12709174219101599</v>
      </c>
      <c r="H223" s="1">
        <f t="shared" si="33"/>
        <v>1.3070229809613967E-3</v>
      </c>
      <c r="I223">
        <f t="shared" si="34"/>
        <v>10</v>
      </c>
      <c r="J223">
        <f t="shared" si="35"/>
        <v>186</v>
      </c>
      <c r="K223" s="5">
        <f t="shared" si="36"/>
        <v>0</v>
      </c>
      <c r="L223">
        <f t="shared" si="37"/>
        <v>95</v>
      </c>
      <c r="M223">
        <f t="shared" si="38"/>
        <v>1</v>
      </c>
      <c r="N223">
        <f t="shared" si="39"/>
        <v>0</v>
      </c>
    </row>
    <row r="224" spans="4:14" x14ac:dyDescent="0.2">
      <c r="D224">
        <f t="shared" si="41"/>
        <v>201</v>
      </c>
      <c r="E224" s="1">
        <f t="shared" si="42"/>
        <v>0.26239234080525331</v>
      </c>
      <c r="F224" s="1">
        <f t="shared" si="43"/>
        <v>-2.0733173737244766</v>
      </c>
      <c r="G224" s="1">
        <f t="shared" si="40"/>
        <v>0.12576786987652624</v>
      </c>
      <c r="H224" s="1">
        <f t="shared" si="33"/>
        <v>1.2934081582430489E-3</v>
      </c>
      <c r="I224">
        <f t="shared" si="34"/>
        <v>10</v>
      </c>
      <c r="J224">
        <f t="shared" si="35"/>
        <v>187</v>
      </c>
      <c r="K224" s="5">
        <f t="shared" si="36"/>
        <v>0</v>
      </c>
      <c r="L224">
        <f t="shared" si="37"/>
        <v>95</v>
      </c>
      <c r="M224">
        <f t="shared" si="38"/>
        <v>1</v>
      </c>
      <c r="N224">
        <f t="shared" si="39"/>
        <v>0</v>
      </c>
    </row>
    <row r="225" spans="4:14" x14ac:dyDescent="0.2">
      <c r="D225">
        <f t="shared" si="41"/>
        <v>202</v>
      </c>
      <c r="E225" s="1">
        <f t="shared" si="42"/>
        <v>0.25192104093795797</v>
      </c>
      <c r="F225" s="1">
        <f t="shared" si="43"/>
        <v>-2.0837886735917719</v>
      </c>
      <c r="G225" s="1">
        <f t="shared" si="40"/>
        <v>0.12445778789864577</v>
      </c>
      <c r="H225" s="1">
        <f t="shared" si="33"/>
        <v>1.2799351565946839E-3</v>
      </c>
      <c r="I225">
        <f t="shared" si="34"/>
        <v>10</v>
      </c>
      <c r="J225">
        <f t="shared" si="35"/>
        <v>188</v>
      </c>
      <c r="K225" s="5">
        <f t="shared" si="36"/>
        <v>0</v>
      </c>
      <c r="L225">
        <f t="shared" si="37"/>
        <v>95</v>
      </c>
      <c r="M225">
        <f t="shared" si="38"/>
        <v>1</v>
      </c>
      <c r="N225">
        <f t="shared" si="39"/>
        <v>0</v>
      </c>
    </row>
    <row r="226" spans="4:14" x14ac:dyDescent="0.2">
      <c r="D226">
        <f t="shared" si="41"/>
        <v>203</v>
      </c>
      <c r="E226" s="1">
        <f t="shared" si="42"/>
        <v>0.24144974107066264</v>
      </c>
      <c r="F226" s="1">
        <f t="shared" si="43"/>
        <v>-2.0942599734590672</v>
      </c>
      <c r="G226" s="1">
        <f t="shared" si="40"/>
        <v>0.12316135260803489</v>
      </c>
      <c r="H226" s="1">
        <f t="shared" si="33"/>
        <v>1.2666024987134893E-3</v>
      </c>
      <c r="I226">
        <f t="shared" si="34"/>
        <v>10</v>
      </c>
      <c r="J226">
        <f t="shared" si="35"/>
        <v>189</v>
      </c>
      <c r="K226" s="5">
        <f t="shared" si="36"/>
        <v>0</v>
      </c>
      <c r="L226">
        <f t="shared" si="37"/>
        <v>95</v>
      </c>
      <c r="M226">
        <f t="shared" si="38"/>
        <v>1</v>
      </c>
      <c r="N226">
        <f t="shared" si="39"/>
        <v>0</v>
      </c>
    </row>
    <row r="227" spans="4:14" x14ac:dyDescent="0.2">
      <c r="D227">
        <f t="shared" si="41"/>
        <v>204</v>
      </c>
      <c r="E227" s="1">
        <f t="shared" si="42"/>
        <v>0.2309784412033673</v>
      </c>
      <c r="F227" s="1">
        <f t="shared" si="43"/>
        <v>-2.1047312733263626</v>
      </c>
      <c r="G227" s="1">
        <f t="shared" si="40"/>
        <v>0.1218784218517012</v>
      </c>
      <c r="H227" s="1">
        <f t="shared" si="33"/>
        <v>1.2534087226852239E-3</v>
      </c>
      <c r="I227">
        <f t="shared" si="34"/>
        <v>10</v>
      </c>
      <c r="J227">
        <f t="shared" si="35"/>
        <v>190</v>
      </c>
      <c r="K227" s="5">
        <f t="shared" si="36"/>
        <v>0</v>
      </c>
      <c r="L227">
        <f t="shared" si="37"/>
        <v>95</v>
      </c>
      <c r="M227">
        <f t="shared" si="38"/>
        <v>1</v>
      </c>
      <c r="N227">
        <f t="shared" si="39"/>
        <v>0</v>
      </c>
    </row>
    <row r="228" spans="4:14" x14ac:dyDescent="0.2">
      <c r="D228">
        <f t="shared" si="41"/>
        <v>205</v>
      </c>
      <c r="E228" s="1">
        <f t="shared" si="42"/>
        <v>0.22050714133607197</v>
      </c>
      <c r="F228" s="1">
        <f t="shared" si="43"/>
        <v>-2.1152025731936579</v>
      </c>
      <c r="G228" s="1">
        <f t="shared" si="40"/>
        <v>0.12060885495741265</v>
      </c>
      <c r="H228" s="1">
        <f t="shared" si="33"/>
        <v>1.2403523818239196E-3</v>
      </c>
      <c r="I228">
        <f t="shared" si="34"/>
        <v>10</v>
      </c>
      <c r="J228">
        <f t="shared" si="35"/>
        <v>191</v>
      </c>
      <c r="K228" s="5">
        <f t="shared" si="36"/>
        <v>0</v>
      </c>
      <c r="L228">
        <f t="shared" si="37"/>
        <v>95</v>
      </c>
      <c r="M228">
        <f t="shared" si="38"/>
        <v>1</v>
      </c>
      <c r="N228">
        <f t="shared" si="39"/>
        <v>0</v>
      </c>
    </row>
    <row r="229" spans="4:14" x14ac:dyDescent="0.2">
      <c r="D229">
        <f t="shared" si="41"/>
        <v>206</v>
      </c>
      <c r="E229" s="1">
        <f t="shared" si="42"/>
        <v>0.21003584146877663</v>
      </c>
      <c r="F229" s="1">
        <f t="shared" si="43"/>
        <v>-2.1256738730609532</v>
      </c>
      <c r="G229" s="1">
        <f t="shared" si="40"/>
        <v>0.11935251271827295</v>
      </c>
      <c r="H229" s="1">
        <f t="shared" si="33"/>
        <v>1.2274320445132538E-3</v>
      </c>
      <c r="I229">
        <f t="shared" si="34"/>
        <v>10</v>
      </c>
      <c r="J229">
        <f t="shared" si="35"/>
        <v>192</v>
      </c>
      <c r="K229" s="5">
        <f t="shared" si="36"/>
        <v>0</v>
      </c>
      <c r="L229">
        <f t="shared" si="37"/>
        <v>95</v>
      </c>
      <c r="M229">
        <f t="shared" si="38"/>
        <v>1</v>
      </c>
      <c r="N229">
        <f t="shared" si="39"/>
        <v>0</v>
      </c>
    </row>
    <row r="230" spans="4:14" x14ac:dyDescent="0.2">
      <c r="D230">
        <f t="shared" si="41"/>
        <v>207</v>
      </c>
      <c r="E230" s="1">
        <f t="shared" si="42"/>
        <v>0.19956454160148129</v>
      </c>
      <c r="F230" s="1">
        <f t="shared" si="43"/>
        <v>-2.1361451729282486</v>
      </c>
      <c r="G230" s="1">
        <f t="shared" si="40"/>
        <v>0.11810925737745762</v>
      </c>
      <c r="H230" s="1">
        <f t="shared" si="33"/>
        <v>1.2146462940495742E-3</v>
      </c>
      <c r="I230">
        <f t="shared" si="34"/>
        <v>10</v>
      </c>
      <c r="J230">
        <f t="shared" si="35"/>
        <v>193</v>
      </c>
      <c r="K230" s="5">
        <f t="shared" si="36"/>
        <v>0</v>
      </c>
      <c r="L230">
        <f t="shared" si="37"/>
        <v>95</v>
      </c>
      <c r="M230">
        <f t="shared" si="38"/>
        <v>1</v>
      </c>
      <c r="N230">
        <f t="shared" si="39"/>
        <v>0</v>
      </c>
    </row>
    <row r="231" spans="4:14" x14ac:dyDescent="0.2">
      <c r="D231">
        <f t="shared" si="41"/>
        <v>208</v>
      </c>
      <c r="E231" s="1">
        <f t="shared" si="42"/>
        <v>0.18909324173418596</v>
      </c>
      <c r="F231" s="1">
        <f t="shared" si="43"/>
        <v>-2.1466164727955439</v>
      </c>
      <c r="G231" s="1">
        <f t="shared" si="40"/>
        <v>0.1168789526131091</v>
      </c>
      <c r="H231" s="1">
        <f t="shared" si="33"/>
        <v>1.2019937284865579E-3</v>
      </c>
      <c r="I231">
        <f t="shared" si="34"/>
        <v>10</v>
      </c>
      <c r="J231">
        <f t="shared" si="35"/>
        <v>194</v>
      </c>
      <c r="K231" s="5">
        <f t="shared" si="36"/>
        <v>0</v>
      </c>
      <c r="L231">
        <f t="shared" si="37"/>
        <v>95</v>
      </c>
      <c r="M231">
        <f t="shared" si="38"/>
        <v>1</v>
      </c>
      <c r="N231">
        <f t="shared" si="39"/>
        <v>0</v>
      </c>
    </row>
    <row r="232" spans="4:14" x14ac:dyDescent="0.2">
      <c r="D232">
        <f t="shared" si="41"/>
        <v>209</v>
      </c>
      <c r="E232" s="1">
        <f t="shared" si="42"/>
        <v>0.17862194186689062</v>
      </c>
      <c r="F232" s="1">
        <f t="shared" si="43"/>
        <v>-2.1570877726628392</v>
      </c>
      <c r="G232" s="1">
        <f t="shared" si="40"/>
        <v>0.11566146352338923</v>
      </c>
      <c r="H232" s="1">
        <f t="shared" si="33"/>
        <v>1.1894729604814897E-3</v>
      </c>
      <c r="I232">
        <f t="shared" si="34"/>
        <v>10</v>
      </c>
      <c r="J232">
        <f t="shared" si="35"/>
        <v>195</v>
      </c>
      <c r="K232" s="5">
        <f t="shared" si="36"/>
        <v>0</v>
      </c>
      <c r="L232">
        <f t="shared" si="37"/>
        <v>95</v>
      </c>
      <c r="M232">
        <f t="shared" si="38"/>
        <v>1</v>
      </c>
      <c r="N232">
        <f t="shared" si="39"/>
        <v>0</v>
      </c>
    </row>
    <row r="233" spans="4:14" x14ac:dyDescent="0.2">
      <c r="D233">
        <f t="shared" si="41"/>
        <v>210</v>
      </c>
      <c r="E233" s="1">
        <f t="shared" si="42"/>
        <v>0.16815064199959529</v>
      </c>
      <c r="F233" s="1">
        <f t="shared" si="43"/>
        <v>-2.1675590725301346</v>
      </c>
      <c r="G233" s="1">
        <f t="shared" si="40"/>
        <v>0.11445665661168726</v>
      </c>
      <c r="H233" s="1">
        <f t="shared" si="33"/>
        <v>1.1770826171431409E-3</v>
      </c>
      <c r="I233">
        <f t="shared" si="34"/>
        <v>10</v>
      </c>
      <c r="J233">
        <f t="shared" si="35"/>
        <v>196</v>
      </c>
      <c r="K233" s="5">
        <f t="shared" si="36"/>
        <v>0</v>
      </c>
      <c r="L233">
        <f t="shared" si="37"/>
        <v>95</v>
      </c>
      <c r="M233">
        <f t="shared" si="38"/>
        <v>1</v>
      </c>
      <c r="N233">
        <f t="shared" si="39"/>
        <v>0</v>
      </c>
    </row>
    <row r="234" spans="4:14" x14ac:dyDescent="0.2">
      <c r="D234">
        <f t="shared" si="41"/>
        <v>211</v>
      </c>
      <c r="E234" s="1">
        <f t="shared" si="42"/>
        <v>0.15767934213229995</v>
      </c>
      <c r="F234" s="1">
        <f t="shared" si="43"/>
        <v>-2.1780303723974299</v>
      </c>
      <c r="G234" s="1">
        <f t="shared" si="40"/>
        <v>0.11326439977198219</v>
      </c>
      <c r="H234" s="1">
        <f t="shared" si="33"/>
        <v>1.1648213398812331E-3</v>
      </c>
      <c r="I234">
        <f t="shared" si="34"/>
        <v>10</v>
      </c>
      <c r="J234">
        <f t="shared" si="35"/>
        <v>197</v>
      </c>
      <c r="K234" s="5">
        <f t="shared" si="36"/>
        <v>0</v>
      </c>
      <c r="L234">
        <f t="shared" si="37"/>
        <v>95</v>
      </c>
      <c r="M234">
        <f t="shared" si="38"/>
        <v>1</v>
      </c>
      <c r="N234">
        <f t="shared" si="39"/>
        <v>0</v>
      </c>
    </row>
    <row r="235" spans="4:14" x14ac:dyDescent="0.2">
      <c r="D235">
        <f t="shared" si="41"/>
        <v>212</v>
      </c>
      <c r="E235" s="1">
        <f t="shared" si="42"/>
        <v>0.14720804226500461</v>
      </c>
      <c r="F235" s="1">
        <f t="shared" si="43"/>
        <v>-2.1885016722647253</v>
      </c>
      <c r="G235" s="1">
        <f t="shared" si="40"/>
        <v>0.11208456227435738</v>
      </c>
      <c r="H235" s="1">
        <f t="shared" si="33"/>
        <v>1.1526877842574705E-3</v>
      </c>
      <c r="I235">
        <f t="shared" si="34"/>
        <v>10</v>
      </c>
      <c r="J235">
        <f t="shared" si="35"/>
        <v>198</v>
      </c>
      <c r="K235" s="5">
        <f t="shared" si="36"/>
        <v>0</v>
      </c>
      <c r="L235">
        <f t="shared" si="37"/>
        <v>95</v>
      </c>
      <c r="M235">
        <f t="shared" si="38"/>
        <v>1</v>
      </c>
      <c r="N235">
        <f t="shared" si="39"/>
        <v>0</v>
      </c>
    </row>
    <row r="236" spans="4:14" x14ac:dyDescent="0.2">
      <c r="D236">
        <f t="shared" si="41"/>
        <v>213</v>
      </c>
      <c r="E236" s="1">
        <f t="shared" si="42"/>
        <v>0.13673674239770928</v>
      </c>
      <c r="F236" s="1">
        <f t="shared" si="43"/>
        <v>-2.1989729721320206</v>
      </c>
      <c r="G236" s="1">
        <f t="shared" si="40"/>
        <v>0.11091701475066618</v>
      </c>
      <c r="H236" s="1">
        <f t="shared" si="33"/>
        <v>1.1406806198381218E-3</v>
      </c>
      <c r="I236">
        <f t="shared" si="34"/>
        <v>10</v>
      </c>
      <c r="J236">
        <f t="shared" si="35"/>
        <v>199</v>
      </c>
      <c r="K236" s="5">
        <f t="shared" si="36"/>
        <v>0</v>
      </c>
      <c r="L236">
        <f t="shared" si="37"/>
        <v>95</v>
      </c>
      <c r="M236">
        <f t="shared" si="38"/>
        <v>1</v>
      </c>
      <c r="N236">
        <f t="shared" si="39"/>
        <v>0</v>
      </c>
    </row>
    <row r="237" spans="4:14" x14ac:dyDescent="0.2">
      <c r="D237">
        <f t="shared" si="41"/>
        <v>214</v>
      </c>
      <c r="E237" s="1">
        <f t="shared" si="42"/>
        <v>0.12626544253041394</v>
      </c>
      <c r="F237" s="1">
        <f t="shared" si="43"/>
        <v>-2.2094442719993159</v>
      </c>
      <c r="G237" s="1">
        <f t="shared" si="40"/>
        <v>0.10976162918034674</v>
      </c>
      <c r="H237" s="1">
        <f t="shared" si="33"/>
        <v>1.1287985300481415E-3</v>
      </c>
      <c r="I237">
        <f t="shared" si="34"/>
        <v>10</v>
      </c>
      <c r="J237">
        <f t="shared" si="35"/>
        <v>200</v>
      </c>
      <c r="K237" s="5">
        <f t="shared" si="36"/>
        <v>0</v>
      </c>
      <c r="L237">
        <f t="shared" si="37"/>
        <v>95</v>
      </c>
      <c r="M237">
        <f t="shared" si="38"/>
        <v>1</v>
      </c>
      <c r="N237">
        <f t="shared" si="39"/>
        <v>0</v>
      </c>
    </row>
    <row r="238" spans="4:14" x14ac:dyDescent="0.2">
      <c r="D238">
        <f t="shared" si="41"/>
        <v>215</v>
      </c>
      <c r="E238" s="1">
        <f t="shared" si="42"/>
        <v>0.1157941426631186</v>
      </c>
      <c r="F238" s="1">
        <f t="shared" si="43"/>
        <v>-2.2199155718666113</v>
      </c>
      <c r="G238" s="1">
        <f t="shared" si="40"/>
        <v>0.1086182788763848</v>
      </c>
      <c r="H238" s="1">
        <f t="shared" si="33"/>
        <v>1.1170402120268068E-3</v>
      </c>
      <c r="I238">
        <f t="shared" si="34"/>
        <v>10</v>
      </c>
      <c r="J238">
        <f t="shared" si="35"/>
        <v>201</v>
      </c>
      <c r="K238" s="5">
        <f t="shared" si="36"/>
        <v>0</v>
      </c>
      <c r="L238">
        <f t="shared" si="37"/>
        <v>95</v>
      </c>
      <c r="M238">
        <f t="shared" si="38"/>
        <v>1</v>
      </c>
      <c r="N238">
        <f t="shared" si="39"/>
        <v>0</v>
      </c>
    </row>
    <row r="239" spans="4:14" x14ac:dyDescent="0.2">
      <c r="D239">
        <f t="shared" si="41"/>
        <v>216</v>
      </c>
      <c r="E239" s="1">
        <f t="shared" si="42"/>
        <v>0.10532284279582327</v>
      </c>
      <c r="F239" s="1">
        <f t="shared" si="43"/>
        <v>-2.2303868717339066</v>
      </c>
      <c r="G239" s="1">
        <f t="shared" si="40"/>
        <v>0.10748683847142247</v>
      </c>
      <c r="H239" s="1">
        <f t="shared" si="33"/>
        <v>1.105404376484861E-3</v>
      </c>
      <c r="I239">
        <f t="shared" si="34"/>
        <v>10</v>
      </c>
      <c r="J239">
        <f t="shared" si="35"/>
        <v>202</v>
      </c>
      <c r="K239" s="5">
        <f t="shared" si="36"/>
        <v>0</v>
      </c>
      <c r="L239">
        <f t="shared" si="37"/>
        <v>95</v>
      </c>
      <c r="M239">
        <f t="shared" si="38"/>
        <v>1</v>
      </c>
      <c r="N239">
        <f t="shared" si="39"/>
        <v>0</v>
      </c>
    </row>
    <row r="240" spans="4:14" x14ac:dyDescent="0.2">
      <c r="D240">
        <f t="shared" si="41"/>
        <v>217</v>
      </c>
      <c r="E240" s="1">
        <f t="shared" si="42"/>
        <v>9.4851542928527932E-2</v>
      </c>
      <c r="F240" s="1">
        <f t="shared" si="43"/>
        <v>-2.2408581716012019</v>
      </c>
      <c r="G240" s="1">
        <f t="shared" si="40"/>
        <v>0.10636718390401183</v>
      </c>
      <c r="H240" s="1">
        <f t="shared" si="33"/>
        <v>1.0938897475631438E-3</v>
      </c>
      <c r="I240">
        <f t="shared" si="34"/>
        <v>10</v>
      </c>
      <c r="J240">
        <f t="shared" si="35"/>
        <v>203</v>
      </c>
      <c r="K240" s="5">
        <f t="shared" si="36"/>
        <v>0</v>
      </c>
      <c r="L240">
        <f t="shared" si="37"/>
        <v>95</v>
      </c>
      <c r="M240">
        <f t="shared" si="38"/>
        <v>1</v>
      </c>
      <c r="N240">
        <f t="shared" si="39"/>
        <v>0</v>
      </c>
    </row>
    <row r="241" spans="4:14" x14ac:dyDescent="0.2">
      <c r="D241">
        <f t="shared" si="41"/>
        <v>218</v>
      </c>
      <c r="E241" s="1">
        <f t="shared" si="42"/>
        <v>8.4380243061232596E-2</v>
      </c>
      <c r="F241" s="1">
        <f t="shared" si="43"/>
        <v>-2.2513294714684973</v>
      </c>
      <c r="G241" s="1">
        <f t="shared" si="40"/>
        <v>0.10525919240501171</v>
      </c>
      <c r="H241" s="1">
        <f t="shared" si="33"/>
        <v>1.0824950626926943E-3</v>
      </c>
      <c r="I241">
        <f t="shared" si="34"/>
        <v>10</v>
      </c>
      <c r="J241">
        <f t="shared" si="35"/>
        <v>204</v>
      </c>
      <c r="K241" s="5">
        <f t="shared" si="36"/>
        <v>0</v>
      </c>
      <c r="L241">
        <f t="shared" si="37"/>
        <v>95</v>
      </c>
      <c r="M241">
        <f t="shared" si="38"/>
        <v>1</v>
      </c>
      <c r="N241">
        <f t="shared" si="39"/>
        <v>0</v>
      </c>
    </row>
    <row r="242" spans="4:14" x14ac:dyDescent="0.2">
      <c r="D242">
        <f t="shared" si="41"/>
        <v>219</v>
      </c>
      <c r="E242" s="1">
        <f t="shared" si="42"/>
        <v>7.390894319393726E-2</v>
      </c>
      <c r="F242" s="1">
        <f t="shared" si="43"/>
        <v>-2.2618007713357926</v>
      </c>
      <c r="G242" s="1">
        <f t="shared" si="40"/>
        <v>0.10416274248412617</v>
      </c>
      <c r="H242" s="1">
        <f t="shared" si="33"/>
        <v>1.0712190724563122E-3</v>
      </c>
      <c r="I242">
        <f t="shared" si="34"/>
        <v>10</v>
      </c>
      <c r="J242">
        <f t="shared" si="35"/>
        <v>205</v>
      </c>
      <c r="K242" s="5">
        <f t="shared" si="36"/>
        <v>0</v>
      </c>
      <c r="L242">
        <f t="shared" si="37"/>
        <v>95</v>
      </c>
      <c r="M242">
        <f t="shared" si="38"/>
        <v>1</v>
      </c>
      <c r="N242">
        <f t="shared" si="39"/>
        <v>0</v>
      </c>
    </row>
    <row r="243" spans="4:14" x14ac:dyDescent="0.2">
      <c r="D243">
        <f t="shared" si="41"/>
        <v>220</v>
      </c>
      <c r="E243" s="1">
        <f t="shared" si="42"/>
        <v>6.3437643326641924E-2</v>
      </c>
      <c r="F243" s="1">
        <f t="shared" si="43"/>
        <v>-2.2722720712030879</v>
      </c>
      <c r="G243" s="1">
        <f t="shared" si="40"/>
        <v>0.1030777139165832</v>
      </c>
      <c r="H243" s="1">
        <f t="shared" si="33"/>
        <v>1.060060540451559E-3</v>
      </c>
      <c r="I243">
        <f t="shared" si="34"/>
        <v>10</v>
      </c>
      <c r="J243">
        <f t="shared" si="35"/>
        <v>206</v>
      </c>
      <c r="K243" s="5">
        <f t="shared" si="36"/>
        <v>0</v>
      </c>
      <c r="L243">
        <f t="shared" si="37"/>
        <v>95</v>
      </c>
      <c r="M243">
        <f t="shared" si="38"/>
        <v>1</v>
      </c>
      <c r="N243">
        <f t="shared" si="39"/>
        <v>0</v>
      </c>
    </row>
    <row r="244" spans="4:14" x14ac:dyDescent="0.2">
      <c r="D244">
        <f t="shared" si="41"/>
        <v>221</v>
      </c>
      <c r="E244" s="1">
        <f t="shared" si="42"/>
        <v>5.2966343459346588E-2</v>
      </c>
      <c r="F244" s="1">
        <f t="shared" si="43"/>
        <v>-2.2827433710703833</v>
      </c>
      <c r="G244" s="1">
        <f t="shared" si="40"/>
        <v>0.10200398772995213</v>
      </c>
      <c r="H244" s="1">
        <f t="shared" si="33"/>
        <v>1.0490182431551888E-3</v>
      </c>
      <c r="I244">
        <f t="shared" si="34"/>
        <v>10</v>
      </c>
      <c r="J244">
        <f t="shared" si="35"/>
        <v>207</v>
      </c>
      <c r="K244" s="5">
        <f t="shared" si="36"/>
        <v>0</v>
      </c>
      <c r="L244">
        <f t="shared" si="37"/>
        <v>95</v>
      </c>
      <c r="M244">
        <f t="shared" si="38"/>
        <v>1</v>
      </c>
      <c r="N244">
        <f t="shared" si="39"/>
        <v>0</v>
      </c>
    </row>
    <row r="245" spans="4:14" x14ac:dyDescent="0.2">
      <c r="D245">
        <f t="shared" si="41"/>
        <v>222</v>
      </c>
      <c r="E245" s="1">
        <f t="shared" si="42"/>
        <v>4.2495043592051251E-2</v>
      </c>
      <c r="F245" s="1">
        <f t="shared" si="43"/>
        <v>-2.2932146709376786</v>
      </c>
      <c r="G245" s="1">
        <f t="shared" si="40"/>
        <v>0.10094144619109847</v>
      </c>
      <c r="H245" s="1">
        <f t="shared" si="33"/>
        <v>1.0380909697889889E-3</v>
      </c>
      <c r="I245">
        <f t="shared" si="34"/>
        <v>10</v>
      </c>
      <c r="J245">
        <f t="shared" si="35"/>
        <v>208</v>
      </c>
      <c r="K245" s="5">
        <f t="shared" si="36"/>
        <v>0</v>
      </c>
      <c r="L245">
        <f t="shared" si="37"/>
        <v>95</v>
      </c>
      <c r="M245">
        <f t="shared" si="38"/>
        <v>1</v>
      </c>
      <c r="N245">
        <f t="shared" si="39"/>
        <v>0</v>
      </c>
    </row>
    <row r="246" spans="4:14" x14ac:dyDescent="0.2">
      <c r="D246">
        <f t="shared" si="41"/>
        <v>223</v>
      </c>
      <c r="E246" s="1">
        <f t="shared" si="42"/>
        <v>3.2023743724755915E-2</v>
      </c>
      <c r="F246" s="1">
        <f t="shared" si="43"/>
        <v>-2.3036859708049739</v>
      </c>
      <c r="G246" s="1">
        <f t="shared" si="40"/>
        <v>9.9889972793274537E-2</v>
      </c>
      <c r="H246" s="1">
        <f t="shared" si="33"/>
        <v>1.0272775221870202E-3</v>
      </c>
      <c r="I246">
        <f t="shared" si="34"/>
        <v>10</v>
      </c>
      <c r="J246">
        <f t="shared" si="35"/>
        <v>209</v>
      </c>
      <c r="K246" s="5">
        <f t="shared" si="36"/>
        <v>0</v>
      </c>
      <c r="L246">
        <f t="shared" si="37"/>
        <v>95</v>
      </c>
      <c r="M246">
        <f t="shared" si="38"/>
        <v>1</v>
      </c>
      <c r="N246">
        <f t="shared" si="39"/>
        <v>0</v>
      </c>
    </row>
    <row r="247" spans="4:14" x14ac:dyDescent="0.2">
      <c r="D247">
        <f t="shared" si="41"/>
        <v>224</v>
      </c>
      <c r="E247" s="1">
        <f t="shared" si="42"/>
        <v>2.1552443857460579E-2</v>
      </c>
      <c r="F247" s="1">
        <f t="shared" si="43"/>
        <v>-2.3141572706722693</v>
      </c>
      <c r="G247" s="1">
        <f t="shared" si="40"/>
        <v>9.8849452243344599E-2</v>
      </c>
      <c r="H247" s="1">
        <f t="shared" si="33"/>
        <v>1.016576714664239E-3</v>
      </c>
      <c r="I247">
        <f t="shared" si="34"/>
        <v>10</v>
      </c>
      <c r="J247">
        <f t="shared" si="35"/>
        <v>210</v>
      </c>
      <c r="K247" s="5">
        <f t="shared" si="36"/>
        <v>0</v>
      </c>
      <c r="L247">
        <f t="shared" si="37"/>
        <v>95</v>
      </c>
      <c r="M247">
        <f t="shared" si="38"/>
        <v>1</v>
      </c>
      <c r="N247">
        <f t="shared" si="39"/>
        <v>0</v>
      </c>
    </row>
    <row r="248" spans="4:14" x14ac:dyDescent="0.2">
      <c r="D248">
        <f t="shared" si="41"/>
        <v>225</v>
      </c>
      <c r="E248" s="1">
        <f t="shared" si="42"/>
        <v>1.1081143990165243E-2</v>
      </c>
      <c r="F248" s="1">
        <f t="shared" si="43"/>
        <v>-2.3246285705395646</v>
      </c>
      <c r="G248" s="1">
        <f t="shared" si="40"/>
        <v>9.7819770449143098E-2</v>
      </c>
      <c r="H248" s="1">
        <f t="shared" si="33"/>
        <v>1.0059873738864865E-3</v>
      </c>
      <c r="I248">
        <f t="shared" si="34"/>
        <v>10</v>
      </c>
      <c r="J248">
        <f t="shared" si="35"/>
        <v>211</v>
      </c>
      <c r="K248" s="5">
        <f t="shared" si="36"/>
        <v>0</v>
      </c>
      <c r="L248">
        <f t="shared" si="37"/>
        <v>95</v>
      </c>
      <c r="M248">
        <f t="shared" si="38"/>
        <v>1</v>
      </c>
      <c r="N248">
        <f t="shared" si="39"/>
        <v>0</v>
      </c>
    </row>
    <row r="249" spans="4:14" x14ac:dyDescent="0.2">
      <c r="D249">
        <f t="shared" si="41"/>
        <v>226</v>
      </c>
      <c r="E249" s="1">
        <f t="shared" si="42"/>
        <v>6.0984412286990697E-4</v>
      </c>
      <c r="F249" s="1">
        <f t="shared" si="43"/>
        <v>-2.33509987040686</v>
      </c>
      <c r="G249" s="1">
        <f t="shared" si="40"/>
        <v>9.6800814506964539E-2</v>
      </c>
      <c r="H249" s="1">
        <f t="shared" si="33"/>
        <v>9.9550833874183578E-4</v>
      </c>
      <c r="I249">
        <f t="shared" si="34"/>
        <v>10</v>
      </c>
      <c r="J249">
        <f t="shared" si="35"/>
        <v>212</v>
      </c>
      <c r="K249" s="5">
        <f t="shared" si="36"/>
        <v>0</v>
      </c>
      <c r="L249">
        <f t="shared" si="37"/>
        <v>95</v>
      </c>
      <c r="M249">
        <f t="shared" si="38"/>
        <v>1</v>
      </c>
      <c r="N249">
        <f t="shared" si="39"/>
        <v>0</v>
      </c>
    </row>
    <row r="250" spans="4:14" x14ac:dyDescent="0.2">
      <c r="D250">
        <f t="shared" si="41"/>
        <v>227</v>
      </c>
      <c r="E250" s="1">
        <f t="shared" si="42"/>
        <v>-9.8614557444254292E-3</v>
      </c>
      <c r="F250" s="1">
        <f t="shared" si="43"/>
        <v>-2.3455711702741553</v>
      </c>
      <c r="G250" s="1">
        <f t="shared" si="40"/>
        <v>9.5792472689183658E-2</v>
      </c>
      <c r="H250" s="1">
        <f t="shared" si="33"/>
        <v>9.8513846021327503E-4</v>
      </c>
      <c r="I250">
        <f t="shared" si="34"/>
        <v>10</v>
      </c>
      <c r="J250">
        <f t="shared" si="35"/>
        <v>213</v>
      </c>
      <c r="K250" s="5">
        <f t="shared" si="36"/>
        <v>0</v>
      </c>
      <c r="L250">
        <f t="shared" si="37"/>
        <v>95</v>
      </c>
      <c r="M250">
        <f t="shared" si="38"/>
        <v>1</v>
      </c>
      <c r="N250">
        <f t="shared" si="39"/>
        <v>0</v>
      </c>
    </row>
    <row r="251" spans="4:14" x14ac:dyDescent="0.2">
      <c r="D251">
        <f t="shared" si="41"/>
        <v>228</v>
      </c>
      <c r="E251" s="1">
        <f t="shared" si="42"/>
        <v>-2.0332755611720765E-2</v>
      </c>
      <c r="F251" s="1">
        <f t="shared" si="43"/>
        <v>-2.3560424701414506</v>
      </c>
      <c r="G251" s="1">
        <f t="shared" si="40"/>
        <v>9.4794634432004671E-2</v>
      </c>
      <c r="H251" s="1">
        <f t="shared" si="33"/>
        <v>9.7487660125272009E-4</v>
      </c>
      <c r="I251">
        <f t="shared" si="34"/>
        <v>10</v>
      </c>
      <c r="J251">
        <f t="shared" si="35"/>
        <v>214</v>
      </c>
      <c r="K251" s="5">
        <f t="shared" si="36"/>
        <v>0</v>
      </c>
      <c r="L251">
        <f t="shared" si="37"/>
        <v>95</v>
      </c>
      <c r="M251">
        <f t="shared" si="38"/>
        <v>1</v>
      </c>
      <c r="N251">
        <f t="shared" si="39"/>
        <v>0</v>
      </c>
    </row>
    <row r="252" spans="4:14" x14ac:dyDescent="0.2">
      <c r="D252">
        <f t="shared" si="41"/>
        <v>229</v>
      </c>
      <c r="E252" s="1">
        <f t="shared" si="42"/>
        <v>-3.0804055479016101E-2</v>
      </c>
      <c r="F252" s="1">
        <f t="shared" si="43"/>
        <v>-2.366513770008746</v>
      </c>
      <c r="G252" s="1">
        <f t="shared" si="40"/>
        <v>9.3807190323337966E-2</v>
      </c>
      <c r="H252" s="1">
        <f t="shared" si="33"/>
        <v>9.6472163665633766E-4</v>
      </c>
      <c r="I252">
        <f t="shared" si="34"/>
        <v>10</v>
      </c>
      <c r="J252">
        <f t="shared" si="35"/>
        <v>215</v>
      </c>
      <c r="K252" s="5">
        <f t="shared" si="36"/>
        <v>0</v>
      </c>
      <c r="L252">
        <f t="shared" si="37"/>
        <v>95</v>
      </c>
      <c r="M252">
        <f t="shared" si="38"/>
        <v>1</v>
      </c>
      <c r="N252">
        <f t="shared" si="39"/>
        <v>0</v>
      </c>
    </row>
    <row r="253" spans="4:14" x14ac:dyDescent="0.2">
      <c r="D253">
        <f t="shared" si="41"/>
        <v>230</v>
      </c>
      <c r="E253" s="1">
        <f t="shared" si="42"/>
        <v>-4.1275355346311438E-2</v>
      </c>
      <c r="F253" s="1">
        <f t="shared" si="43"/>
        <v>-2.3769850698760413</v>
      </c>
      <c r="G253" s="1">
        <f t="shared" si="40"/>
        <v>9.2830032090803191E-2</v>
      </c>
      <c r="H253" s="1">
        <f t="shared" si="33"/>
        <v>9.5467245294116748E-4</v>
      </c>
      <c r="I253">
        <f t="shared" si="34"/>
        <v>10</v>
      </c>
      <c r="J253">
        <f t="shared" si="35"/>
        <v>216</v>
      </c>
      <c r="K253" s="5">
        <f t="shared" si="36"/>
        <v>0</v>
      </c>
      <c r="L253">
        <f t="shared" si="37"/>
        <v>95</v>
      </c>
      <c r="M253">
        <f t="shared" si="38"/>
        <v>1</v>
      </c>
      <c r="N253">
        <f t="shared" si="39"/>
        <v>0</v>
      </c>
    </row>
    <row r="254" spans="4:14" x14ac:dyDescent="0.2">
      <c r="D254">
        <f t="shared" si="41"/>
        <v>231</v>
      </c>
      <c r="E254" s="1">
        <f t="shared" si="42"/>
        <v>-5.1746655213606774E-2</v>
      </c>
      <c r="F254" s="1">
        <f t="shared" si="43"/>
        <v>-2.3874563697433366</v>
      </c>
      <c r="G254" s="1">
        <f t="shared" si="40"/>
        <v>9.1863052589857344E-2</v>
      </c>
      <c r="H254" s="1">
        <f t="shared" si="33"/>
        <v>9.447279482230305E-4</v>
      </c>
      <c r="I254">
        <f t="shared" si="34"/>
        <v>10</v>
      </c>
      <c r="J254">
        <f t="shared" si="35"/>
        <v>217</v>
      </c>
      <c r="K254" s="5">
        <f t="shared" si="36"/>
        <v>0</v>
      </c>
      <c r="L254">
        <f t="shared" si="37"/>
        <v>95</v>
      </c>
      <c r="M254">
        <f t="shared" si="38"/>
        <v>1</v>
      </c>
      <c r="N254">
        <f t="shared" si="39"/>
        <v>0</v>
      </c>
    </row>
    <row r="255" spans="4:14" x14ac:dyDescent="0.2">
      <c r="D255">
        <f t="shared" si="41"/>
        <v>232</v>
      </c>
      <c r="E255" s="1">
        <f t="shared" si="42"/>
        <v>-6.221795508090211E-2</v>
      </c>
      <c r="F255" s="1">
        <f t="shared" si="43"/>
        <v>-2.397927669610632</v>
      </c>
      <c r="G255" s="1">
        <f t="shared" si="40"/>
        <v>9.0906145792046325E-2</v>
      </c>
      <c r="H255" s="1">
        <f t="shared" si="33"/>
        <v>9.3488703209570719E-4</v>
      </c>
      <c r="I255">
        <f t="shared" si="34"/>
        <v>10</v>
      </c>
      <c r="J255">
        <f t="shared" si="35"/>
        <v>218</v>
      </c>
      <c r="K255" s="5">
        <f t="shared" si="36"/>
        <v>0</v>
      </c>
      <c r="L255">
        <f t="shared" si="37"/>
        <v>95</v>
      </c>
      <c r="M255">
        <f t="shared" si="38"/>
        <v>1</v>
      </c>
      <c r="N255">
        <f t="shared" si="39"/>
        <v>0</v>
      </c>
    </row>
    <row r="256" spans="4:14" x14ac:dyDescent="0.2">
      <c r="D256">
        <f t="shared" si="41"/>
        <v>233</v>
      </c>
      <c r="E256" s="1">
        <f t="shared" si="42"/>
        <v>-7.2689254948197446E-2</v>
      </c>
      <c r="F256" s="1">
        <f t="shared" si="43"/>
        <v>-2.4083989694779273</v>
      </c>
      <c r="G256" s="1">
        <f t="shared" si="40"/>
        <v>8.995920677337918E-2</v>
      </c>
      <c r="H256" s="1">
        <f t="shared" si="33"/>
        <v>9.2514862551137695E-4</v>
      </c>
      <c r="I256">
        <f t="shared" si="34"/>
        <v>10</v>
      </c>
      <c r="J256">
        <f t="shared" si="35"/>
        <v>219</v>
      </c>
      <c r="K256" s="5">
        <f t="shared" si="36"/>
        <v>0</v>
      </c>
      <c r="L256">
        <f t="shared" si="37"/>
        <v>95</v>
      </c>
      <c r="M256">
        <f t="shared" si="38"/>
        <v>1</v>
      </c>
      <c r="N256">
        <f t="shared" si="39"/>
        <v>0</v>
      </c>
    </row>
    <row r="257" spans="4:14" x14ac:dyDescent="0.2">
      <c r="D257">
        <f t="shared" si="41"/>
        <v>234</v>
      </c>
      <c r="E257" s="1">
        <f t="shared" si="42"/>
        <v>-8.3160554815492782E-2</v>
      </c>
      <c r="F257" s="1">
        <f t="shared" si="43"/>
        <v>-2.4188702693452226</v>
      </c>
      <c r="G257" s="1">
        <f t="shared" si="40"/>
        <v>8.9022131702823165E-2</v>
      </c>
      <c r="H257" s="1">
        <f t="shared" si="33"/>
        <v>9.155116606623003E-4</v>
      </c>
      <c r="I257">
        <f t="shared" si="34"/>
        <v>10</v>
      </c>
      <c r="J257">
        <f t="shared" si="35"/>
        <v>220</v>
      </c>
      <c r="K257" s="5">
        <f t="shared" si="36"/>
        <v>0</v>
      </c>
      <c r="L257">
        <f t="shared" si="37"/>
        <v>95</v>
      </c>
      <c r="M257">
        <f t="shared" si="38"/>
        <v>1</v>
      </c>
      <c r="N257">
        <f t="shared" si="39"/>
        <v>0</v>
      </c>
    </row>
    <row r="258" spans="4:14" x14ac:dyDescent="0.2">
      <c r="D258">
        <f t="shared" si="41"/>
        <v>235</v>
      </c>
      <c r="E258" s="1">
        <f t="shared" si="42"/>
        <v>-9.3631854682788118E-2</v>
      </c>
      <c r="F258" s="1">
        <f t="shared" si="43"/>
        <v>-2.429341569212518</v>
      </c>
      <c r="G258" s="1">
        <f t="shared" si="40"/>
        <v>8.8094817830918756E-2</v>
      </c>
      <c r="H258" s="1">
        <f t="shared" si="33"/>
        <v>9.0597508086373471E-4</v>
      </c>
      <c r="I258">
        <f t="shared" si="34"/>
        <v>10</v>
      </c>
      <c r="J258">
        <f t="shared" si="35"/>
        <v>221</v>
      </c>
      <c r="K258" s="5">
        <f t="shared" si="36"/>
        <v>0</v>
      </c>
      <c r="L258">
        <f t="shared" si="37"/>
        <v>95</v>
      </c>
      <c r="M258">
        <f t="shared" si="38"/>
        <v>1</v>
      </c>
      <c r="N258">
        <f t="shared" si="39"/>
        <v>0</v>
      </c>
    </row>
    <row r="259" spans="4:14" x14ac:dyDescent="0.2">
      <c r="D259">
        <f t="shared" si="41"/>
        <v>236</v>
      </c>
      <c r="E259" s="1">
        <f t="shared" si="42"/>
        <v>-0.10410315455008345</v>
      </c>
      <c r="F259" s="1">
        <f t="shared" si="43"/>
        <v>-2.4398128690798133</v>
      </c>
      <c r="G259" s="1">
        <f t="shared" si="40"/>
        <v>8.7177163478513356E-2</v>
      </c>
      <c r="H259" s="1">
        <f t="shared" si="33"/>
        <v>8.9653784043807079E-4</v>
      </c>
      <c r="I259">
        <f t="shared" si="34"/>
        <v>10</v>
      </c>
      <c r="J259">
        <f t="shared" si="35"/>
        <v>222</v>
      </c>
      <c r="K259" s="5">
        <f t="shared" si="36"/>
        <v>0</v>
      </c>
      <c r="L259">
        <f t="shared" si="37"/>
        <v>95</v>
      </c>
      <c r="M259">
        <f t="shared" si="38"/>
        <v>1</v>
      </c>
      <c r="N259">
        <f t="shared" si="39"/>
        <v>0</v>
      </c>
    </row>
    <row r="260" spans="4:14" x14ac:dyDescent="0.2">
      <c r="D260">
        <f t="shared" si="41"/>
        <v>237</v>
      </c>
      <c r="E260" s="1">
        <f t="shared" si="42"/>
        <v>-0.11457445441737879</v>
      </c>
      <c r="F260" s="1">
        <f t="shared" si="43"/>
        <v>-2.4502841689471087</v>
      </c>
      <c r="G260" s="1">
        <f t="shared" si="40"/>
        <v>8.6269068025612183E-2</v>
      </c>
      <c r="H260" s="1">
        <f t="shared" si="33"/>
        <v>8.8719890460017435E-4</v>
      </c>
      <c r="I260">
        <f t="shared" si="34"/>
        <v>10</v>
      </c>
      <c r="J260">
        <f t="shared" si="35"/>
        <v>223</v>
      </c>
      <c r="K260" s="5">
        <f t="shared" si="36"/>
        <v>0</v>
      </c>
      <c r="L260">
        <f t="shared" si="37"/>
        <v>95</v>
      </c>
      <c r="M260">
        <f t="shared" si="38"/>
        <v>1</v>
      </c>
      <c r="N260">
        <f t="shared" si="39"/>
        <v>0</v>
      </c>
    </row>
    <row r="261" spans="4:14" x14ac:dyDescent="0.2">
      <c r="D261">
        <f t="shared" si="41"/>
        <v>238</v>
      </c>
      <c r="E261" s="1">
        <f t="shared" si="42"/>
        <v>-0.12504575428467413</v>
      </c>
      <c r="F261" s="1">
        <f t="shared" si="43"/>
        <v>-2.460755468814404</v>
      </c>
      <c r="G261" s="1">
        <f t="shared" si="40"/>
        <v>8.5370431900345392E-2</v>
      </c>
      <c r="H261" s="1">
        <f t="shared" si="33"/>
        <v>8.7795724934392253E-4</v>
      </c>
      <c r="I261">
        <f t="shared" si="34"/>
        <v>10</v>
      </c>
      <c r="J261">
        <f t="shared" si="35"/>
        <v>224</v>
      </c>
      <c r="K261" s="5">
        <f t="shared" si="36"/>
        <v>0</v>
      </c>
      <c r="L261">
        <f t="shared" si="37"/>
        <v>95</v>
      </c>
      <c r="M261">
        <f t="shared" si="38"/>
        <v>1</v>
      </c>
      <c r="N261">
        <f t="shared" si="39"/>
        <v>0</v>
      </c>
    </row>
    <row r="262" spans="4:14" x14ac:dyDescent="0.2">
      <c r="D262">
        <f t="shared" si="41"/>
        <v>239</v>
      </c>
      <c r="E262" s="1">
        <f t="shared" si="42"/>
        <v>-0.13551705415196946</v>
      </c>
      <c r="F262" s="1">
        <f t="shared" si="43"/>
        <v>-2.4712267686816993</v>
      </c>
      <c r="G262" s="1">
        <f t="shared" si="40"/>
        <v>8.4481156568050136E-2</v>
      </c>
      <c r="H262" s="1">
        <f t="shared" si="33"/>
        <v>8.6881186132992344E-4</v>
      </c>
      <c r="I262">
        <f t="shared" si="34"/>
        <v>10</v>
      </c>
      <c r="J262">
        <f t="shared" si="35"/>
        <v>225</v>
      </c>
      <c r="K262" s="5">
        <f t="shared" si="36"/>
        <v>0</v>
      </c>
      <c r="L262">
        <f t="shared" si="37"/>
        <v>95</v>
      </c>
      <c r="M262">
        <f t="shared" si="38"/>
        <v>1</v>
      </c>
      <c r="N262">
        <f t="shared" si="39"/>
        <v>0</v>
      </c>
    </row>
    <row r="263" spans="4:14" x14ac:dyDescent="0.2">
      <c r="D263">
        <f t="shared" si="41"/>
        <v>240</v>
      </c>
      <c r="E263" s="1">
        <f t="shared" si="42"/>
        <v>-0.1459883540192648</v>
      </c>
      <c r="F263" s="1">
        <f t="shared" si="43"/>
        <v>-2.4816980685489947</v>
      </c>
      <c r="G263" s="1">
        <f t="shared" si="40"/>
        <v>8.3601144520466283E-2</v>
      </c>
      <c r="H263" s="1">
        <f t="shared" si="33"/>
        <v>8.5976173777440343E-4</v>
      </c>
      <c r="I263">
        <f t="shared" si="34"/>
        <v>10</v>
      </c>
      <c r="J263">
        <f t="shared" si="35"/>
        <v>226</v>
      </c>
      <c r="K263" s="5">
        <f t="shared" si="36"/>
        <v>0</v>
      </c>
      <c r="L263">
        <f t="shared" si="37"/>
        <v>95</v>
      </c>
      <c r="M263">
        <f t="shared" si="38"/>
        <v>1</v>
      </c>
      <c r="N263">
        <f t="shared" si="39"/>
        <v>0</v>
      </c>
    </row>
    <row r="264" spans="4:14" x14ac:dyDescent="0.2">
      <c r="D264">
        <f t="shared" si="41"/>
        <v>241</v>
      </c>
      <c r="E264" s="1">
        <f t="shared" si="42"/>
        <v>-0.15645965388656013</v>
      </c>
      <c r="F264" s="1">
        <f t="shared" si="43"/>
        <v>-2.49216936841629</v>
      </c>
      <c r="G264" s="1">
        <f t="shared" si="40"/>
        <v>8.2730299265044771E-2</v>
      </c>
      <c r="H264" s="1">
        <f t="shared" si="33"/>
        <v>8.5080588633925356E-4</v>
      </c>
      <c r="I264">
        <f t="shared" si="34"/>
        <v>10</v>
      </c>
      <c r="J264">
        <f t="shared" si="35"/>
        <v>227</v>
      </c>
      <c r="K264" s="5">
        <f t="shared" si="36"/>
        <v>0</v>
      </c>
      <c r="L264">
        <f t="shared" si="37"/>
        <v>95</v>
      </c>
      <c r="M264">
        <f t="shared" si="38"/>
        <v>1</v>
      </c>
      <c r="N264">
        <f t="shared" si="39"/>
        <v>0</v>
      </c>
    </row>
    <row r="265" spans="4:14" x14ac:dyDescent="0.2">
      <c r="D265">
        <f t="shared" si="41"/>
        <v>242</v>
      </c>
      <c r="E265" s="1">
        <f t="shared" si="42"/>
        <v>-0.16693095375385547</v>
      </c>
      <c r="F265" s="1">
        <f t="shared" si="43"/>
        <v>-2.5026406682835853</v>
      </c>
      <c r="G265" s="1">
        <f t="shared" si="40"/>
        <v>8.1868525314367224E-2</v>
      </c>
      <c r="H265" s="1">
        <f t="shared" si="33"/>
        <v>8.4194332502321965E-4</v>
      </c>
      <c r="I265">
        <f t="shared" si="34"/>
        <v>10</v>
      </c>
      <c r="J265">
        <f t="shared" si="35"/>
        <v>228</v>
      </c>
      <c r="K265" s="5">
        <f t="shared" si="36"/>
        <v>0</v>
      </c>
      <c r="L265">
        <f t="shared" si="37"/>
        <v>95</v>
      </c>
      <c r="M265">
        <f t="shared" si="38"/>
        <v>1</v>
      </c>
      <c r="N265">
        <f t="shared" si="39"/>
        <v>0</v>
      </c>
    </row>
    <row r="266" spans="4:14" x14ac:dyDescent="0.2">
      <c r="D266">
        <f t="shared" si="41"/>
        <v>243</v>
      </c>
      <c r="E266" s="1">
        <f t="shared" si="42"/>
        <v>-0.17740225362115081</v>
      </c>
      <c r="F266" s="1">
        <f t="shared" si="43"/>
        <v>-2.5131119681508807</v>
      </c>
      <c r="G266" s="1">
        <f t="shared" si="40"/>
        <v>8.10157281756759E-2</v>
      </c>
      <c r="H266" s="1">
        <f t="shared" si="33"/>
        <v>8.3317308205422777E-4</v>
      </c>
      <c r="I266">
        <f t="shared" si="34"/>
        <v>10</v>
      </c>
      <c r="J266">
        <f t="shared" si="35"/>
        <v>229</v>
      </c>
      <c r="K266" s="5">
        <f t="shared" si="36"/>
        <v>0</v>
      </c>
      <c r="L266">
        <f t="shared" si="37"/>
        <v>95</v>
      </c>
      <c r="M266">
        <f t="shared" si="38"/>
        <v>1</v>
      </c>
      <c r="N266">
        <f t="shared" si="39"/>
        <v>0</v>
      </c>
    </row>
    <row r="267" spans="4:14" x14ac:dyDescent="0.2">
      <c r="D267">
        <f t="shared" si="41"/>
        <v>244</v>
      </c>
      <c r="E267" s="1">
        <f t="shared" si="42"/>
        <v>-0.18787355348844614</v>
      </c>
      <c r="F267" s="1">
        <f t="shared" si="43"/>
        <v>-2.523583268018176</v>
      </c>
      <c r="G267" s="1">
        <f t="shared" si="40"/>
        <v>8.0171814340512626E-2</v>
      </c>
      <c r="H267" s="1">
        <f t="shared" si="33"/>
        <v>8.2449419578282978E-4</v>
      </c>
      <c r="I267">
        <f t="shared" si="34"/>
        <v>10</v>
      </c>
      <c r="J267">
        <f t="shared" si="35"/>
        <v>230</v>
      </c>
      <c r="K267" s="5">
        <f t="shared" si="36"/>
        <v>0</v>
      </c>
      <c r="L267">
        <f t="shared" si="37"/>
        <v>95</v>
      </c>
      <c r="M267">
        <f t="shared" si="38"/>
        <v>1</v>
      </c>
      <c r="N267">
        <f t="shared" si="39"/>
        <v>0</v>
      </c>
    </row>
    <row r="268" spans="4:14" x14ac:dyDescent="0.2">
      <c r="D268">
        <f t="shared" si="41"/>
        <v>245</v>
      </c>
      <c r="E268" s="1">
        <f t="shared" si="42"/>
        <v>-0.19834485335574148</v>
      </c>
      <c r="F268" s="1">
        <f t="shared" si="43"/>
        <v>-2.5340545678854713</v>
      </c>
      <c r="G268" s="1">
        <f t="shared" si="40"/>
        <v>7.9336691274465618E-2</v>
      </c>
      <c r="H268" s="1">
        <f t="shared" si="33"/>
        <v>8.1590571457675857E-4</v>
      </c>
      <c r="I268">
        <f t="shared" si="34"/>
        <v>10</v>
      </c>
      <c r="J268">
        <f t="shared" si="35"/>
        <v>231</v>
      </c>
      <c r="K268" s="5">
        <f t="shared" si="36"/>
        <v>0</v>
      </c>
      <c r="L268">
        <f t="shared" si="37"/>
        <v>95</v>
      </c>
      <c r="M268">
        <f t="shared" si="38"/>
        <v>1</v>
      </c>
      <c r="N268">
        <f t="shared" si="39"/>
        <v>0</v>
      </c>
    </row>
    <row r="269" spans="4:14" x14ac:dyDescent="0.2">
      <c r="D269">
        <f t="shared" si="41"/>
        <v>246</v>
      </c>
      <c r="E269" s="1">
        <f t="shared" si="42"/>
        <v>-0.20881615322303682</v>
      </c>
      <c r="F269" s="1">
        <f t="shared" si="43"/>
        <v>-2.5445258677527667</v>
      </c>
      <c r="G269" s="1">
        <f t="shared" si="40"/>
        <v>7.8510267407023271E-2</v>
      </c>
      <c r="H269" s="1">
        <f t="shared" si="33"/>
        <v>8.0740669671658404E-4</v>
      </c>
      <c r="I269">
        <f t="shared" si="34"/>
        <v>10</v>
      </c>
      <c r="J269">
        <f t="shared" si="35"/>
        <v>232</v>
      </c>
      <c r="K269" s="5">
        <f t="shared" si="36"/>
        <v>0</v>
      </c>
      <c r="L269">
        <f t="shared" si="37"/>
        <v>95</v>
      </c>
      <c r="M269">
        <f t="shared" si="38"/>
        <v>1</v>
      </c>
      <c r="N269">
        <f t="shared" si="39"/>
        <v>0</v>
      </c>
    </row>
    <row r="270" spans="4:14" x14ac:dyDescent="0.2">
      <c r="D270">
        <f t="shared" si="41"/>
        <v>247</v>
      </c>
      <c r="E270" s="1">
        <f t="shared" si="42"/>
        <v>-0.21928745309033215</v>
      </c>
      <c r="F270" s="1">
        <f t="shared" si="43"/>
        <v>-2.554997167620062</v>
      </c>
      <c r="G270" s="1">
        <f t="shared" si="40"/>
        <v>7.7692452121533459E-2</v>
      </c>
      <c r="H270" s="1">
        <f t="shared" si="33"/>
        <v>7.9899621029245311E-4</v>
      </c>
      <c r="I270">
        <f t="shared" si="34"/>
        <v>10</v>
      </c>
      <c r="J270">
        <f t="shared" si="35"/>
        <v>233</v>
      </c>
      <c r="K270" s="5">
        <f t="shared" si="36"/>
        <v>0</v>
      </c>
      <c r="L270">
        <f t="shared" si="37"/>
        <v>95</v>
      </c>
      <c r="M270">
        <f t="shared" si="38"/>
        <v>1</v>
      </c>
      <c r="N270">
        <f t="shared" si="39"/>
        <v>0</v>
      </c>
    </row>
    <row r="271" spans="4:14" x14ac:dyDescent="0.2">
      <c r="D271">
        <f t="shared" si="41"/>
        <v>248</v>
      </c>
      <c r="E271" s="1">
        <f t="shared" si="42"/>
        <v>-0.22975875295762749</v>
      </c>
      <c r="F271" s="1">
        <f t="shared" si="43"/>
        <v>-2.5654684674873574</v>
      </c>
      <c r="G271" s="1">
        <f t="shared" si="40"/>
        <v>7.6883155745267481E-2</v>
      </c>
      <c r="H271" s="1">
        <f t="shared" si="33"/>
        <v>7.9067333310190672E-4</v>
      </c>
      <c r="I271">
        <f t="shared" si="34"/>
        <v>10</v>
      </c>
      <c r="J271">
        <f t="shared" si="35"/>
        <v>234</v>
      </c>
      <c r="K271" s="5">
        <f t="shared" si="36"/>
        <v>0</v>
      </c>
      <c r="L271">
        <f t="shared" si="37"/>
        <v>95</v>
      </c>
      <c r="M271">
        <f t="shared" si="38"/>
        <v>1</v>
      </c>
      <c r="N271">
        <f t="shared" si="39"/>
        <v>0</v>
      </c>
    </row>
    <row r="272" spans="4:14" x14ac:dyDescent="0.2">
      <c r="D272">
        <f t="shared" si="41"/>
        <v>249</v>
      </c>
      <c r="E272" s="1">
        <f t="shared" si="42"/>
        <v>-0.24023005282492282</v>
      </c>
      <c r="F272" s="1">
        <f t="shared" si="43"/>
        <v>-2.5759397673546527</v>
      </c>
      <c r="G272" s="1">
        <f t="shared" si="40"/>
        <v>7.6082289539587622E-2</v>
      </c>
      <c r="H272" s="1">
        <f t="shared" si="33"/>
        <v>7.824371525487619E-4</v>
      </c>
      <c r="I272">
        <f t="shared" si="34"/>
        <v>10</v>
      </c>
      <c r="J272">
        <f t="shared" si="35"/>
        <v>235</v>
      </c>
      <c r="K272" s="5">
        <f t="shared" si="36"/>
        <v>0</v>
      </c>
      <c r="L272">
        <f t="shared" si="37"/>
        <v>95</v>
      </c>
      <c r="M272">
        <f t="shared" si="38"/>
        <v>1</v>
      </c>
      <c r="N272">
        <f t="shared" si="39"/>
        <v>0</v>
      </c>
    </row>
    <row r="273" spans="4:14" x14ac:dyDescent="0.2">
      <c r="D273">
        <f t="shared" si="41"/>
        <v>250</v>
      </c>
      <c r="E273" s="1">
        <f t="shared" si="42"/>
        <v>-0.25070135269221816</v>
      </c>
      <c r="F273" s="1">
        <f t="shared" si="43"/>
        <v>-2.586411067221948</v>
      </c>
      <c r="G273" s="1">
        <f t="shared" si="40"/>
        <v>7.528976569021692E-2</v>
      </c>
      <c r="H273" s="1">
        <f t="shared" si="33"/>
        <v>7.7428676554304574E-4</v>
      </c>
      <c r="I273">
        <f t="shared" si="34"/>
        <v>10</v>
      </c>
      <c r="J273">
        <f t="shared" si="35"/>
        <v>236</v>
      </c>
      <c r="K273" s="5">
        <f t="shared" si="36"/>
        <v>0</v>
      </c>
      <c r="L273">
        <f t="shared" si="37"/>
        <v>95</v>
      </c>
      <c r="M273">
        <f t="shared" si="38"/>
        <v>1</v>
      </c>
      <c r="N273">
        <f t="shared" si="39"/>
        <v>0</v>
      </c>
    </row>
    <row r="274" spans="4:14" x14ac:dyDescent="0.2">
      <c r="D274">
        <f t="shared" si="41"/>
        <v>251</v>
      </c>
      <c r="E274" s="1">
        <f t="shared" si="42"/>
        <v>-0.2611726525595135</v>
      </c>
      <c r="F274" s="1">
        <f t="shared" si="43"/>
        <v>-2.5968823670892434</v>
      </c>
      <c r="G274" s="1">
        <f t="shared" si="40"/>
        <v>7.4505497297610496E-2</v>
      </c>
      <c r="H274" s="1">
        <f t="shared" si="33"/>
        <v>7.6622127840197236E-4</v>
      </c>
      <c r="I274">
        <f t="shared" si="34"/>
        <v>10</v>
      </c>
      <c r="J274">
        <f t="shared" si="35"/>
        <v>237</v>
      </c>
      <c r="K274" s="5">
        <f t="shared" si="36"/>
        <v>0</v>
      </c>
      <c r="L274">
        <f t="shared" si="37"/>
        <v>95</v>
      </c>
      <c r="M274">
        <f t="shared" si="38"/>
        <v>1</v>
      </c>
      <c r="N274">
        <f t="shared" si="39"/>
        <v>0</v>
      </c>
    </row>
    <row r="275" spans="4:14" x14ac:dyDescent="0.2">
      <c r="D275">
        <f t="shared" si="41"/>
        <v>252</v>
      </c>
      <c r="E275" s="1">
        <f t="shared" si="42"/>
        <v>-0.27164395242680883</v>
      </c>
      <c r="F275" s="1">
        <f t="shared" si="43"/>
        <v>-2.6073536669565387</v>
      </c>
      <c r="G275" s="1">
        <f t="shared" si="40"/>
        <v>7.3729398367427063E-2</v>
      </c>
      <c r="H275" s="1">
        <f t="shared" si="33"/>
        <v>7.5823980675195188E-4</v>
      </c>
      <c r="I275">
        <f t="shared" si="34"/>
        <v>10</v>
      </c>
      <c r="J275">
        <f t="shared" si="35"/>
        <v>238</v>
      </c>
      <c r="K275" s="5">
        <f t="shared" si="36"/>
        <v>0</v>
      </c>
      <c r="L275">
        <f t="shared" si="37"/>
        <v>95</v>
      </c>
      <c r="M275">
        <f t="shared" si="38"/>
        <v>1</v>
      </c>
      <c r="N275">
        <f t="shared" si="39"/>
        <v>0</v>
      </c>
    </row>
    <row r="276" spans="4:14" x14ac:dyDescent="0.2">
      <c r="D276">
        <f t="shared" si="41"/>
        <v>253</v>
      </c>
      <c r="E276" s="1">
        <f t="shared" si="42"/>
        <v>-0.28211525229410417</v>
      </c>
      <c r="F276" s="1">
        <f t="shared" si="43"/>
        <v>-2.617824966823834</v>
      </c>
      <c r="G276" s="1">
        <f t="shared" si="40"/>
        <v>7.2961383801099705E-2</v>
      </c>
      <c r="H276" s="1">
        <f t="shared" si="33"/>
        <v>7.5034147543161917E-4</v>
      </c>
      <c r="I276">
        <f t="shared" si="34"/>
        <v>10</v>
      </c>
      <c r="J276">
        <f t="shared" si="35"/>
        <v>239</v>
      </c>
      <c r="K276" s="5">
        <f t="shared" si="36"/>
        <v>0</v>
      </c>
      <c r="L276">
        <f t="shared" si="37"/>
        <v>95</v>
      </c>
      <c r="M276">
        <f t="shared" si="38"/>
        <v>1</v>
      </c>
      <c r="N276">
        <f t="shared" si="39"/>
        <v>0</v>
      </c>
    </row>
    <row r="277" spans="4:14" x14ac:dyDescent="0.2">
      <c r="D277">
        <f t="shared" si="41"/>
        <v>254</v>
      </c>
      <c r="E277" s="1">
        <f t="shared" si="42"/>
        <v>-0.2925865521613995</v>
      </c>
      <c r="F277" s="1">
        <f t="shared" si="43"/>
        <v>-2.6282962666911294</v>
      </c>
      <c r="G277" s="1">
        <f t="shared" si="40"/>
        <v>7.2201369386504913E-2</v>
      </c>
      <c r="H277" s="1">
        <f t="shared" si="33"/>
        <v>7.4252541839587302E-4</v>
      </c>
      <c r="I277">
        <f t="shared" si="34"/>
        <v>10</v>
      </c>
      <c r="J277">
        <f t="shared" si="35"/>
        <v>240</v>
      </c>
      <c r="K277" s="5">
        <f t="shared" si="36"/>
        <v>0</v>
      </c>
      <c r="L277">
        <f t="shared" si="37"/>
        <v>95</v>
      </c>
      <c r="M277">
        <f t="shared" si="38"/>
        <v>1</v>
      </c>
      <c r="N277">
        <f t="shared" si="39"/>
        <v>0</v>
      </c>
    </row>
    <row r="278" spans="4:14" x14ac:dyDescent="0.2">
      <c r="D278">
        <f t="shared" si="41"/>
        <v>255</v>
      </c>
      <c r="E278" s="1">
        <f t="shared" si="42"/>
        <v>-0.30305785202869484</v>
      </c>
      <c r="F278" s="1">
        <f t="shared" si="43"/>
        <v>-2.6387675665584247</v>
      </c>
      <c r="G278" s="1">
        <f t="shared" si="40"/>
        <v>7.1449271788728827E-2</v>
      </c>
      <c r="H278" s="1">
        <f t="shared" si="33"/>
        <v>7.3479077862091615E-4</v>
      </c>
      <c r="I278">
        <f t="shared" si="34"/>
        <v>10</v>
      </c>
      <c r="J278">
        <f t="shared" si="35"/>
        <v>241</v>
      </c>
      <c r="K278" s="5">
        <f t="shared" si="36"/>
        <v>0</v>
      </c>
      <c r="L278">
        <f t="shared" si="37"/>
        <v>95</v>
      </c>
      <c r="M278">
        <f t="shared" si="38"/>
        <v>1</v>
      </c>
      <c r="N278">
        <f t="shared" si="39"/>
        <v>0</v>
      </c>
    </row>
    <row r="279" spans="4:14" x14ac:dyDescent="0.2">
      <c r="D279">
        <f t="shared" si="41"/>
        <v>256</v>
      </c>
      <c r="E279" s="1">
        <f t="shared" si="42"/>
        <v>-0.31352915189599018</v>
      </c>
      <c r="F279" s="1">
        <f t="shared" si="43"/>
        <v>-2.64923886642572</v>
      </c>
      <c r="G279" s="1">
        <f t="shared" si="40"/>
        <v>7.0705008540929579E-2</v>
      </c>
      <c r="H279" s="1">
        <f t="shared" ref="H279:H342" si="44">G279/$G$21</f>
        <v>7.2713670801028167E-4</v>
      </c>
      <c r="I279">
        <f t="shared" ref="I279:I342" si="45">IF($F$11&lt;=D279, IF(D279&lt;=$A$15,D279-$F$11,$C$11),0)</f>
        <v>10</v>
      </c>
      <c r="J279">
        <f t="shared" ref="J279:J342" si="46">IF(D279&lt;=$A$15,0,D279-$A$15)</f>
        <v>242</v>
      </c>
      <c r="K279" s="5">
        <f t="shared" ref="K279:K342" si="47">IF(D279&lt;$F$11,H279,0)</f>
        <v>0</v>
      </c>
      <c r="L279">
        <f t="shared" ref="L279:L342" si="48">IF(D279&lt;$A$15,$D$11,$D$11*(1-$H$11))</f>
        <v>95</v>
      </c>
      <c r="M279">
        <f t="shared" ref="M279:M342" si="49">IF(D279&lt;$A$15,0,1)</f>
        <v>1</v>
      </c>
      <c r="N279">
        <f t="shared" ref="N279:N342" si="50">IF(SUM(I279:J279)&lt;=($G$11/60*$F$11/($E$11/60)),1,0)</f>
        <v>0</v>
      </c>
    </row>
    <row r="280" spans="4:14" x14ac:dyDescent="0.2">
      <c r="D280">
        <f t="shared" si="41"/>
        <v>257</v>
      </c>
      <c r="E280" s="1">
        <f t="shared" si="42"/>
        <v>-0.32400045176328551</v>
      </c>
      <c r="F280" s="1">
        <f t="shared" si="43"/>
        <v>-2.6597101662930154</v>
      </c>
      <c r="G280" s="1">
        <f t="shared" ref="G280:G343" si="51">EXP(F280)</f>
        <v>6.9968498035294896E-2</v>
      </c>
      <c r="H280" s="1">
        <f t="shared" si="44"/>
        <v>7.1956236730184127E-4</v>
      </c>
      <c r="I280">
        <f t="shared" si="45"/>
        <v>10</v>
      </c>
      <c r="J280">
        <f t="shared" si="46"/>
        <v>243</v>
      </c>
      <c r="K280" s="5">
        <f t="shared" si="47"/>
        <v>0</v>
      </c>
      <c r="L280">
        <f t="shared" si="48"/>
        <v>95</v>
      </c>
      <c r="M280">
        <f t="shared" si="49"/>
        <v>1</v>
      </c>
      <c r="N280">
        <f t="shared" si="50"/>
        <v>0</v>
      </c>
    </row>
    <row r="281" spans="4:14" x14ac:dyDescent="0.2">
      <c r="D281">
        <f t="shared" ref="D281:D344" si="52">1+D280</f>
        <v>258</v>
      </c>
      <c r="E281" s="1">
        <f t="shared" ref="E281:E344" si="53">IF($H$11=1,IF(D281&lt;=$A$15, E280+LN($D$11)-LN(60/$E$11)-LN(MIN(D281,$F$11)), E280-LN(60/$E$11)-LN(MIN(D281,$F$11))), IF(D281&lt;=$A$15, E280+LN($D$11)-LN(60/$E$11)-LN(MIN(D281,$F$11)), E280+LN($D$11)+LN(1-$H$11)-LN(60/$E$11)-LN(MIN(D281,$F$11))))</f>
        <v>-0.33447175163058085</v>
      </c>
      <c r="F281" s="1">
        <f t="shared" ref="F281:F344" si="54">E281-$E$21</f>
        <v>-2.6701814661603107</v>
      </c>
      <c r="G281" s="1">
        <f t="shared" si="51"/>
        <v>6.9239659514093915E-2</v>
      </c>
      <c r="H281" s="1">
        <f t="shared" si="44"/>
        <v>7.1206692597578045E-4</v>
      </c>
      <c r="I281">
        <f t="shared" si="45"/>
        <v>10</v>
      </c>
      <c r="J281">
        <f t="shared" si="46"/>
        <v>244</v>
      </c>
      <c r="K281" s="5">
        <f t="shared" si="47"/>
        <v>0</v>
      </c>
      <c r="L281">
        <f t="shared" si="48"/>
        <v>95</v>
      </c>
      <c r="M281">
        <f t="shared" si="49"/>
        <v>1</v>
      </c>
      <c r="N281">
        <f t="shared" si="50"/>
        <v>0</v>
      </c>
    </row>
    <row r="282" spans="4:14" x14ac:dyDescent="0.2">
      <c r="D282">
        <f t="shared" si="52"/>
        <v>259</v>
      </c>
      <c r="E282" s="1">
        <f t="shared" si="53"/>
        <v>-0.34494305149787619</v>
      </c>
      <c r="F282" s="1">
        <f t="shared" si="54"/>
        <v>-2.680652766027606</v>
      </c>
      <c r="G282" s="1">
        <f t="shared" si="51"/>
        <v>6.8518413060822111E-2</v>
      </c>
      <c r="H282" s="1">
        <f t="shared" si="44"/>
        <v>7.0464956216353286E-4</v>
      </c>
      <c r="I282">
        <f t="shared" si="45"/>
        <v>10</v>
      </c>
      <c r="J282">
        <f t="shared" si="46"/>
        <v>245</v>
      </c>
      <c r="K282" s="5">
        <f t="shared" si="47"/>
        <v>0</v>
      </c>
      <c r="L282">
        <f t="shared" si="48"/>
        <v>95</v>
      </c>
      <c r="M282">
        <f t="shared" si="49"/>
        <v>1</v>
      </c>
      <c r="N282">
        <f t="shared" si="50"/>
        <v>0</v>
      </c>
    </row>
    <row r="283" spans="4:14" x14ac:dyDescent="0.2">
      <c r="D283">
        <f t="shared" si="52"/>
        <v>260</v>
      </c>
      <c r="E283" s="1">
        <f t="shared" si="53"/>
        <v>-0.35541435136517152</v>
      </c>
      <c r="F283" s="1">
        <f t="shared" si="54"/>
        <v>-2.6911240658949014</v>
      </c>
      <c r="G283" s="1">
        <f t="shared" si="51"/>
        <v>6.7804679591438544E-2</v>
      </c>
      <c r="H283" s="1">
        <f t="shared" si="44"/>
        <v>6.9730946255766265E-4</v>
      </c>
      <c r="I283">
        <f t="shared" si="45"/>
        <v>10</v>
      </c>
      <c r="J283">
        <f t="shared" si="46"/>
        <v>246</v>
      </c>
      <c r="K283" s="5">
        <f t="shared" si="47"/>
        <v>0</v>
      </c>
      <c r="L283">
        <f t="shared" si="48"/>
        <v>95</v>
      </c>
      <c r="M283">
        <f t="shared" si="49"/>
        <v>1</v>
      </c>
      <c r="N283">
        <f t="shared" si="50"/>
        <v>0</v>
      </c>
    </row>
    <row r="284" spans="4:14" x14ac:dyDescent="0.2">
      <c r="D284">
        <f t="shared" si="52"/>
        <v>261</v>
      </c>
      <c r="E284" s="1">
        <f t="shared" si="53"/>
        <v>-0.36588565123246686</v>
      </c>
      <c r="F284" s="1">
        <f t="shared" si="54"/>
        <v>-2.7015953657621967</v>
      </c>
      <c r="G284" s="1">
        <f t="shared" si="51"/>
        <v>6.7098380845694403E-2</v>
      </c>
      <c r="H284" s="1">
        <f t="shared" si="44"/>
        <v>6.9004582232268707E-4</v>
      </c>
      <c r="I284">
        <f t="shared" si="45"/>
        <v>10</v>
      </c>
      <c r="J284">
        <f t="shared" si="46"/>
        <v>247</v>
      </c>
      <c r="K284" s="5">
        <f t="shared" si="47"/>
        <v>0</v>
      </c>
      <c r="L284">
        <f t="shared" si="48"/>
        <v>95</v>
      </c>
      <c r="M284">
        <f t="shared" si="49"/>
        <v>1</v>
      </c>
      <c r="N284">
        <f t="shared" si="50"/>
        <v>0</v>
      </c>
    </row>
    <row r="285" spans="4:14" x14ac:dyDescent="0.2">
      <c r="D285">
        <f t="shared" si="52"/>
        <v>262</v>
      </c>
      <c r="E285" s="1">
        <f t="shared" si="53"/>
        <v>-0.37635695109976219</v>
      </c>
      <c r="F285" s="1">
        <f t="shared" si="54"/>
        <v>-2.7120666656294921</v>
      </c>
      <c r="G285" s="1">
        <f t="shared" si="51"/>
        <v>6.639943937855175E-2</v>
      </c>
      <c r="H285" s="1">
        <f t="shared" si="44"/>
        <v>6.8285784500682573E-4</v>
      </c>
      <c r="I285">
        <f t="shared" si="45"/>
        <v>10</v>
      </c>
      <c r="J285">
        <f t="shared" si="46"/>
        <v>248</v>
      </c>
      <c r="K285" s="5">
        <f t="shared" si="47"/>
        <v>0</v>
      </c>
      <c r="L285">
        <f t="shared" si="48"/>
        <v>95</v>
      </c>
      <c r="M285">
        <f t="shared" si="49"/>
        <v>1</v>
      </c>
      <c r="N285">
        <f t="shared" si="50"/>
        <v>0</v>
      </c>
    </row>
    <row r="286" spans="4:14" x14ac:dyDescent="0.2">
      <c r="D286">
        <f t="shared" si="52"/>
        <v>263</v>
      </c>
      <c r="E286" s="1">
        <f t="shared" si="53"/>
        <v>-0.38682825096705753</v>
      </c>
      <c r="F286" s="1">
        <f t="shared" si="54"/>
        <v>-2.7225379654967874</v>
      </c>
      <c r="G286" s="1">
        <f t="shared" si="51"/>
        <v>6.5707778551691853E-2</v>
      </c>
      <c r="H286" s="1">
        <f t="shared" si="44"/>
        <v>6.7574474245467157E-4</v>
      </c>
      <c r="I286">
        <f t="shared" si="45"/>
        <v>10</v>
      </c>
      <c r="J286">
        <f t="shared" si="46"/>
        <v>249</v>
      </c>
      <c r="K286" s="5">
        <f t="shared" si="47"/>
        <v>0</v>
      </c>
      <c r="L286">
        <f t="shared" si="48"/>
        <v>95</v>
      </c>
      <c r="M286">
        <f t="shared" si="49"/>
        <v>1</v>
      </c>
      <c r="N286">
        <f t="shared" si="50"/>
        <v>0</v>
      </c>
    </row>
    <row r="287" spans="4:14" x14ac:dyDescent="0.2">
      <c r="D287">
        <f t="shared" si="52"/>
        <v>264</v>
      </c>
      <c r="E287" s="1">
        <f t="shared" si="53"/>
        <v>-0.39729955083435287</v>
      </c>
      <c r="F287" s="1">
        <f t="shared" si="54"/>
        <v>-2.7330092653640827</v>
      </c>
      <c r="G287" s="1">
        <f t="shared" si="51"/>
        <v>6.5023322525111726E-2</v>
      </c>
      <c r="H287" s="1">
        <f t="shared" si="44"/>
        <v>6.6870573472076862E-4</v>
      </c>
      <c r="I287">
        <f t="shared" si="45"/>
        <v>10</v>
      </c>
      <c r="J287">
        <f t="shared" si="46"/>
        <v>250</v>
      </c>
      <c r="K287" s="5">
        <f t="shared" si="47"/>
        <v>0</v>
      </c>
      <c r="L287">
        <f t="shared" si="48"/>
        <v>95</v>
      </c>
      <c r="M287">
        <f t="shared" si="49"/>
        <v>1</v>
      </c>
      <c r="N287">
        <f t="shared" si="50"/>
        <v>0</v>
      </c>
    </row>
    <row r="288" spans="4:14" x14ac:dyDescent="0.2">
      <c r="D288">
        <f t="shared" si="52"/>
        <v>265</v>
      </c>
      <c r="E288" s="1">
        <f t="shared" si="53"/>
        <v>-0.4077708507016482</v>
      </c>
      <c r="F288" s="1">
        <f t="shared" si="54"/>
        <v>-2.7434805652313781</v>
      </c>
      <c r="G288" s="1">
        <f t="shared" si="51"/>
        <v>6.434599624880849E-2</v>
      </c>
      <c r="H288" s="1">
        <f t="shared" si="44"/>
        <v>6.6174004998409408E-4</v>
      </c>
      <c r="I288">
        <f t="shared" si="45"/>
        <v>10</v>
      </c>
      <c r="J288">
        <f t="shared" si="46"/>
        <v>251</v>
      </c>
      <c r="K288" s="5">
        <f t="shared" si="47"/>
        <v>0</v>
      </c>
      <c r="L288">
        <f t="shared" si="48"/>
        <v>95</v>
      </c>
      <c r="M288">
        <f t="shared" si="49"/>
        <v>1</v>
      </c>
      <c r="N288">
        <f t="shared" si="50"/>
        <v>0</v>
      </c>
    </row>
    <row r="289" spans="4:14" x14ac:dyDescent="0.2">
      <c r="D289">
        <f t="shared" si="52"/>
        <v>266</v>
      </c>
      <c r="E289" s="1">
        <f t="shared" si="53"/>
        <v>-0.41824215056894354</v>
      </c>
      <c r="F289" s="1">
        <f t="shared" si="54"/>
        <v>-2.7539518650986734</v>
      </c>
      <c r="G289" s="1">
        <f t="shared" si="51"/>
        <v>6.3675725454550067E-2</v>
      </c>
      <c r="H289" s="1">
        <f t="shared" si="44"/>
        <v>6.5484692446342644E-4</v>
      </c>
      <c r="I289">
        <f t="shared" si="45"/>
        <v>10</v>
      </c>
      <c r="J289">
        <f t="shared" si="46"/>
        <v>252</v>
      </c>
      <c r="K289" s="5">
        <f t="shared" si="47"/>
        <v>0</v>
      </c>
      <c r="L289">
        <f t="shared" si="48"/>
        <v>95</v>
      </c>
      <c r="M289">
        <f t="shared" si="49"/>
        <v>1</v>
      </c>
      <c r="N289">
        <f t="shared" si="50"/>
        <v>0</v>
      </c>
    </row>
    <row r="290" spans="4:14" x14ac:dyDescent="0.2">
      <c r="D290">
        <f t="shared" si="52"/>
        <v>267</v>
      </c>
      <c r="E290" s="1">
        <f t="shared" si="53"/>
        <v>-0.42871345043623887</v>
      </c>
      <c r="F290" s="1">
        <f t="shared" si="54"/>
        <v>-2.7644231649659687</v>
      </c>
      <c r="G290" s="1">
        <f t="shared" si="51"/>
        <v>6.3012436647731845E-2</v>
      </c>
      <c r="H290" s="1">
        <f t="shared" si="44"/>
        <v>6.4802560233359911E-4</v>
      </c>
      <c r="I290">
        <f t="shared" si="45"/>
        <v>10</v>
      </c>
      <c r="J290">
        <f t="shared" si="46"/>
        <v>253</v>
      </c>
      <c r="K290" s="5">
        <f t="shared" si="47"/>
        <v>0</v>
      </c>
      <c r="L290">
        <f t="shared" si="48"/>
        <v>95</v>
      </c>
      <c r="M290">
        <f t="shared" si="49"/>
        <v>1</v>
      </c>
      <c r="N290">
        <f t="shared" si="50"/>
        <v>0</v>
      </c>
    </row>
    <row r="291" spans="4:14" x14ac:dyDescent="0.2">
      <c r="D291">
        <f t="shared" si="52"/>
        <v>268</v>
      </c>
      <c r="E291" s="1">
        <f t="shared" si="53"/>
        <v>-0.43918475030353421</v>
      </c>
      <c r="F291" s="1">
        <f t="shared" si="54"/>
        <v>-2.7748944648332641</v>
      </c>
      <c r="G291" s="1">
        <f t="shared" si="51"/>
        <v>6.235605709931797E-2</v>
      </c>
      <c r="H291" s="1">
        <f t="shared" si="44"/>
        <v>6.4127533564262412E-4</v>
      </c>
      <c r="I291">
        <f t="shared" si="45"/>
        <v>10</v>
      </c>
      <c r="J291">
        <f t="shared" si="46"/>
        <v>254</v>
      </c>
      <c r="K291" s="5">
        <f t="shared" si="47"/>
        <v>0</v>
      </c>
      <c r="L291">
        <f t="shared" si="48"/>
        <v>95</v>
      </c>
      <c r="M291">
        <f t="shared" si="49"/>
        <v>1</v>
      </c>
      <c r="N291">
        <f t="shared" si="50"/>
        <v>0</v>
      </c>
    </row>
    <row r="292" spans="4:14" x14ac:dyDescent="0.2">
      <c r="D292">
        <f t="shared" si="52"/>
        <v>269</v>
      </c>
      <c r="E292" s="1">
        <f t="shared" si="53"/>
        <v>-0.44965605017082955</v>
      </c>
      <c r="F292" s="1">
        <f t="shared" si="54"/>
        <v>-2.7853657647005594</v>
      </c>
      <c r="G292" s="1">
        <f t="shared" si="51"/>
        <v>6.1706514837866745E-2</v>
      </c>
      <c r="H292" s="1">
        <f t="shared" si="44"/>
        <v>6.3459538422968014E-4</v>
      </c>
      <c r="I292">
        <f t="shared" si="45"/>
        <v>10</v>
      </c>
      <c r="J292">
        <f t="shared" si="46"/>
        <v>255</v>
      </c>
      <c r="K292" s="5">
        <f t="shared" si="47"/>
        <v>0</v>
      </c>
      <c r="L292">
        <f t="shared" si="48"/>
        <v>95</v>
      </c>
      <c r="M292">
        <f t="shared" si="49"/>
        <v>1</v>
      </c>
      <c r="N292">
        <f t="shared" si="50"/>
        <v>0</v>
      </c>
    </row>
    <row r="293" spans="4:14" x14ac:dyDescent="0.2">
      <c r="D293">
        <f t="shared" si="52"/>
        <v>270</v>
      </c>
      <c r="E293" s="1">
        <f t="shared" si="53"/>
        <v>-0.46012735003812488</v>
      </c>
      <c r="F293" s="1">
        <f t="shared" si="54"/>
        <v>-2.7958370645678547</v>
      </c>
      <c r="G293" s="1">
        <f t="shared" si="51"/>
        <v>6.106373864163897E-2</v>
      </c>
      <c r="H293" s="1">
        <f t="shared" si="44"/>
        <v>6.2798501564395441E-4</v>
      </c>
      <c r="I293">
        <f t="shared" si="45"/>
        <v>10</v>
      </c>
      <c r="J293">
        <f t="shared" si="46"/>
        <v>256</v>
      </c>
      <c r="K293" s="5">
        <f t="shared" si="47"/>
        <v>0</v>
      </c>
      <c r="L293">
        <f t="shared" si="48"/>
        <v>95</v>
      </c>
      <c r="M293">
        <f t="shared" si="49"/>
        <v>1</v>
      </c>
      <c r="N293">
        <f t="shared" si="50"/>
        <v>0</v>
      </c>
    </row>
    <row r="294" spans="4:14" x14ac:dyDescent="0.2">
      <c r="D294">
        <f t="shared" si="52"/>
        <v>271</v>
      </c>
      <c r="E294" s="1">
        <f t="shared" si="53"/>
        <v>-0.47059864990542022</v>
      </c>
      <c r="F294" s="1">
        <f t="shared" si="54"/>
        <v>-2.8063083644351501</v>
      </c>
      <c r="G294" s="1">
        <f t="shared" si="51"/>
        <v>6.0427658030788575E-2</v>
      </c>
      <c r="H294" s="1">
        <f t="shared" si="44"/>
        <v>6.2144350506432994E-4</v>
      </c>
      <c r="I294">
        <f t="shared" si="45"/>
        <v>10</v>
      </c>
      <c r="J294">
        <f t="shared" si="46"/>
        <v>257</v>
      </c>
      <c r="K294" s="5">
        <f t="shared" si="47"/>
        <v>0</v>
      </c>
      <c r="L294">
        <f t="shared" si="48"/>
        <v>95</v>
      </c>
      <c r="M294">
        <f t="shared" si="49"/>
        <v>1</v>
      </c>
      <c r="N294">
        <f t="shared" si="50"/>
        <v>0</v>
      </c>
    </row>
    <row r="295" spans="4:14" x14ac:dyDescent="0.2">
      <c r="D295">
        <f t="shared" si="52"/>
        <v>272</v>
      </c>
      <c r="E295" s="1">
        <f t="shared" si="53"/>
        <v>-0.48106994977271555</v>
      </c>
      <c r="F295" s="1">
        <f t="shared" si="54"/>
        <v>-2.8167796643024454</v>
      </c>
      <c r="G295" s="1">
        <f t="shared" si="51"/>
        <v>5.979820325963453E-2</v>
      </c>
      <c r="H295" s="1">
        <f t="shared" si="44"/>
        <v>6.1497013521990987E-4</v>
      </c>
      <c r="I295">
        <f t="shared" si="45"/>
        <v>10</v>
      </c>
      <c r="J295">
        <f t="shared" si="46"/>
        <v>258</v>
      </c>
      <c r="K295" s="5">
        <f t="shared" si="47"/>
        <v>0</v>
      </c>
      <c r="L295">
        <f t="shared" si="48"/>
        <v>95</v>
      </c>
      <c r="M295">
        <f t="shared" si="49"/>
        <v>1</v>
      </c>
      <c r="N295">
        <f t="shared" si="50"/>
        <v>0</v>
      </c>
    </row>
    <row r="296" spans="4:14" x14ac:dyDescent="0.2">
      <c r="D296">
        <f t="shared" si="52"/>
        <v>273</v>
      </c>
      <c r="E296" s="1">
        <f t="shared" si="53"/>
        <v>-0.49154124964001089</v>
      </c>
      <c r="F296" s="1">
        <f t="shared" si="54"/>
        <v>-2.8272509641697408</v>
      </c>
      <c r="G296" s="1">
        <f t="shared" si="51"/>
        <v>5.917530530901334E-2</v>
      </c>
      <c r="H296" s="1">
        <f t="shared" si="44"/>
        <v>6.085641963113692E-4</v>
      </c>
      <c r="I296">
        <f t="shared" si="45"/>
        <v>10</v>
      </c>
      <c r="J296">
        <f t="shared" si="46"/>
        <v>259</v>
      </c>
      <c r="K296" s="5">
        <f t="shared" si="47"/>
        <v>0</v>
      </c>
      <c r="L296">
        <f t="shared" si="48"/>
        <v>95</v>
      </c>
      <c r="M296">
        <f t="shared" si="49"/>
        <v>1</v>
      </c>
      <c r="N296">
        <f t="shared" si="50"/>
        <v>0</v>
      </c>
    </row>
    <row r="297" spans="4:14" x14ac:dyDescent="0.2">
      <c r="D297">
        <f t="shared" si="52"/>
        <v>274</v>
      </c>
      <c r="E297" s="1">
        <f t="shared" si="53"/>
        <v>-0.50201254950730623</v>
      </c>
      <c r="F297" s="1">
        <f t="shared" si="54"/>
        <v>-2.8377222640370361</v>
      </c>
      <c r="G297" s="1">
        <f t="shared" si="51"/>
        <v>5.8558895878711117E-2</v>
      </c>
      <c r="H297" s="1">
        <f t="shared" si="44"/>
        <v>6.0222498593312578E-4</v>
      </c>
      <c r="I297">
        <f t="shared" si="45"/>
        <v>10</v>
      </c>
      <c r="J297">
        <f t="shared" si="46"/>
        <v>260</v>
      </c>
      <c r="K297" s="5">
        <f t="shared" si="47"/>
        <v>0</v>
      </c>
      <c r="L297">
        <f t="shared" si="48"/>
        <v>95</v>
      </c>
      <c r="M297">
        <f t="shared" si="49"/>
        <v>1</v>
      </c>
      <c r="N297">
        <f t="shared" si="50"/>
        <v>0</v>
      </c>
    </row>
    <row r="298" spans="4:14" x14ac:dyDescent="0.2">
      <c r="D298">
        <f t="shared" si="52"/>
        <v>275</v>
      </c>
      <c r="E298" s="1">
        <f t="shared" si="53"/>
        <v>-0.51248384937460156</v>
      </c>
      <c r="F298" s="1">
        <f t="shared" si="54"/>
        <v>-2.8481935639043314</v>
      </c>
      <c r="G298" s="1">
        <f t="shared" si="51"/>
        <v>5.7948907379974553E-2</v>
      </c>
      <c r="H298" s="1">
        <f t="shared" si="44"/>
        <v>5.9595180899632246E-4</v>
      </c>
      <c r="I298">
        <f t="shared" si="45"/>
        <v>10</v>
      </c>
      <c r="J298">
        <f t="shared" si="46"/>
        <v>261</v>
      </c>
      <c r="K298" s="5">
        <f t="shared" si="47"/>
        <v>0</v>
      </c>
      <c r="L298">
        <f t="shared" si="48"/>
        <v>95</v>
      </c>
      <c r="M298">
        <f t="shared" si="49"/>
        <v>1</v>
      </c>
      <c r="N298">
        <f t="shared" si="50"/>
        <v>0</v>
      </c>
    </row>
    <row r="299" spans="4:14" x14ac:dyDescent="0.2">
      <c r="D299">
        <f t="shared" si="52"/>
        <v>276</v>
      </c>
      <c r="E299" s="1">
        <f t="shared" si="53"/>
        <v>-0.5229551492418969</v>
      </c>
      <c r="F299" s="1">
        <f t="shared" si="54"/>
        <v>-2.8586648637716268</v>
      </c>
      <c r="G299" s="1">
        <f t="shared" si="51"/>
        <v>5.7345272928099822E-2</v>
      </c>
      <c r="H299" s="1">
        <f t="shared" si="44"/>
        <v>5.8974397765261077E-4</v>
      </c>
      <c r="I299">
        <f t="shared" si="45"/>
        <v>10</v>
      </c>
      <c r="J299">
        <f t="shared" si="46"/>
        <v>262</v>
      </c>
      <c r="K299" s="5">
        <f t="shared" si="47"/>
        <v>0</v>
      </c>
      <c r="L299">
        <f t="shared" si="48"/>
        <v>95</v>
      </c>
      <c r="M299">
        <f t="shared" si="49"/>
        <v>1</v>
      </c>
      <c r="N299">
        <f t="shared" si="50"/>
        <v>0</v>
      </c>
    </row>
    <row r="300" spans="4:14" x14ac:dyDescent="0.2">
      <c r="D300">
        <f t="shared" si="52"/>
        <v>277</v>
      </c>
      <c r="E300" s="1">
        <f t="shared" si="53"/>
        <v>-0.53342644910919224</v>
      </c>
      <c r="F300" s="1">
        <f t="shared" si="54"/>
        <v>-2.8691361636389221</v>
      </c>
      <c r="G300" s="1">
        <f t="shared" si="51"/>
        <v>5.6747926335098786E-2</v>
      </c>
      <c r="H300" s="1">
        <f t="shared" si="44"/>
        <v>5.8360081121872954E-4</v>
      </c>
      <c r="I300">
        <f t="shared" si="45"/>
        <v>10</v>
      </c>
      <c r="J300">
        <f t="shared" si="46"/>
        <v>263</v>
      </c>
      <c r="K300" s="5">
        <f t="shared" si="47"/>
        <v>0</v>
      </c>
      <c r="L300">
        <f t="shared" si="48"/>
        <v>95</v>
      </c>
      <c r="M300">
        <f t="shared" si="49"/>
        <v>1</v>
      </c>
      <c r="N300">
        <f t="shared" si="50"/>
        <v>0</v>
      </c>
    </row>
    <row r="301" spans="4:14" x14ac:dyDescent="0.2">
      <c r="D301">
        <f t="shared" si="52"/>
        <v>278</v>
      </c>
      <c r="E301" s="1">
        <f t="shared" si="53"/>
        <v>-0.54389774897648757</v>
      </c>
      <c r="F301" s="1">
        <f t="shared" si="54"/>
        <v>-2.8796074635062174</v>
      </c>
      <c r="G301" s="1">
        <f t="shared" si="51"/>
        <v>5.6156802102441505E-2</v>
      </c>
      <c r="H301" s="1">
        <f t="shared" si="44"/>
        <v>5.7752163610186769E-4</v>
      </c>
      <c r="I301">
        <f t="shared" si="45"/>
        <v>10</v>
      </c>
      <c r="J301">
        <f t="shared" si="46"/>
        <v>264</v>
      </c>
      <c r="K301" s="5">
        <f t="shared" si="47"/>
        <v>0</v>
      </c>
      <c r="L301">
        <f t="shared" si="48"/>
        <v>95</v>
      </c>
      <c r="M301">
        <f t="shared" si="49"/>
        <v>1</v>
      </c>
      <c r="N301">
        <f t="shared" si="50"/>
        <v>0</v>
      </c>
    </row>
    <row r="302" spans="4:14" x14ac:dyDescent="0.2">
      <c r="D302">
        <f t="shared" si="52"/>
        <v>279</v>
      </c>
      <c r="E302" s="1">
        <f t="shared" si="53"/>
        <v>-0.55436904884378291</v>
      </c>
      <c r="F302" s="1">
        <f t="shared" si="54"/>
        <v>-2.8900787633735128</v>
      </c>
      <c r="G302" s="1">
        <f t="shared" si="51"/>
        <v>5.5571835413874414E-2</v>
      </c>
      <c r="H302" s="1">
        <f t="shared" si="44"/>
        <v>5.7150578572580672E-4</v>
      </c>
      <c r="I302">
        <f t="shared" si="45"/>
        <v>10</v>
      </c>
      <c r="J302">
        <f t="shared" si="46"/>
        <v>265</v>
      </c>
      <c r="K302" s="5">
        <f t="shared" si="47"/>
        <v>0</v>
      </c>
      <c r="L302">
        <f t="shared" si="48"/>
        <v>95</v>
      </c>
      <c r="M302">
        <f t="shared" si="49"/>
        <v>1</v>
      </c>
      <c r="N302">
        <f t="shared" si="50"/>
        <v>0</v>
      </c>
    </row>
    <row r="303" spans="4:14" x14ac:dyDescent="0.2">
      <c r="D303">
        <f t="shared" si="52"/>
        <v>280</v>
      </c>
      <c r="E303" s="1">
        <f t="shared" si="53"/>
        <v>-0.56484034871107824</v>
      </c>
      <c r="F303" s="1">
        <f t="shared" si="54"/>
        <v>-2.9005500632408081</v>
      </c>
      <c r="G303" s="1">
        <f t="shared" si="51"/>
        <v>5.4992962128313227E-2</v>
      </c>
      <c r="H303" s="1">
        <f t="shared" si="44"/>
        <v>5.655526004578296E-4</v>
      </c>
      <c r="I303">
        <f t="shared" si="45"/>
        <v>10</v>
      </c>
      <c r="J303">
        <f t="shared" si="46"/>
        <v>266</v>
      </c>
      <c r="K303" s="5">
        <f t="shared" si="47"/>
        <v>0</v>
      </c>
      <c r="L303">
        <f t="shared" si="48"/>
        <v>95</v>
      </c>
      <c r="M303">
        <f t="shared" si="49"/>
        <v>1</v>
      </c>
      <c r="N303">
        <f t="shared" si="50"/>
        <v>0</v>
      </c>
    </row>
    <row r="304" spans="4:14" x14ac:dyDescent="0.2">
      <c r="D304">
        <f t="shared" si="52"/>
        <v>281</v>
      </c>
      <c r="E304" s="1">
        <f t="shared" si="53"/>
        <v>-0.57531164857837358</v>
      </c>
      <c r="F304" s="1">
        <f t="shared" si="54"/>
        <v>-2.9110213631081034</v>
      </c>
      <c r="G304" s="1">
        <f t="shared" si="51"/>
        <v>5.4420118772809965E-2</v>
      </c>
      <c r="H304" s="1">
        <f t="shared" si="44"/>
        <v>5.596614275363938E-4</v>
      </c>
      <c r="I304">
        <f t="shared" si="45"/>
        <v>10</v>
      </c>
      <c r="J304">
        <f t="shared" si="46"/>
        <v>267</v>
      </c>
      <c r="K304" s="5">
        <f t="shared" si="47"/>
        <v>0</v>
      </c>
      <c r="L304">
        <f t="shared" si="48"/>
        <v>95</v>
      </c>
      <c r="M304">
        <f t="shared" si="49"/>
        <v>1</v>
      </c>
      <c r="N304">
        <f t="shared" si="50"/>
        <v>0</v>
      </c>
    </row>
    <row r="305" spans="4:14" x14ac:dyDescent="0.2">
      <c r="D305">
        <f t="shared" si="52"/>
        <v>282</v>
      </c>
      <c r="E305" s="1">
        <f t="shared" si="53"/>
        <v>-0.58578294844566892</v>
      </c>
      <c r="F305" s="1">
        <f t="shared" si="54"/>
        <v>-2.9214926629753988</v>
      </c>
      <c r="G305" s="1">
        <f t="shared" si="51"/>
        <v>5.3853242535593197E-2</v>
      </c>
      <c r="H305" s="1">
        <f t="shared" si="44"/>
        <v>5.5383162099955643E-4</v>
      </c>
      <c r="I305">
        <f t="shared" si="45"/>
        <v>10</v>
      </c>
      <c r="J305">
        <f t="shared" si="46"/>
        <v>268</v>
      </c>
      <c r="K305" s="5">
        <f t="shared" si="47"/>
        <v>0</v>
      </c>
      <c r="L305">
        <f t="shared" si="48"/>
        <v>95</v>
      </c>
      <c r="M305">
        <f t="shared" si="49"/>
        <v>1</v>
      </c>
      <c r="N305">
        <f t="shared" si="50"/>
        <v>0</v>
      </c>
    </row>
    <row r="306" spans="4:14" x14ac:dyDescent="0.2">
      <c r="D306">
        <f t="shared" si="52"/>
        <v>283</v>
      </c>
      <c r="E306" s="1">
        <f t="shared" si="53"/>
        <v>-0.59625424831296425</v>
      </c>
      <c r="F306" s="1">
        <f t="shared" si="54"/>
        <v>-2.9319639628426941</v>
      </c>
      <c r="G306" s="1">
        <f t="shared" si="51"/>
        <v>5.3292271259180776E-2</v>
      </c>
      <c r="H306" s="1">
        <f t="shared" si="44"/>
        <v>5.4806254161414447E-4</v>
      </c>
      <c r="I306">
        <f t="shared" si="45"/>
        <v>10</v>
      </c>
      <c r="J306">
        <f t="shared" si="46"/>
        <v>269</v>
      </c>
      <c r="K306" s="5">
        <f t="shared" si="47"/>
        <v>0</v>
      </c>
      <c r="L306">
        <f t="shared" si="48"/>
        <v>95</v>
      </c>
      <c r="M306">
        <f t="shared" si="49"/>
        <v>1</v>
      </c>
      <c r="N306">
        <f t="shared" si="50"/>
        <v>0</v>
      </c>
    </row>
    <row r="307" spans="4:14" x14ac:dyDescent="0.2">
      <c r="D307">
        <f t="shared" si="52"/>
        <v>284</v>
      </c>
      <c r="E307" s="1">
        <f t="shared" si="53"/>
        <v>-0.60672554818025959</v>
      </c>
      <c r="F307" s="1">
        <f t="shared" si="54"/>
        <v>-2.9424352627099895</v>
      </c>
      <c r="G307" s="1">
        <f t="shared" si="51"/>
        <v>5.273714343356431E-2</v>
      </c>
      <c r="H307" s="1">
        <f t="shared" si="44"/>
        <v>5.4235355680566383E-4</v>
      </c>
      <c r="I307">
        <f t="shared" si="45"/>
        <v>10</v>
      </c>
      <c r="J307">
        <f t="shared" si="46"/>
        <v>270</v>
      </c>
      <c r="K307" s="5">
        <f t="shared" si="47"/>
        <v>0</v>
      </c>
      <c r="L307">
        <f t="shared" si="48"/>
        <v>95</v>
      </c>
      <c r="M307">
        <f t="shared" si="49"/>
        <v>1</v>
      </c>
      <c r="N307">
        <f t="shared" si="50"/>
        <v>0</v>
      </c>
    </row>
    <row r="308" spans="4:14" x14ac:dyDescent="0.2">
      <c r="D308">
        <f t="shared" si="52"/>
        <v>285</v>
      </c>
      <c r="E308" s="1">
        <f t="shared" si="53"/>
        <v>-0.61719684804755492</v>
      </c>
      <c r="F308" s="1">
        <f t="shared" si="54"/>
        <v>-2.9529065625772848</v>
      </c>
      <c r="G308" s="1">
        <f t="shared" si="51"/>
        <v>5.2187798189464688E-2</v>
      </c>
      <c r="H308" s="1">
        <f t="shared" si="44"/>
        <v>5.3670404058893818E-4</v>
      </c>
      <c r="I308">
        <f t="shared" si="45"/>
        <v>10</v>
      </c>
      <c r="J308">
        <f t="shared" si="46"/>
        <v>271</v>
      </c>
      <c r="K308" s="5">
        <f t="shared" si="47"/>
        <v>0</v>
      </c>
      <c r="L308">
        <f t="shared" si="48"/>
        <v>95</v>
      </c>
      <c r="M308">
        <f t="shared" si="49"/>
        <v>1</v>
      </c>
      <c r="N308">
        <f t="shared" si="50"/>
        <v>0</v>
      </c>
    </row>
    <row r="309" spans="4:14" x14ac:dyDescent="0.2">
      <c r="D309">
        <f t="shared" si="52"/>
        <v>286</v>
      </c>
      <c r="E309" s="1">
        <f t="shared" si="53"/>
        <v>-0.62766814791485026</v>
      </c>
      <c r="F309" s="1">
        <f t="shared" si="54"/>
        <v>-2.9633778624445801</v>
      </c>
      <c r="G309" s="1">
        <f t="shared" si="51"/>
        <v>5.1644175291657768E-2</v>
      </c>
      <c r="H309" s="1">
        <f t="shared" si="44"/>
        <v>5.3111337349947012E-4</v>
      </c>
      <c r="I309">
        <f t="shared" si="45"/>
        <v>10</v>
      </c>
      <c r="J309">
        <f t="shared" si="46"/>
        <v>272</v>
      </c>
      <c r="K309" s="5">
        <f t="shared" si="47"/>
        <v>0</v>
      </c>
      <c r="L309">
        <f t="shared" si="48"/>
        <v>95</v>
      </c>
      <c r="M309">
        <f t="shared" si="49"/>
        <v>1</v>
      </c>
      <c r="N309">
        <f t="shared" si="50"/>
        <v>0</v>
      </c>
    </row>
    <row r="310" spans="4:14" x14ac:dyDescent="0.2">
      <c r="D310">
        <f t="shared" si="52"/>
        <v>287</v>
      </c>
      <c r="E310" s="1">
        <f t="shared" si="53"/>
        <v>-0.6381394477821456</v>
      </c>
      <c r="F310" s="1">
        <f t="shared" si="54"/>
        <v>-2.9738491623118755</v>
      </c>
      <c r="G310" s="1">
        <f t="shared" si="51"/>
        <v>5.1106215132369667E-2</v>
      </c>
      <c r="H310" s="1">
        <f t="shared" si="44"/>
        <v>5.2558094252551737E-4</v>
      </c>
      <c r="I310">
        <f t="shared" si="45"/>
        <v>10</v>
      </c>
      <c r="J310">
        <f t="shared" si="46"/>
        <v>273</v>
      </c>
      <c r="K310" s="5">
        <f t="shared" si="47"/>
        <v>0</v>
      </c>
      <c r="L310">
        <f t="shared" si="48"/>
        <v>95</v>
      </c>
      <c r="M310">
        <f t="shared" si="49"/>
        <v>1</v>
      </c>
      <c r="N310">
        <f t="shared" si="50"/>
        <v>0</v>
      </c>
    </row>
    <row r="311" spans="4:14" x14ac:dyDescent="0.2">
      <c r="D311">
        <f t="shared" si="52"/>
        <v>288</v>
      </c>
      <c r="E311" s="1">
        <f t="shared" si="53"/>
        <v>-0.64861074764944093</v>
      </c>
      <c r="F311" s="1">
        <f t="shared" si="54"/>
        <v>-2.9843204621791708</v>
      </c>
      <c r="G311" s="1">
        <f t="shared" si="51"/>
        <v>5.0573858724740822E-2</v>
      </c>
      <c r="H311" s="1">
        <f t="shared" si="44"/>
        <v>5.2010614104087657E-4</v>
      </c>
      <c r="I311">
        <f t="shared" si="45"/>
        <v>10</v>
      </c>
      <c r="J311">
        <f t="shared" si="46"/>
        <v>274</v>
      </c>
      <c r="K311" s="5">
        <f t="shared" si="47"/>
        <v>0</v>
      </c>
      <c r="L311">
        <f t="shared" si="48"/>
        <v>95</v>
      </c>
      <c r="M311">
        <f t="shared" si="49"/>
        <v>1</v>
      </c>
      <c r="N311">
        <f t="shared" si="50"/>
        <v>0</v>
      </c>
    </row>
    <row r="312" spans="4:14" x14ac:dyDescent="0.2">
      <c r="D312">
        <f t="shared" si="52"/>
        <v>289</v>
      </c>
      <c r="E312" s="1">
        <f t="shared" si="53"/>
        <v>-0.65908204751673627</v>
      </c>
      <c r="F312" s="1">
        <f t="shared" si="54"/>
        <v>-2.9947917620464661</v>
      </c>
      <c r="G312" s="1">
        <f t="shared" si="51"/>
        <v>5.0047047696358107E-2</v>
      </c>
      <c r="H312" s="1">
        <f t="shared" si="44"/>
        <v>5.1468836873836744E-4</v>
      </c>
      <c r="I312">
        <f t="shared" si="45"/>
        <v>10</v>
      </c>
      <c r="J312">
        <f t="shared" si="46"/>
        <v>275</v>
      </c>
      <c r="K312" s="5">
        <f t="shared" si="47"/>
        <v>0</v>
      </c>
      <c r="L312">
        <f t="shared" si="48"/>
        <v>95</v>
      </c>
      <c r="M312">
        <f t="shared" si="49"/>
        <v>1</v>
      </c>
      <c r="N312">
        <f t="shared" si="50"/>
        <v>0</v>
      </c>
    </row>
    <row r="313" spans="4:14" x14ac:dyDescent="0.2">
      <c r="D313">
        <f t="shared" si="52"/>
        <v>290</v>
      </c>
      <c r="E313" s="1">
        <f t="shared" si="53"/>
        <v>-0.66955334738403161</v>
      </c>
      <c r="F313" s="1">
        <f t="shared" si="54"/>
        <v>-3.0052630619137615</v>
      </c>
      <c r="G313" s="1">
        <f t="shared" si="51"/>
        <v>4.9525724282854379E-2</v>
      </c>
      <c r="H313" s="1">
        <f t="shared" si="44"/>
        <v>5.093270315640095E-4</v>
      </c>
      <c r="I313">
        <f t="shared" si="45"/>
        <v>10</v>
      </c>
      <c r="J313">
        <f t="shared" si="46"/>
        <v>276</v>
      </c>
      <c r="K313" s="5">
        <f t="shared" si="47"/>
        <v>0</v>
      </c>
      <c r="L313">
        <f t="shared" si="48"/>
        <v>95</v>
      </c>
      <c r="M313">
        <f t="shared" si="49"/>
        <v>1</v>
      </c>
      <c r="N313">
        <f t="shared" si="50"/>
        <v>0</v>
      </c>
    </row>
    <row r="314" spans="4:14" x14ac:dyDescent="0.2">
      <c r="D314">
        <f t="shared" si="52"/>
        <v>291</v>
      </c>
      <c r="E314" s="1">
        <f t="shared" si="53"/>
        <v>-0.68002464725132694</v>
      </c>
      <c r="F314" s="1">
        <f t="shared" si="54"/>
        <v>-3.0157343617810568</v>
      </c>
      <c r="G314" s="1">
        <f t="shared" si="51"/>
        <v>4.9009831321574653E-2</v>
      </c>
      <c r="H314" s="1">
        <f t="shared" si="44"/>
        <v>5.0402154165188448E-4</v>
      </c>
      <c r="I314">
        <f t="shared" si="45"/>
        <v>10</v>
      </c>
      <c r="J314">
        <f t="shared" si="46"/>
        <v>277</v>
      </c>
      <c r="K314" s="5">
        <f t="shared" si="47"/>
        <v>0</v>
      </c>
      <c r="L314">
        <f t="shared" si="48"/>
        <v>95</v>
      </c>
      <c r="M314">
        <f t="shared" si="49"/>
        <v>1</v>
      </c>
      <c r="N314">
        <f t="shared" si="50"/>
        <v>0</v>
      </c>
    </row>
    <row r="315" spans="4:14" x14ac:dyDescent="0.2">
      <c r="D315">
        <f t="shared" si="52"/>
        <v>292</v>
      </c>
      <c r="E315" s="1">
        <f t="shared" si="53"/>
        <v>-0.69049594711862228</v>
      </c>
      <c r="F315" s="1">
        <f t="shared" si="54"/>
        <v>-3.0262056616483521</v>
      </c>
      <c r="G315" s="1">
        <f t="shared" si="51"/>
        <v>4.8499312245308249E-2</v>
      </c>
      <c r="H315" s="1">
        <f t="shared" si="44"/>
        <v>4.9877131725967736E-4</v>
      </c>
      <c r="I315">
        <f t="shared" si="45"/>
        <v>10</v>
      </c>
      <c r="J315">
        <f t="shared" si="46"/>
        <v>278</v>
      </c>
      <c r="K315" s="5">
        <f t="shared" si="47"/>
        <v>0</v>
      </c>
      <c r="L315">
        <f t="shared" si="48"/>
        <v>95</v>
      </c>
      <c r="M315">
        <f t="shared" si="49"/>
        <v>1</v>
      </c>
      <c r="N315">
        <f t="shared" si="50"/>
        <v>0</v>
      </c>
    </row>
    <row r="316" spans="4:14" x14ac:dyDescent="0.2">
      <c r="D316">
        <f t="shared" si="52"/>
        <v>293</v>
      </c>
      <c r="E316" s="1">
        <f t="shared" si="53"/>
        <v>-0.70096724698591761</v>
      </c>
      <c r="F316" s="1">
        <f t="shared" si="54"/>
        <v>-3.0366769615156475</v>
      </c>
      <c r="G316" s="1">
        <f t="shared" si="51"/>
        <v>4.7994111076086296E-2</v>
      </c>
      <c r="H316" s="1">
        <f t="shared" si="44"/>
        <v>4.9357578270488908E-4</v>
      </c>
      <c r="I316">
        <f t="shared" si="45"/>
        <v>10</v>
      </c>
      <c r="J316">
        <f t="shared" si="46"/>
        <v>279</v>
      </c>
      <c r="K316" s="5">
        <f t="shared" si="47"/>
        <v>0</v>
      </c>
      <c r="L316">
        <f t="shared" si="48"/>
        <v>95</v>
      </c>
      <c r="M316">
        <f t="shared" si="49"/>
        <v>1</v>
      </c>
      <c r="N316">
        <f t="shared" si="50"/>
        <v>0</v>
      </c>
    </row>
    <row r="317" spans="4:14" x14ac:dyDescent="0.2">
      <c r="D317">
        <f t="shared" si="52"/>
        <v>294</v>
      </c>
      <c r="E317" s="1">
        <f t="shared" si="53"/>
        <v>-0.71143854685321295</v>
      </c>
      <c r="F317" s="1">
        <f t="shared" si="54"/>
        <v>-3.0471482613829428</v>
      </c>
      <c r="G317" s="1">
        <f t="shared" si="51"/>
        <v>4.7494172419043731E-2</v>
      </c>
      <c r="H317" s="1">
        <f t="shared" si="44"/>
        <v>4.8843436830171318E-4</v>
      </c>
      <c r="I317">
        <f t="shared" si="45"/>
        <v>10</v>
      </c>
      <c r="J317">
        <f t="shared" si="46"/>
        <v>280</v>
      </c>
      <c r="K317" s="5">
        <f t="shared" si="47"/>
        <v>0</v>
      </c>
      <c r="L317">
        <f t="shared" si="48"/>
        <v>95</v>
      </c>
      <c r="M317">
        <f t="shared" si="49"/>
        <v>1</v>
      </c>
      <c r="N317">
        <f t="shared" si="50"/>
        <v>0</v>
      </c>
    </row>
    <row r="318" spans="4:14" x14ac:dyDescent="0.2">
      <c r="D318">
        <f t="shared" si="52"/>
        <v>295</v>
      </c>
      <c r="E318" s="1">
        <f t="shared" si="53"/>
        <v>-0.72190984672050829</v>
      </c>
      <c r="F318" s="1">
        <f t="shared" si="54"/>
        <v>-3.0576195612502381</v>
      </c>
      <c r="G318" s="1">
        <f t="shared" si="51"/>
        <v>4.699944145634536E-2</v>
      </c>
      <c r="H318" s="1">
        <f t="shared" si="44"/>
        <v>4.8334651029857038E-4</v>
      </c>
      <c r="I318">
        <f t="shared" si="45"/>
        <v>10</v>
      </c>
      <c r="J318">
        <f t="shared" si="46"/>
        <v>281</v>
      </c>
      <c r="K318" s="5">
        <f t="shared" si="47"/>
        <v>0</v>
      </c>
      <c r="L318">
        <f t="shared" si="48"/>
        <v>95</v>
      </c>
      <c r="M318">
        <f t="shared" si="49"/>
        <v>1</v>
      </c>
      <c r="N318">
        <f t="shared" si="50"/>
        <v>0</v>
      </c>
    </row>
    <row r="319" spans="4:14" x14ac:dyDescent="0.2">
      <c r="D319">
        <f t="shared" si="52"/>
        <v>296</v>
      </c>
      <c r="E319" s="1">
        <f t="shared" si="53"/>
        <v>-0.73238114658780362</v>
      </c>
      <c r="F319" s="1">
        <f t="shared" si="54"/>
        <v>-3.0680908611175335</v>
      </c>
      <c r="G319" s="1">
        <f t="shared" si="51"/>
        <v>4.6509863941175102E-2</v>
      </c>
      <c r="H319" s="1">
        <f t="shared" si="44"/>
        <v>4.7831165081629363E-4</v>
      </c>
      <c r="I319">
        <f t="shared" si="45"/>
        <v>10</v>
      </c>
      <c r="J319">
        <f t="shared" si="46"/>
        <v>282</v>
      </c>
      <c r="K319" s="5">
        <f t="shared" si="47"/>
        <v>0</v>
      </c>
      <c r="L319">
        <f t="shared" si="48"/>
        <v>95</v>
      </c>
      <c r="M319">
        <f t="shared" si="49"/>
        <v>1</v>
      </c>
      <c r="N319">
        <f t="shared" si="50"/>
        <v>0</v>
      </c>
    </row>
    <row r="320" spans="4:14" x14ac:dyDescent="0.2">
      <c r="D320">
        <f t="shared" si="52"/>
        <v>297</v>
      </c>
      <c r="E320" s="1">
        <f t="shared" si="53"/>
        <v>-0.74285244645509896</v>
      </c>
      <c r="F320" s="1">
        <f t="shared" si="54"/>
        <v>-3.0785621609848288</v>
      </c>
      <c r="G320" s="1">
        <f t="shared" si="51"/>
        <v>4.6025386191787865E-2</v>
      </c>
      <c r="H320" s="1">
        <f t="shared" si="44"/>
        <v>4.7332923778695731E-4</v>
      </c>
      <c r="I320">
        <f t="shared" si="45"/>
        <v>10</v>
      </c>
      <c r="J320">
        <f t="shared" si="46"/>
        <v>283</v>
      </c>
      <c r="K320" s="5">
        <f t="shared" si="47"/>
        <v>0</v>
      </c>
      <c r="L320">
        <f t="shared" si="48"/>
        <v>95</v>
      </c>
      <c r="M320">
        <f t="shared" si="49"/>
        <v>1</v>
      </c>
      <c r="N320">
        <f t="shared" si="50"/>
        <v>0</v>
      </c>
    </row>
    <row r="321" spans="4:14" x14ac:dyDescent="0.2">
      <c r="D321">
        <f t="shared" si="52"/>
        <v>298</v>
      </c>
      <c r="E321" s="1">
        <f t="shared" si="53"/>
        <v>-0.75332374632239429</v>
      </c>
      <c r="F321" s="1">
        <f t="shared" si="54"/>
        <v>-3.0890334608521242</v>
      </c>
      <c r="G321" s="1">
        <f t="shared" si="51"/>
        <v>4.554595508562341E-2</v>
      </c>
      <c r="H321" s="1">
        <f t="shared" si="44"/>
        <v>4.6839872489334318E-4</v>
      </c>
      <c r="I321">
        <f t="shared" si="45"/>
        <v>10</v>
      </c>
      <c r="J321">
        <f t="shared" si="46"/>
        <v>284</v>
      </c>
      <c r="K321" s="5">
        <f t="shared" si="47"/>
        <v>0</v>
      </c>
      <c r="L321">
        <f t="shared" si="48"/>
        <v>95</v>
      </c>
      <c r="M321">
        <f t="shared" si="49"/>
        <v>1</v>
      </c>
      <c r="N321">
        <f t="shared" si="50"/>
        <v>0</v>
      </c>
    </row>
    <row r="322" spans="4:14" x14ac:dyDescent="0.2">
      <c r="D322">
        <f t="shared" si="52"/>
        <v>299</v>
      </c>
      <c r="E322" s="1">
        <f t="shared" si="53"/>
        <v>-0.76379504618968963</v>
      </c>
      <c r="F322" s="1">
        <f t="shared" si="54"/>
        <v>-3.0995047607194195</v>
      </c>
      <c r="G322" s="1">
        <f t="shared" si="51"/>
        <v>4.5071518053481502E-2</v>
      </c>
      <c r="H322" s="1">
        <f t="shared" si="44"/>
        <v>4.6351957150903754E-4</v>
      </c>
      <c r="I322">
        <f t="shared" si="45"/>
        <v>10</v>
      </c>
      <c r="J322">
        <f t="shared" si="46"/>
        <v>285</v>
      </c>
      <c r="K322" s="5">
        <f t="shared" si="47"/>
        <v>0</v>
      </c>
      <c r="L322">
        <f t="shared" si="48"/>
        <v>95</v>
      </c>
      <c r="M322">
        <f t="shared" si="49"/>
        <v>1</v>
      </c>
      <c r="N322">
        <f t="shared" si="50"/>
        <v>0</v>
      </c>
    </row>
    <row r="323" spans="4:14" x14ac:dyDescent="0.2">
      <c r="D323">
        <f t="shared" si="52"/>
        <v>300</v>
      </c>
      <c r="E323" s="1">
        <f t="shared" si="53"/>
        <v>-0.77426634605698497</v>
      </c>
      <c r="F323" s="1">
        <f t="shared" si="54"/>
        <v>-3.1099760605867148</v>
      </c>
      <c r="G323" s="1">
        <f t="shared" si="51"/>
        <v>4.4602023073757741E-2</v>
      </c>
      <c r="H323" s="1">
        <f t="shared" si="44"/>
        <v>4.5869124263915178E-4</v>
      </c>
      <c r="I323">
        <f t="shared" si="45"/>
        <v>10</v>
      </c>
      <c r="J323">
        <f t="shared" si="46"/>
        <v>286</v>
      </c>
      <c r="K323" s="5">
        <f t="shared" si="47"/>
        <v>0</v>
      </c>
      <c r="L323">
        <f t="shared" si="48"/>
        <v>95</v>
      </c>
      <c r="M323">
        <f t="shared" si="49"/>
        <v>1</v>
      </c>
      <c r="N323">
        <f t="shared" si="50"/>
        <v>0</v>
      </c>
    </row>
    <row r="324" spans="4:14" x14ac:dyDescent="0.2">
      <c r="D324">
        <f t="shared" si="52"/>
        <v>301</v>
      </c>
      <c r="E324" s="1">
        <f t="shared" si="53"/>
        <v>-0.7847376459242803</v>
      </c>
      <c r="F324" s="1">
        <f t="shared" si="54"/>
        <v>-3.1204473604540102</v>
      </c>
      <c r="G324" s="1">
        <f t="shared" si="51"/>
        <v>4.4137418666739432E-2</v>
      </c>
      <c r="H324" s="1">
        <f t="shared" si="44"/>
        <v>4.5391320886166062E-4</v>
      </c>
      <c r="I324">
        <f t="shared" si="45"/>
        <v>10</v>
      </c>
      <c r="J324">
        <f t="shared" si="46"/>
        <v>287</v>
      </c>
      <c r="K324" s="5">
        <f t="shared" si="47"/>
        <v>0</v>
      </c>
      <c r="L324">
        <f t="shared" si="48"/>
        <v>95</v>
      </c>
      <c r="M324">
        <f t="shared" si="49"/>
        <v>1</v>
      </c>
      <c r="N324">
        <f t="shared" si="50"/>
        <v>0</v>
      </c>
    </row>
    <row r="325" spans="4:14" x14ac:dyDescent="0.2">
      <c r="D325">
        <f t="shared" si="52"/>
        <v>302</v>
      </c>
      <c r="E325" s="1">
        <f t="shared" si="53"/>
        <v>-0.79520894579157564</v>
      </c>
      <c r="F325" s="1">
        <f t="shared" si="54"/>
        <v>-3.1309186603213055</v>
      </c>
      <c r="G325" s="1">
        <f t="shared" si="51"/>
        <v>4.3677653888960902E-2</v>
      </c>
      <c r="H325" s="1">
        <f t="shared" si="44"/>
        <v>4.4918494626935171E-4</v>
      </c>
      <c r="I325">
        <f t="shared" si="45"/>
        <v>10</v>
      </c>
      <c r="J325">
        <f t="shared" si="46"/>
        <v>288</v>
      </c>
      <c r="K325" s="5">
        <f t="shared" si="47"/>
        <v>0</v>
      </c>
      <c r="L325">
        <f t="shared" si="48"/>
        <v>95</v>
      </c>
      <c r="M325">
        <f t="shared" si="49"/>
        <v>1</v>
      </c>
      <c r="N325">
        <f t="shared" si="50"/>
        <v>0</v>
      </c>
    </row>
    <row r="326" spans="4:14" x14ac:dyDescent="0.2">
      <c r="D326">
        <f t="shared" si="52"/>
        <v>303</v>
      </c>
      <c r="E326" s="1">
        <f t="shared" si="53"/>
        <v>-0.80568024565887097</v>
      </c>
      <c r="F326" s="1">
        <f t="shared" si="54"/>
        <v>-3.1413899601886008</v>
      </c>
      <c r="G326" s="1">
        <f t="shared" si="51"/>
        <v>4.3222678327617559E-2</v>
      </c>
      <c r="H326" s="1">
        <f t="shared" si="44"/>
        <v>4.4450593641237932E-4</v>
      </c>
      <c r="I326">
        <f t="shared" si="45"/>
        <v>10</v>
      </c>
      <c r="J326">
        <f t="shared" si="46"/>
        <v>289</v>
      </c>
      <c r="K326" s="5">
        <f t="shared" si="47"/>
        <v>0</v>
      </c>
      <c r="L326">
        <f t="shared" si="48"/>
        <v>95</v>
      </c>
      <c r="M326">
        <f t="shared" si="49"/>
        <v>1</v>
      </c>
      <c r="N326">
        <f t="shared" si="50"/>
        <v>0</v>
      </c>
    </row>
    <row r="327" spans="4:14" x14ac:dyDescent="0.2">
      <c r="D327">
        <f t="shared" si="52"/>
        <v>304</v>
      </c>
      <c r="E327" s="1">
        <f t="shared" si="53"/>
        <v>-0.81615154552616631</v>
      </c>
      <c r="F327" s="1">
        <f t="shared" si="54"/>
        <v>-3.1518612600558962</v>
      </c>
      <c r="G327" s="1">
        <f t="shared" si="51"/>
        <v>4.2772442095038214E-2</v>
      </c>
      <c r="H327" s="1">
        <f t="shared" si="44"/>
        <v>4.3987566624141707E-4</v>
      </c>
      <c r="I327">
        <f t="shared" si="45"/>
        <v>10</v>
      </c>
      <c r="J327">
        <f t="shared" si="46"/>
        <v>290</v>
      </c>
      <c r="K327" s="5">
        <f t="shared" si="47"/>
        <v>0</v>
      </c>
      <c r="L327">
        <f t="shared" si="48"/>
        <v>95</v>
      </c>
      <c r="M327">
        <f t="shared" si="49"/>
        <v>1</v>
      </c>
      <c r="N327">
        <f t="shared" si="50"/>
        <v>0</v>
      </c>
    </row>
    <row r="328" spans="4:14" x14ac:dyDescent="0.2">
      <c r="D328">
        <f t="shared" si="52"/>
        <v>305</v>
      </c>
      <c r="E328" s="1">
        <f t="shared" si="53"/>
        <v>-0.82662284539346165</v>
      </c>
      <c r="F328" s="1">
        <f t="shared" si="54"/>
        <v>-3.1623325599231915</v>
      </c>
      <c r="G328" s="1">
        <f t="shared" si="51"/>
        <v>4.2326895823214902E-2</v>
      </c>
      <c r="H328" s="1">
        <f t="shared" si="44"/>
        <v>4.3529362805140234E-4</v>
      </c>
      <c r="I328">
        <f t="shared" si="45"/>
        <v>10</v>
      </c>
      <c r="J328">
        <f t="shared" si="46"/>
        <v>291</v>
      </c>
      <c r="K328" s="5">
        <f t="shared" si="47"/>
        <v>0</v>
      </c>
      <c r="L328">
        <f t="shared" si="48"/>
        <v>95</v>
      </c>
      <c r="M328">
        <f t="shared" si="49"/>
        <v>1</v>
      </c>
      <c r="N328">
        <f t="shared" si="50"/>
        <v>0</v>
      </c>
    </row>
    <row r="329" spans="4:14" x14ac:dyDescent="0.2">
      <c r="D329">
        <f t="shared" si="52"/>
        <v>306</v>
      </c>
      <c r="E329" s="1">
        <f t="shared" si="53"/>
        <v>-0.83709414526075698</v>
      </c>
      <c r="F329" s="1">
        <f t="shared" si="54"/>
        <v>-3.1728038597904868</v>
      </c>
      <c r="G329" s="1">
        <f t="shared" si="51"/>
        <v>4.188599065838975E-2</v>
      </c>
      <c r="H329" s="1">
        <f t="shared" si="44"/>
        <v>4.307593194258669E-4</v>
      </c>
      <c r="I329">
        <f t="shared" si="45"/>
        <v>10</v>
      </c>
      <c r="J329">
        <f t="shared" si="46"/>
        <v>292</v>
      </c>
      <c r="K329" s="5">
        <f t="shared" si="47"/>
        <v>0</v>
      </c>
      <c r="L329">
        <f t="shared" si="48"/>
        <v>95</v>
      </c>
      <c r="M329">
        <f t="shared" si="49"/>
        <v>1</v>
      </c>
      <c r="N329">
        <f t="shared" si="50"/>
        <v>0</v>
      </c>
    </row>
    <row r="330" spans="4:14" x14ac:dyDescent="0.2">
      <c r="D330">
        <f t="shared" si="52"/>
        <v>307</v>
      </c>
      <c r="E330" s="1">
        <f t="shared" si="53"/>
        <v>-0.84756544512805232</v>
      </c>
      <c r="F330" s="1">
        <f t="shared" si="54"/>
        <v>-3.1832751596577822</v>
      </c>
      <c r="G330" s="1">
        <f t="shared" si="51"/>
        <v>4.1449678255698189E-2</v>
      </c>
      <c r="H330" s="1">
        <f t="shared" si="44"/>
        <v>4.2627224318184744E-4</v>
      </c>
      <c r="I330">
        <f t="shared" si="45"/>
        <v>10</v>
      </c>
      <c r="J330">
        <f t="shared" si="46"/>
        <v>293</v>
      </c>
      <c r="K330" s="5">
        <f t="shared" si="47"/>
        <v>0</v>
      </c>
      <c r="L330">
        <f t="shared" si="48"/>
        <v>95</v>
      </c>
      <c r="M330">
        <f t="shared" si="49"/>
        <v>1</v>
      </c>
      <c r="N330">
        <f t="shared" si="50"/>
        <v>0</v>
      </c>
    </row>
    <row r="331" spans="4:14" x14ac:dyDescent="0.2">
      <c r="D331">
        <f t="shared" si="52"/>
        <v>308</v>
      </c>
      <c r="E331" s="1">
        <f t="shared" si="53"/>
        <v>-0.85803674499534766</v>
      </c>
      <c r="F331" s="1">
        <f t="shared" si="54"/>
        <v>-3.1937464595250775</v>
      </c>
      <c r="G331" s="1">
        <f t="shared" si="51"/>
        <v>4.1017910773868002E-2</v>
      </c>
      <c r="H331" s="1">
        <f t="shared" si="44"/>
        <v>4.2183190731536992E-4</v>
      </c>
      <c r="I331">
        <f t="shared" si="45"/>
        <v>10</v>
      </c>
      <c r="J331">
        <f t="shared" si="46"/>
        <v>294</v>
      </c>
      <c r="K331" s="5">
        <f t="shared" si="47"/>
        <v>0</v>
      </c>
      <c r="L331">
        <f t="shared" si="48"/>
        <v>95</v>
      </c>
      <c r="M331">
        <f t="shared" si="49"/>
        <v>1</v>
      </c>
      <c r="N331">
        <f t="shared" si="50"/>
        <v>0</v>
      </c>
    </row>
    <row r="332" spans="4:14" x14ac:dyDescent="0.2">
      <c r="D332">
        <f t="shared" si="52"/>
        <v>309</v>
      </c>
      <c r="E332" s="1">
        <f t="shared" si="53"/>
        <v>-0.86850804486264299</v>
      </c>
      <c r="F332" s="1">
        <f t="shared" si="54"/>
        <v>-3.2042177593923729</v>
      </c>
      <c r="G332" s="1">
        <f t="shared" si="51"/>
        <v>4.0590640869973549E-2</v>
      </c>
      <c r="H332" s="1">
        <f t="shared" si="44"/>
        <v>4.1743782494750153E-4</v>
      </c>
      <c r="I332">
        <f t="shared" si="45"/>
        <v>10</v>
      </c>
      <c r="J332">
        <f t="shared" si="46"/>
        <v>295</v>
      </c>
      <c r="K332" s="5">
        <f t="shared" si="47"/>
        <v>0</v>
      </c>
      <c r="L332">
        <f t="shared" si="48"/>
        <v>95</v>
      </c>
      <c r="M332">
        <f t="shared" si="49"/>
        <v>1</v>
      </c>
      <c r="N332">
        <f t="shared" si="50"/>
        <v>0</v>
      </c>
    </row>
    <row r="333" spans="4:14" x14ac:dyDescent="0.2">
      <c r="D333">
        <f t="shared" si="52"/>
        <v>310</v>
      </c>
      <c r="E333" s="1">
        <f t="shared" si="53"/>
        <v>-0.87897934472993833</v>
      </c>
      <c r="F333" s="1">
        <f t="shared" si="54"/>
        <v>-3.2146890592596682</v>
      </c>
      <c r="G333" s="1">
        <f t="shared" si="51"/>
        <v>4.0167821694244661E-2</v>
      </c>
      <c r="H333" s="1">
        <f t="shared" si="44"/>
        <v>4.1308951427096512E-4</v>
      </c>
      <c r="I333">
        <f t="shared" si="45"/>
        <v>10</v>
      </c>
      <c r="J333">
        <f t="shared" si="46"/>
        <v>296</v>
      </c>
      <c r="K333" s="5">
        <f t="shared" si="47"/>
        <v>0</v>
      </c>
      <c r="L333">
        <f t="shared" si="48"/>
        <v>95</v>
      </c>
      <c r="M333">
        <f t="shared" si="49"/>
        <v>1</v>
      </c>
      <c r="N333">
        <f t="shared" si="50"/>
        <v>0</v>
      </c>
    </row>
    <row r="334" spans="4:14" x14ac:dyDescent="0.2">
      <c r="D334">
        <f t="shared" si="52"/>
        <v>311</v>
      </c>
      <c r="E334" s="1">
        <f t="shared" si="53"/>
        <v>-0.88945064459723366</v>
      </c>
      <c r="F334" s="1">
        <f t="shared" si="54"/>
        <v>-3.2251603591269635</v>
      </c>
      <c r="G334" s="1">
        <f t="shared" si="51"/>
        <v>3.9749406884929617E-2</v>
      </c>
      <c r="H334" s="1">
        <f t="shared" si="44"/>
        <v>4.0878649849730925E-4</v>
      </c>
      <c r="I334">
        <f t="shared" si="45"/>
        <v>10</v>
      </c>
      <c r="J334">
        <f t="shared" si="46"/>
        <v>297</v>
      </c>
      <c r="K334" s="5">
        <f t="shared" si="47"/>
        <v>0</v>
      </c>
      <c r="L334">
        <f t="shared" si="48"/>
        <v>95</v>
      </c>
      <c r="M334">
        <f t="shared" si="49"/>
        <v>1</v>
      </c>
      <c r="N334">
        <f t="shared" si="50"/>
        <v>0</v>
      </c>
    </row>
    <row r="335" spans="4:14" x14ac:dyDescent="0.2">
      <c r="D335">
        <f t="shared" si="52"/>
        <v>312</v>
      </c>
      <c r="E335" s="1">
        <f t="shared" si="53"/>
        <v>-0.899921944464529</v>
      </c>
      <c r="F335" s="1">
        <f t="shared" si="54"/>
        <v>-3.2356316589942589</v>
      </c>
      <c r="G335" s="1">
        <f t="shared" si="51"/>
        <v>3.93353505632116E-2</v>
      </c>
      <c r="H335" s="1">
        <f t="shared" si="44"/>
        <v>4.0452830580462893E-4</v>
      </c>
      <c r="I335">
        <f t="shared" si="45"/>
        <v>10</v>
      </c>
      <c r="J335">
        <f t="shared" si="46"/>
        <v>298</v>
      </c>
      <c r="K335" s="5">
        <f t="shared" si="47"/>
        <v>0</v>
      </c>
      <c r="L335">
        <f t="shared" si="48"/>
        <v>95</v>
      </c>
      <c r="M335">
        <f t="shared" si="49"/>
        <v>1</v>
      </c>
      <c r="N335">
        <f t="shared" si="50"/>
        <v>0</v>
      </c>
    </row>
    <row r="336" spans="4:14" x14ac:dyDescent="0.2">
      <c r="D336">
        <f t="shared" si="52"/>
        <v>313</v>
      </c>
      <c r="E336" s="1">
        <f t="shared" si="53"/>
        <v>-0.91039324433182434</v>
      </c>
      <c r="F336" s="1">
        <f t="shared" si="54"/>
        <v>-3.2461029588615542</v>
      </c>
      <c r="G336" s="1">
        <f t="shared" si="51"/>
        <v>3.8925607328178152E-2</v>
      </c>
      <c r="H336" s="1">
        <f t="shared" si="44"/>
        <v>4.0031446928583077E-4</v>
      </c>
      <c r="I336">
        <f t="shared" si="45"/>
        <v>10</v>
      </c>
      <c r="J336">
        <f t="shared" si="46"/>
        <v>299</v>
      </c>
      <c r="K336" s="5">
        <f t="shared" si="47"/>
        <v>0</v>
      </c>
      <c r="L336">
        <f t="shared" si="48"/>
        <v>95</v>
      </c>
      <c r="M336">
        <f t="shared" si="49"/>
        <v>1</v>
      </c>
      <c r="N336">
        <f t="shared" si="50"/>
        <v>0</v>
      </c>
    </row>
    <row r="337" spans="4:14" x14ac:dyDescent="0.2">
      <c r="D337">
        <f t="shared" si="52"/>
        <v>314</v>
      </c>
      <c r="E337" s="1">
        <f t="shared" si="53"/>
        <v>-0.92086454419911967</v>
      </c>
      <c r="F337" s="1">
        <f t="shared" si="54"/>
        <v>-3.2565742587288495</v>
      </c>
      <c r="G337" s="1">
        <f t="shared" si="51"/>
        <v>3.8520132251842962E-2</v>
      </c>
      <c r="H337" s="1">
        <f t="shared" si="44"/>
        <v>3.9614452689743673E-4</v>
      </c>
      <c r="I337">
        <f t="shared" si="45"/>
        <v>10</v>
      </c>
      <c r="J337">
        <f t="shared" si="46"/>
        <v>300</v>
      </c>
      <c r="K337" s="5">
        <f t="shared" si="47"/>
        <v>0</v>
      </c>
      <c r="L337">
        <f t="shared" si="48"/>
        <v>95</v>
      </c>
      <c r="M337">
        <f t="shared" si="49"/>
        <v>1</v>
      </c>
      <c r="N337">
        <f t="shared" si="50"/>
        <v>0</v>
      </c>
    </row>
    <row r="338" spans="4:14" x14ac:dyDescent="0.2">
      <c r="D338">
        <f t="shared" si="52"/>
        <v>315</v>
      </c>
      <c r="E338" s="1">
        <f t="shared" si="53"/>
        <v>-0.93133584406641501</v>
      </c>
      <c r="F338" s="1">
        <f t="shared" si="54"/>
        <v>-3.2670455585961449</v>
      </c>
      <c r="G338" s="1">
        <f t="shared" si="51"/>
        <v>3.81188808742196E-2</v>
      </c>
      <c r="H338" s="1">
        <f t="shared" si="44"/>
        <v>3.9201802140892178E-4</v>
      </c>
      <c r="I338">
        <f t="shared" si="45"/>
        <v>10</v>
      </c>
      <c r="J338">
        <f t="shared" si="46"/>
        <v>301</v>
      </c>
      <c r="K338" s="5">
        <f t="shared" si="47"/>
        <v>0</v>
      </c>
      <c r="L338">
        <f t="shared" si="48"/>
        <v>95</v>
      </c>
      <c r="M338">
        <f t="shared" si="49"/>
        <v>1</v>
      </c>
      <c r="N338">
        <f t="shared" si="50"/>
        <v>0</v>
      </c>
    </row>
    <row r="339" spans="4:14" x14ac:dyDescent="0.2">
      <c r="D339">
        <f t="shared" si="52"/>
        <v>316</v>
      </c>
      <c r="E339" s="1">
        <f t="shared" si="53"/>
        <v>-0.94180714393371034</v>
      </c>
      <c r="F339" s="1">
        <f t="shared" si="54"/>
        <v>-3.2775168584634402</v>
      </c>
      <c r="G339" s="1">
        <f t="shared" si="51"/>
        <v>3.7721809198446483E-2</v>
      </c>
      <c r="H339" s="1">
        <f t="shared" si="44"/>
        <v>3.8793450035257886E-4</v>
      </c>
      <c r="I339">
        <f t="shared" si="45"/>
        <v>10</v>
      </c>
      <c r="J339">
        <f t="shared" si="46"/>
        <v>302</v>
      </c>
      <c r="K339" s="5">
        <f t="shared" si="47"/>
        <v>0</v>
      </c>
      <c r="L339">
        <f t="shared" si="48"/>
        <v>95</v>
      </c>
      <c r="M339">
        <f t="shared" si="49"/>
        <v>1</v>
      </c>
      <c r="N339">
        <f t="shared" si="50"/>
        <v>0</v>
      </c>
    </row>
    <row r="340" spans="4:14" x14ac:dyDescent="0.2">
      <c r="D340">
        <f t="shared" si="52"/>
        <v>317</v>
      </c>
      <c r="E340" s="1">
        <f t="shared" si="53"/>
        <v>-0.95227844380100568</v>
      </c>
      <c r="F340" s="1">
        <f t="shared" si="54"/>
        <v>-3.2879881583307355</v>
      </c>
      <c r="G340" s="1">
        <f t="shared" si="51"/>
        <v>3.7328873685962667E-2</v>
      </c>
      <c r="H340" s="1">
        <f t="shared" si="44"/>
        <v>3.8389351597390618E-4</v>
      </c>
      <c r="I340">
        <f t="shared" si="45"/>
        <v>10</v>
      </c>
      <c r="J340">
        <f t="shared" si="46"/>
        <v>303</v>
      </c>
      <c r="K340" s="5">
        <f t="shared" si="47"/>
        <v>0</v>
      </c>
      <c r="L340">
        <f t="shared" si="48"/>
        <v>95</v>
      </c>
      <c r="M340">
        <f t="shared" si="49"/>
        <v>1</v>
      </c>
      <c r="N340">
        <f t="shared" si="50"/>
        <v>0</v>
      </c>
    </row>
    <row r="341" spans="4:14" x14ac:dyDescent="0.2">
      <c r="D341">
        <f t="shared" si="52"/>
        <v>318</v>
      </c>
      <c r="E341" s="1">
        <f t="shared" si="53"/>
        <v>-0.96274974366830102</v>
      </c>
      <c r="F341" s="1">
        <f t="shared" si="54"/>
        <v>-3.2984594581980309</v>
      </c>
      <c r="G341" s="1">
        <f t="shared" si="51"/>
        <v>3.6940031251733896E-2</v>
      </c>
      <c r="H341" s="1">
        <f t="shared" si="44"/>
        <v>3.7989462518251142E-4</v>
      </c>
      <c r="I341">
        <f t="shared" si="45"/>
        <v>10</v>
      </c>
      <c r="J341">
        <f t="shared" si="46"/>
        <v>304</v>
      </c>
      <c r="K341" s="5">
        <f t="shared" si="47"/>
        <v>0</v>
      </c>
      <c r="L341">
        <f t="shared" si="48"/>
        <v>95</v>
      </c>
      <c r="M341">
        <f t="shared" si="49"/>
        <v>1</v>
      </c>
      <c r="N341">
        <f t="shared" si="50"/>
        <v>0</v>
      </c>
    </row>
    <row r="342" spans="4:14" x14ac:dyDescent="0.2">
      <c r="D342">
        <f t="shared" si="52"/>
        <v>319</v>
      </c>
      <c r="E342" s="1">
        <f t="shared" si="53"/>
        <v>-0.97322104353559635</v>
      </c>
      <c r="F342" s="1">
        <f t="shared" si="54"/>
        <v>-3.3089307580653262</v>
      </c>
      <c r="G342" s="1">
        <f t="shared" si="51"/>
        <v>3.6555239259528333E-2</v>
      </c>
      <c r="H342" s="1">
        <f t="shared" si="44"/>
        <v>3.7593738950352689E-4</v>
      </c>
      <c r="I342">
        <f t="shared" si="45"/>
        <v>10</v>
      </c>
      <c r="J342">
        <f t="shared" si="46"/>
        <v>305</v>
      </c>
      <c r="K342" s="5">
        <f t="shared" si="47"/>
        <v>0</v>
      </c>
      <c r="L342">
        <f t="shared" si="48"/>
        <v>95</v>
      </c>
      <c r="M342">
        <f t="shared" si="49"/>
        <v>1</v>
      </c>
      <c r="N342">
        <f t="shared" si="50"/>
        <v>0</v>
      </c>
    </row>
    <row r="343" spans="4:14" x14ac:dyDescent="0.2">
      <c r="D343">
        <f t="shared" si="52"/>
        <v>320</v>
      </c>
      <c r="E343" s="1">
        <f t="shared" si="53"/>
        <v>-0.98369234340289169</v>
      </c>
      <c r="F343" s="1">
        <f t="shared" si="54"/>
        <v>-3.3194020579326216</v>
      </c>
      <c r="G343" s="1">
        <f t="shared" si="51"/>
        <v>3.6174455517241584E-2</v>
      </c>
      <c r="H343" s="1">
        <f t="shared" ref="H343:H406" si="55">G343/$G$21</f>
        <v>3.7202137502953189E-4</v>
      </c>
      <c r="I343">
        <f t="shared" ref="I343:I406" si="56">IF($F$11&lt;=D343, IF(D343&lt;=$A$15,D343-$F$11,$C$11),0)</f>
        <v>10</v>
      </c>
      <c r="J343">
        <f t="shared" ref="J343:J406" si="57">IF(D343&lt;=$A$15,0,D343-$A$15)</f>
        <v>306</v>
      </c>
      <c r="K343" s="5">
        <f t="shared" ref="K343:K406" si="58">IF(D343&lt;$F$11,H343,0)</f>
        <v>0</v>
      </c>
      <c r="L343">
        <f t="shared" ref="L343:L406" si="59">IF(D343&lt;$A$15,$D$11,$D$11*(1-$H$11))</f>
        <v>95</v>
      </c>
      <c r="M343">
        <f t="shared" ref="M343:M406" si="60">IF(D343&lt;$A$15,0,1)</f>
        <v>1</v>
      </c>
      <c r="N343">
        <f t="shared" ref="N343:N406" si="61">IF(SUM(I343:J343)&lt;=($G$11/60*$F$11/($E$11/60)),1,0)</f>
        <v>0</v>
      </c>
    </row>
    <row r="344" spans="4:14" x14ac:dyDescent="0.2">
      <c r="D344">
        <f t="shared" si="52"/>
        <v>321</v>
      </c>
      <c r="E344" s="1">
        <f t="shared" si="53"/>
        <v>-0.99416364327018703</v>
      </c>
      <c r="F344" s="1">
        <f t="shared" si="54"/>
        <v>-3.3298733577999169</v>
      </c>
      <c r="G344" s="1">
        <f t="shared" ref="G344:G407" si="62">EXP(F344)</f>
        <v>3.5797638272270317E-2</v>
      </c>
      <c r="H344" s="1">
        <f t="shared" si="55"/>
        <v>3.6814615237297423E-4</v>
      </c>
      <c r="I344">
        <f t="shared" si="56"/>
        <v>10</v>
      </c>
      <c r="J344">
        <f t="shared" si="57"/>
        <v>307</v>
      </c>
      <c r="K344" s="5">
        <f t="shared" si="58"/>
        <v>0</v>
      </c>
      <c r="L344">
        <f t="shared" si="59"/>
        <v>95</v>
      </c>
      <c r="M344">
        <f t="shared" si="60"/>
        <v>1</v>
      </c>
      <c r="N344">
        <f t="shared" si="61"/>
        <v>0</v>
      </c>
    </row>
    <row r="345" spans="4:14" x14ac:dyDescent="0.2">
      <c r="D345">
        <f t="shared" ref="D345:D408" si="63">1+D344</f>
        <v>322</v>
      </c>
      <c r="E345" s="1">
        <f t="shared" ref="E345:E408" si="64">IF($H$11=1,IF(D345&lt;=$A$15, E344+LN($D$11)-LN(60/$E$11)-LN(MIN(D345,$F$11)), E344-LN(60/$E$11)-LN(MIN(D345,$F$11))), IF(D345&lt;=$A$15, E344+LN($D$11)-LN(60/$E$11)-LN(MIN(D345,$F$11)), E344+LN($D$11)+LN(1-$H$11)-LN(60/$E$11)-LN(MIN(D345,$F$11))))</f>
        <v>-1.0046349431374824</v>
      </c>
      <c r="F345" s="1">
        <f t="shared" ref="F345:F408" si="65">E345-$E$21</f>
        <v>-3.3403446576672122</v>
      </c>
      <c r="G345" s="1">
        <f t="shared" si="62"/>
        <v>3.5424746206934171E-2</v>
      </c>
      <c r="H345" s="1">
        <f t="shared" si="55"/>
        <v>3.6431129661908913E-4</v>
      </c>
      <c r="I345">
        <f t="shared" si="56"/>
        <v>10</v>
      </c>
      <c r="J345">
        <f t="shared" si="57"/>
        <v>308</v>
      </c>
      <c r="K345" s="5">
        <f t="shared" si="58"/>
        <v>0</v>
      </c>
      <c r="L345">
        <f t="shared" si="59"/>
        <v>95</v>
      </c>
      <c r="M345">
        <f t="shared" si="60"/>
        <v>1</v>
      </c>
      <c r="N345">
        <f t="shared" si="61"/>
        <v>0</v>
      </c>
    </row>
    <row r="346" spans="4:14" x14ac:dyDescent="0.2">
      <c r="D346">
        <f t="shared" si="63"/>
        <v>323</v>
      </c>
      <c r="E346" s="1">
        <f t="shared" si="64"/>
        <v>-1.0151062430047777</v>
      </c>
      <c r="F346" s="1">
        <f t="shared" si="65"/>
        <v>-3.3508159575345076</v>
      </c>
      <c r="G346" s="1">
        <f t="shared" si="62"/>
        <v>3.5055738433945278E-2</v>
      </c>
      <c r="H346" s="1">
        <f t="shared" si="55"/>
        <v>3.60516387279307E-4</v>
      </c>
      <c r="I346">
        <f t="shared" si="56"/>
        <v>10</v>
      </c>
      <c r="J346">
        <f t="shared" si="57"/>
        <v>309</v>
      </c>
      <c r="K346" s="5">
        <f t="shared" si="58"/>
        <v>0</v>
      </c>
      <c r="L346">
        <f t="shared" si="59"/>
        <v>95</v>
      </c>
      <c r="M346">
        <f t="shared" si="60"/>
        <v>1</v>
      </c>
      <c r="N346">
        <f t="shared" si="61"/>
        <v>0</v>
      </c>
    </row>
    <row r="347" spans="4:14" x14ac:dyDescent="0.2">
      <c r="D347">
        <f t="shared" si="63"/>
        <v>324</v>
      </c>
      <c r="E347" s="1">
        <f t="shared" si="64"/>
        <v>-1.025577542872073</v>
      </c>
      <c r="F347" s="1">
        <f t="shared" si="65"/>
        <v>-3.3612872574018029</v>
      </c>
      <c r="G347" s="1">
        <f t="shared" si="62"/>
        <v>3.4690574491925016E-2</v>
      </c>
      <c r="H347" s="1">
        <f t="shared" si="55"/>
        <v>3.5676100824514755E-4</v>
      </c>
      <c r="I347">
        <f t="shared" si="56"/>
        <v>10</v>
      </c>
      <c r="J347">
        <f t="shared" si="57"/>
        <v>310</v>
      </c>
      <c r="K347" s="5">
        <f t="shared" si="58"/>
        <v>0</v>
      </c>
      <c r="L347">
        <f t="shared" si="59"/>
        <v>95</v>
      </c>
      <c r="M347">
        <f t="shared" si="60"/>
        <v>1</v>
      </c>
      <c r="N347">
        <f t="shared" si="61"/>
        <v>0</v>
      </c>
    </row>
    <row r="348" spans="4:14" x14ac:dyDescent="0.2">
      <c r="D348">
        <f t="shared" si="63"/>
        <v>325</v>
      </c>
      <c r="E348" s="1">
        <f t="shared" si="64"/>
        <v>-1.0360488427393684</v>
      </c>
      <c r="F348" s="1">
        <f t="shared" si="65"/>
        <v>-3.3717585572690982</v>
      </c>
      <c r="G348" s="1">
        <f t="shared" si="62"/>
        <v>3.4329214340967466E-2</v>
      </c>
      <c r="H348" s="1">
        <f t="shared" si="55"/>
        <v>3.5304474774259397E-4</v>
      </c>
      <c r="I348">
        <f t="shared" si="56"/>
        <v>10</v>
      </c>
      <c r="J348">
        <f t="shared" si="57"/>
        <v>311</v>
      </c>
      <c r="K348" s="5">
        <f t="shared" si="58"/>
        <v>0</v>
      </c>
      <c r="L348">
        <f t="shared" si="59"/>
        <v>95</v>
      </c>
      <c r="M348">
        <f t="shared" si="60"/>
        <v>1</v>
      </c>
      <c r="N348">
        <f t="shared" si="61"/>
        <v>0</v>
      </c>
    </row>
    <row r="349" spans="4:14" x14ac:dyDescent="0.2">
      <c r="D349">
        <f t="shared" si="63"/>
        <v>326</v>
      </c>
      <c r="E349" s="1">
        <f t="shared" si="64"/>
        <v>-1.0465201426066637</v>
      </c>
      <c r="F349" s="1">
        <f t="shared" si="65"/>
        <v>-3.3822298571363936</v>
      </c>
      <c r="G349" s="1">
        <f t="shared" si="62"/>
        <v>3.3971618358249057E-2</v>
      </c>
      <c r="H349" s="1">
        <f t="shared" si="55"/>
        <v>3.4936719828694199E-4</v>
      </c>
      <c r="I349">
        <f t="shared" si="56"/>
        <v>10</v>
      </c>
      <c r="J349">
        <f t="shared" si="57"/>
        <v>312</v>
      </c>
      <c r="K349" s="5">
        <f t="shared" si="58"/>
        <v>0</v>
      </c>
      <c r="L349">
        <f t="shared" si="59"/>
        <v>95</v>
      </c>
      <c r="M349">
        <f t="shared" si="60"/>
        <v>1</v>
      </c>
      <c r="N349">
        <f t="shared" si="61"/>
        <v>0</v>
      </c>
    </row>
    <row r="350" spans="4:14" x14ac:dyDescent="0.2">
      <c r="D350">
        <f t="shared" si="63"/>
        <v>327</v>
      </c>
      <c r="E350" s="1">
        <f t="shared" si="64"/>
        <v>-1.056991442473959</v>
      </c>
      <c r="F350" s="1">
        <f t="shared" si="65"/>
        <v>-3.3927011570036889</v>
      </c>
      <c r="G350" s="1">
        <f t="shared" si="62"/>
        <v>3.3617747333683966E-2</v>
      </c>
      <c r="H350" s="1">
        <f t="shared" si="55"/>
        <v>3.4572795663811968E-4</v>
      </c>
      <c r="I350">
        <f t="shared" si="56"/>
        <v>10</v>
      </c>
      <c r="J350">
        <f t="shared" si="57"/>
        <v>313</v>
      </c>
      <c r="K350" s="5">
        <f t="shared" si="58"/>
        <v>0</v>
      </c>
      <c r="L350">
        <f t="shared" si="59"/>
        <v>95</v>
      </c>
      <c r="M350">
        <f t="shared" si="60"/>
        <v>1</v>
      </c>
      <c r="N350">
        <f t="shared" si="61"/>
        <v>0</v>
      </c>
    </row>
    <row r="351" spans="4:14" x14ac:dyDescent="0.2">
      <c r="D351">
        <f t="shared" si="63"/>
        <v>328</v>
      </c>
      <c r="E351" s="1">
        <f t="shared" si="64"/>
        <v>-1.0674627423412544</v>
      </c>
      <c r="F351" s="1">
        <f t="shared" si="65"/>
        <v>-3.4031724568709842</v>
      </c>
      <c r="G351" s="1">
        <f t="shared" si="62"/>
        <v>3.3267562465624761E-2</v>
      </c>
      <c r="H351" s="1">
        <f t="shared" si="55"/>
        <v>3.4212662375647263E-4</v>
      </c>
      <c r="I351">
        <f t="shared" si="56"/>
        <v>10</v>
      </c>
      <c r="J351">
        <f t="shared" si="57"/>
        <v>314</v>
      </c>
      <c r="K351" s="5">
        <f t="shared" si="58"/>
        <v>0</v>
      </c>
      <c r="L351">
        <f t="shared" si="59"/>
        <v>95</v>
      </c>
      <c r="M351">
        <f t="shared" si="60"/>
        <v>1</v>
      </c>
      <c r="N351">
        <f t="shared" si="61"/>
        <v>0</v>
      </c>
    </row>
    <row r="352" spans="4:14" x14ac:dyDescent="0.2">
      <c r="D352">
        <f t="shared" si="63"/>
        <v>329</v>
      </c>
      <c r="E352" s="1">
        <f t="shared" si="64"/>
        <v>-1.0779340422085497</v>
      </c>
      <c r="F352" s="1">
        <f t="shared" si="65"/>
        <v>-3.4136437567382796</v>
      </c>
      <c r="G352" s="1">
        <f t="shared" si="62"/>
        <v>3.292102535660784E-2</v>
      </c>
      <c r="H352" s="1">
        <f t="shared" si="55"/>
        <v>3.3856280475900942E-4</v>
      </c>
      <c r="I352">
        <f t="shared" si="56"/>
        <v>10</v>
      </c>
      <c r="J352">
        <f t="shared" si="57"/>
        <v>315</v>
      </c>
      <c r="K352" s="5">
        <f t="shared" si="58"/>
        <v>0</v>
      </c>
      <c r="L352">
        <f t="shared" si="59"/>
        <v>95</v>
      </c>
      <c r="M352">
        <f t="shared" si="60"/>
        <v>1</v>
      </c>
      <c r="N352">
        <f t="shared" si="61"/>
        <v>0</v>
      </c>
    </row>
    <row r="353" spans="4:14" x14ac:dyDescent="0.2">
      <c r="D353">
        <f t="shared" si="63"/>
        <v>330</v>
      </c>
      <c r="E353" s="1">
        <f t="shared" si="64"/>
        <v>-1.0884053420758451</v>
      </c>
      <c r="F353" s="1">
        <f t="shared" si="65"/>
        <v>-3.4241150566055749</v>
      </c>
      <c r="G353" s="1">
        <f t="shared" si="62"/>
        <v>3.2578098009143172E-2</v>
      </c>
      <c r="H353" s="1">
        <f t="shared" si="55"/>
        <v>3.3503610887610305E-4</v>
      </c>
      <c r="I353">
        <f t="shared" si="56"/>
        <v>10</v>
      </c>
      <c r="J353">
        <f t="shared" si="57"/>
        <v>316</v>
      </c>
      <c r="K353" s="5">
        <f t="shared" si="58"/>
        <v>0</v>
      </c>
      <c r="L353">
        <f t="shared" si="59"/>
        <v>95</v>
      </c>
      <c r="M353">
        <f t="shared" si="60"/>
        <v>1</v>
      </c>
      <c r="N353">
        <f t="shared" si="61"/>
        <v>0</v>
      </c>
    </row>
    <row r="354" spans="4:14" x14ac:dyDescent="0.2">
      <c r="D354">
        <f t="shared" si="63"/>
        <v>331</v>
      </c>
      <c r="E354" s="1">
        <f t="shared" si="64"/>
        <v>-1.0988766419431404</v>
      </c>
      <c r="F354" s="1">
        <f t="shared" si="65"/>
        <v>-3.4345863564728702</v>
      </c>
      <c r="G354" s="1">
        <f t="shared" si="62"/>
        <v>3.2238742821547935E-2</v>
      </c>
      <c r="H354" s="1">
        <f t="shared" si="55"/>
        <v>3.3154614940864366E-4</v>
      </c>
      <c r="I354">
        <f t="shared" si="56"/>
        <v>10</v>
      </c>
      <c r="J354">
        <f t="shared" si="57"/>
        <v>317</v>
      </c>
      <c r="K354" s="5">
        <f t="shared" si="58"/>
        <v>0</v>
      </c>
      <c r="L354">
        <f t="shared" si="59"/>
        <v>95</v>
      </c>
      <c r="M354">
        <f t="shared" si="60"/>
        <v>1</v>
      </c>
      <c r="N354">
        <f t="shared" si="61"/>
        <v>0</v>
      </c>
    </row>
    <row r="355" spans="4:14" x14ac:dyDescent="0.2">
      <c r="D355">
        <f t="shared" si="63"/>
        <v>332</v>
      </c>
      <c r="E355" s="1">
        <f t="shared" si="64"/>
        <v>-1.1093479418104357</v>
      </c>
      <c r="F355" s="1">
        <f t="shared" si="65"/>
        <v>-3.4450576563401656</v>
      </c>
      <c r="G355" s="1">
        <f t="shared" si="62"/>
        <v>3.1902922583823483E-2</v>
      </c>
      <c r="H355" s="1">
        <f t="shared" si="55"/>
        <v>3.2809254368563703E-4</v>
      </c>
      <c r="I355">
        <f t="shared" si="56"/>
        <v>10</v>
      </c>
      <c r="J355">
        <f t="shared" si="57"/>
        <v>318</v>
      </c>
      <c r="K355" s="5">
        <f t="shared" si="58"/>
        <v>0</v>
      </c>
      <c r="L355">
        <f t="shared" si="59"/>
        <v>95</v>
      </c>
      <c r="M355">
        <f t="shared" si="60"/>
        <v>1</v>
      </c>
      <c r="N355">
        <f t="shared" si="61"/>
        <v>0</v>
      </c>
    </row>
    <row r="356" spans="4:14" x14ac:dyDescent="0.2">
      <c r="D356">
        <f t="shared" si="63"/>
        <v>333</v>
      </c>
      <c r="E356" s="1">
        <f t="shared" si="64"/>
        <v>-1.1198192416777311</v>
      </c>
      <c r="F356" s="1">
        <f t="shared" si="65"/>
        <v>-3.4555289562074609</v>
      </c>
      <c r="G356" s="1">
        <f t="shared" si="62"/>
        <v>3.1570600473575322E-2</v>
      </c>
      <c r="H356" s="1">
        <f t="shared" si="55"/>
        <v>3.24674913022245E-4</v>
      </c>
      <c r="I356">
        <f t="shared" si="56"/>
        <v>10</v>
      </c>
      <c r="J356">
        <f t="shared" si="57"/>
        <v>319</v>
      </c>
      <c r="K356" s="5">
        <f t="shared" si="58"/>
        <v>0</v>
      </c>
      <c r="L356">
        <f t="shared" si="59"/>
        <v>95</v>
      </c>
      <c r="M356">
        <f t="shared" si="60"/>
        <v>1</v>
      </c>
      <c r="N356">
        <f t="shared" si="61"/>
        <v>0</v>
      </c>
    </row>
    <row r="357" spans="4:14" x14ac:dyDescent="0.2">
      <c r="D357">
        <f t="shared" si="63"/>
        <v>334</v>
      </c>
      <c r="E357" s="1">
        <f t="shared" si="64"/>
        <v>-1.1302905415450264</v>
      </c>
      <c r="F357" s="1">
        <f t="shared" si="65"/>
        <v>-3.4660002560747563</v>
      </c>
      <c r="G357" s="1">
        <f t="shared" si="62"/>
        <v>3.1241740051975581E-2</v>
      </c>
      <c r="H357" s="1">
        <f t="shared" si="55"/>
        <v>3.2129288267826326E-4</v>
      </c>
      <c r="I357">
        <f t="shared" si="56"/>
        <v>10</v>
      </c>
      <c r="J357">
        <f t="shared" si="57"/>
        <v>320</v>
      </c>
      <c r="K357" s="5">
        <f t="shared" si="58"/>
        <v>0</v>
      </c>
      <c r="L357">
        <f t="shared" si="59"/>
        <v>95</v>
      </c>
      <c r="M357">
        <f t="shared" si="60"/>
        <v>1</v>
      </c>
      <c r="N357">
        <f t="shared" si="61"/>
        <v>0</v>
      </c>
    </row>
    <row r="358" spans="4:14" x14ac:dyDescent="0.2">
      <c r="D358">
        <f t="shared" si="63"/>
        <v>335</v>
      </c>
      <c r="E358" s="1">
        <f t="shared" si="64"/>
        <v>-1.1407618414123217</v>
      </c>
      <c r="F358" s="1">
        <f t="shared" si="65"/>
        <v>-3.4764715559420516</v>
      </c>
      <c r="G358" s="1">
        <f t="shared" si="62"/>
        <v>3.0916305259767504E-2</v>
      </c>
      <c r="H358" s="1">
        <f t="shared" si="55"/>
        <v>3.1794608181703139E-4</v>
      </c>
      <c r="I358">
        <f t="shared" si="56"/>
        <v>10</v>
      </c>
      <c r="J358">
        <f t="shared" si="57"/>
        <v>321</v>
      </c>
      <c r="K358" s="5">
        <f t="shared" si="58"/>
        <v>0</v>
      </c>
      <c r="L358">
        <f t="shared" si="59"/>
        <v>95</v>
      </c>
      <c r="M358">
        <f t="shared" si="60"/>
        <v>1</v>
      </c>
      <c r="N358">
        <f t="shared" si="61"/>
        <v>0</v>
      </c>
    </row>
    <row r="359" spans="4:14" x14ac:dyDescent="0.2">
      <c r="D359">
        <f t="shared" si="63"/>
        <v>336</v>
      </c>
      <c r="E359" s="1">
        <f t="shared" si="64"/>
        <v>-1.1512331412796171</v>
      </c>
      <c r="F359" s="1">
        <f t="shared" si="65"/>
        <v>-3.4869428558093469</v>
      </c>
      <c r="G359" s="1">
        <f t="shared" si="62"/>
        <v>3.0594260413311595E-2</v>
      </c>
      <c r="H359" s="1">
        <f t="shared" si="55"/>
        <v>3.1463414346477066E-4</v>
      </c>
      <c r="I359">
        <f t="shared" si="56"/>
        <v>10</v>
      </c>
      <c r="J359">
        <f t="shared" si="57"/>
        <v>322</v>
      </c>
      <c r="K359" s="5">
        <f t="shared" si="58"/>
        <v>0</v>
      </c>
      <c r="L359">
        <f t="shared" si="59"/>
        <v>95</v>
      </c>
      <c r="M359">
        <f t="shared" si="60"/>
        <v>1</v>
      </c>
      <c r="N359">
        <f t="shared" si="61"/>
        <v>0</v>
      </c>
    </row>
    <row r="360" spans="4:14" x14ac:dyDescent="0.2">
      <c r="D360">
        <f t="shared" si="63"/>
        <v>337</v>
      </c>
      <c r="E360" s="1">
        <f t="shared" si="64"/>
        <v>-1.1617044411469124</v>
      </c>
      <c r="F360" s="1">
        <f t="shared" si="65"/>
        <v>-3.4974141556766423</v>
      </c>
      <c r="G360" s="1">
        <f t="shared" si="62"/>
        <v>3.0275570200672931E-2</v>
      </c>
      <c r="H360" s="1">
        <f t="shared" si="55"/>
        <v>3.1135670447034598E-4</v>
      </c>
      <c r="I360">
        <f t="shared" si="56"/>
        <v>10</v>
      </c>
      <c r="J360">
        <f t="shared" si="57"/>
        <v>323</v>
      </c>
      <c r="K360" s="5">
        <f t="shared" si="58"/>
        <v>0</v>
      </c>
      <c r="L360">
        <f t="shared" si="59"/>
        <v>95</v>
      </c>
      <c r="M360">
        <f t="shared" si="60"/>
        <v>1</v>
      </c>
      <c r="N360">
        <f t="shared" si="61"/>
        <v>0</v>
      </c>
    </row>
    <row r="361" spans="4:14" x14ac:dyDescent="0.2">
      <c r="D361">
        <f t="shared" si="63"/>
        <v>338</v>
      </c>
      <c r="E361" s="1">
        <f t="shared" si="64"/>
        <v>-1.1721757410142077</v>
      </c>
      <c r="F361" s="1">
        <f t="shared" si="65"/>
        <v>-3.5078854555439376</v>
      </c>
      <c r="G361" s="1">
        <f t="shared" si="62"/>
        <v>2.9960199677749259E-2</v>
      </c>
      <c r="H361" s="1">
        <f t="shared" si="55"/>
        <v>3.0811340546544659E-4</v>
      </c>
      <c r="I361">
        <f t="shared" si="56"/>
        <v>10</v>
      </c>
      <c r="J361">
        <f t="shared" si="57"/>
        <v>324</v>
      </c>
      <c r="K361" s="5">
        <f t="shared" si="58"/>
        <v>0</v>
      </c>
      <c r="L361">
        <f t="shared" si="59"/>
        <v>95</v>
      </c>
      <c r="M361">
        <f t="shared" si="60"/>
        <v>1</v>
      </c>
      <c r="N361">
        <f t="shared" si="61"/>
        <v>0</v>
      </c>
    </row>
    <row r="362" spans="4:14" x14ac:dyDescent="0.2">
      <c r="D362">
        <f t="shared" si="63"/>
        <v>339</v>
      </c>
      <c r="E362" s="1">
        <f t="shared" si="64"/>
        <v>-1.1826470408815031</v>
      </c>
      <c r="F362" s="1">
        <f t="shared" si="65"/>
        <v>-3.5183567554112329</v>
      </c>
      <c r="G362" s="1">
        <f t="shared" si="62"/>
        <v>2.9648114264439373E-2</v>
      </c>
      <c r="H362" s="1">
        <f t="shared" si="55"/>
        <v>3.049038908251815E-4</v>
      </c>
      <c r="I362">
        <f t="shared" si="56"/>
        <v>10</v>
      </c>
      <c r="J362">
        <f t="shared" si="57"/>
        <v>325</v>
      </c>
      <c r="K362" s="5">
        <f t="shared" si="58"/>
        <v>0</v>
      </c>
      <c r="L362">
        <f t="shared" si="59"/>
        <v>95</v>
      </c>
      <c r="M362">
        <f t="shared" si="60"/>
        <v>1</v>
      </c>
      <c r="N362">
        <f t="shared" si="61"/>
        <v>0</v>
      </c>
    </row>
    <row r="363" spans="4:14" x14ac:dyDescent="0.2">
      <c r="D363">
        <f t="shared" si="63"/>
        <v>340</v>
      </c>
      <c r="E363" s="1">
        <f t="shared" si="64"/>
        <v>-1.1931183407487984</v>
      </c>
      <c r="F363" s="1">
        <f t="shared" si="65"/>
        <v>-3.5288280552785283</v>
      </c>
      <c r="G363" s="1">
        <f t="shared" si="62"/>
        <v>2.9339279740851463E-2</v>
      </c>
      <c r="H363" s="1">
        <f t="shared" si="55"/>
        <v>3.017278086290859E-4</v>
      </c>
      <c r="I363">
        <f t="shared" si="56"/>
        <v>10</v>
      </c>
      <c r="J363">
        <f t="shared" si="57"/>
        <v>326</v>
      </c>
      <c r="K363" s="5">
        <f t="shared" si="58"/>
        <v>0</v>
      </c>
      <c r="L363">
        <f t="shared" si="59"/>
        <v>95</v>
      </c>
      <c r="M363">
        <f t="shared" si="60"/>
        <v>1</v>
      </c>
      <c r="N363">
        <f t="shared" si="61"/>
        <v>0</v>
      </c>
    </row>
    <row r="364" spans="4:14" x14ac:dyDescent="0.2">
      <c r="D364">
        <f t="shared" si="63"/>
        <v>341</v>
      </c>
      <c r="E364" s="1">
        <f t="shared" si="64"/>
        <v>-1.2035896406160937</v>
      </c>
      <c r="F364" s="1">
        <f t="shared" si="65"/>
        <v>-3.5392993551458236</v>
      </c>
      <c r="G364" s="1">
        <f t="shared" si="62"/>
        <v>2.9033662243550931E-2</v>
      </c>
      <c r="H364" s="1">
        <f t="shared" si="55"/>
        <v>2.9858481062253292E-4</v>
      </c>
      <c r="I364">
        <f t="shared" si="56"/>
        <v>10</v>
      </c>
      <c r="J364">
        <f t="shared" si="57"/>
        <v>327</v>
      </c>
      <c r="K364" s="5">
        <f t="shared" si="58"/>
        <v>0</v>
      </c>
      <c r="L364">
        <f t="shared" si="59"/>
        <v>95</v>
      </c>
      <c r="M364">
        <f t="shared" si="60"/>
        <v>1</v>
      </c>
      <c r="N364">
        <f t="shared" si="61"/>
        <v>0</v>
      </c>
    </row>
    <row r="365" spans="4:14" x14ac:dyDescent="0.2">
      <c r="D365">
        <f t="shared" si="63"/>
        <v>342</v>
      </c>
      <c r="E365" s="1">
        <f t="shared" si="64"/>
        <v>-1.2140609404833891</v>
      </c>
      <c r="F365" s="1">
        <f t="shared" si="65"/>
        <v>-3.5497706550131189</v>
      </c>
      <c r="G365" s="1">
        <f t="shared" si="62"/>
        <v>2.8731228261847278E-2</v>
      </c>
      <c r="H365" s="1">
        <f t="shared" si="55"/>
        <v>2.9547455217854827E-4</v>
      </c>
      <c r="I365">
        <f t="shared" si="56"/>
        <v>10</v>
      </c>
      <c r="J365">
        <f t="shared" si="57"/>
        <v>328</v>
      </c>
      <c r="K365" s="5">
        <f t="shared" si="58"/>
        <v>0</v>
      </c>
      <c r="L365">
        <f t="shared" si="59"/>
        <v>95</v>
      </c>
      <c r="M365">
        <f t="shared" si="60"/>
        <v>1</v>
      </c>
      <c r="N365">
        <f t="shared" si="61"/>
        <v>0</v>
      </c>
    </row>
    <row r="366" spans="4:14" x14ac:dyDescent="0.2">
      <c r="D366">
        <f t="shared" si="63"/>
        <v>343</v>
      </c>
      <c r="E366" s="1">
        <f t="shared" si="64"/>
        <v>-1.2245322403506844</v>
      </c>
      <c r="F366" s="1">
        <f t="shared" si="65"/>
        <v>-3.5602419548804143</v>
      </c>
      <c r="G366" s="1">
        <f t="shared" si="62"/>
        <v>2.8431944634119702E-2</v>
      </c>
      <c r="H366" s="1">
        <f t="shared" si="55"/>
        <v>2.9239669226002171E-4</v>
      </c>
      <c r="I366">
        <f t="shared" si="56"/>
        <v>10</v>
      </c>
      <c r="J366">
        <f t="shared" si="57"/>
        <v>329</v>
      </c>
      <c r="K366" s="5">
        <f t="shared" si="58"/>
        <v>0</v>
      </c>
      <c r="L366">
        <f t="shared" si="59"/>
        <v>95</v>
      </c>
      <c r="M366">
        <f t="shared" si="60"/>
        <v>1</v>
      </c>
      <c r="N366">
        <f t="shared" si="61"/>
        <v>0</v>
      </c>
    </row>
    <row r="367" spans="4:14" x14ac:dyDescent="0.2">
      <c r="D367">
        <f t="shared" si="63"/>
        <v>344</v>
      </c>
      <c r="E367" s="1">
        <f t="shared" si="64"/>
        <v>-1.2350035402179798</v>
      </c>
      <c r="F367" s="1">
        <f t="shared" si="65"/>
        <v>-3.5707132547477096</v>
      </c>
      <c r="G367" s="1">
        <f t="shared" si="62"/>
        <v>2.8135778544180957E-2</v>
      </c>
      <c r="H367" s="1">
        <f t="shared" si="55"/>
        <v>2.8935089338231318E-4</v>
      </c>
      <c r="I367">
        <f t="shared" si="56"/>
        <v>10</v>
      </c>
      <c r="J367">
        <f t="shared" si="57"/>
        <v>330</v>
      </c>
      <c r="K367" s="5">
        <f t="shared" si="58"/>
        <v>0</v>
      </c>
      <c r="L367">
        <f t="shared" si="59"/>
        <v>95</v>
      </c>
      <c r="M367">
        <f t="shared" si="60"/>
        <v>1</v>
      </c>
      <c r="N367">
        <f t="shared" si="61"/>
        <v>0</v>
      </c>
    </row>
    <row r="368" spans="4:14" x14ac:dyDescent="0.2">
      <c r="D368">
        <f t="shared" si="63"/>
        <v>345</v>
      </c>
      <c r="E368" s="1">
        <f t="shared" si="64"/>
        <v>-1.2454748400852751</v>
      </c>
      <c r="F368" s="1">
        <f t="shared" si="65"/>
        <v>-3.581184554615005</v>
      </c>
      <c r="G368" s="1">
        <f t="shared" si="62"/>
        <v>2.7842697517679076E-2</v>
      </c>
      <c r="H368" s="1">
        <f t="shared" si="55"/>
        <v>2.8633682157624745E-4</v>
      </c>
      <c r="I368">
        <f t="shared" si="56"/>
        <v>10</v>
      </c>
      <c r="J368">
        <f t="shared" si="57"/>
        <v>331</v>
      </c>
      <c r="K368" s="5">
        <f t="shared" si="58"/>
        <v>0</v>
      </c>
      <c r="L368">
        <f t="shared" si="59"/>
        <v>95</v>
      </c>
      <c r="M368">
        <f t="shared" si="60"/>
        <v>1</v>
      </c>
      <c r="N368">
        <f t="shared" si="61"/>
        <v>0</v>
      </c>
    </row>
    <row r="369" spans="4:14" x14ac:dyDescent="0.2">
      <c r="D369">
        <f t="shared" si="63"/>
        <v>346</v>
      </c>
      <c r="E369" s="1">
        <f t="shared" si="64"/>
        <v>-1.2559461399525704</v>
      </c>
      <c r="F369" s="1">
        <f t="shared" si="65"/>
        <v>-3.5916558544823003</v>
      </c>
      <c r="G369" s="1">
        <f t="shared" si="62"/>
        <v>2.7552669418536586E-2</v>
      </c>
      <c r="H369" s="1">
        <f t="shared" si="55"/>
        <v>2.8335414635149487E-4</v>
      </c>
      <c r="I369">
        <f t="shared" si="56"/>
        <v>10</v>
      </c>
      <c r="J369">
        <f t="shared" si="57"/>
        <v>332</v>
      </c>
      <c r="K369" s="5">
        <f t="shared" si="58"/>
        <v>0</v>
      </c>
      <c r="L369">
        <f t="shared" si="59"/>
        <v>95</v>
      </c>
      <c r="M369">
        <f t="shared" si="60"/>
        <v>1</v>
      </c>
      <c r="N369">
        <f t="shared" si="61"/>
        <v>0</v>
      </c>
    </row>
    <row r="370" spans="4:14" x14ac:dyDescent="0.2">
      <c r="D370">
        <f t="shared" si="63"/>
        <v>347</v>
      </c>
      <c r="E370" s="1">
        <f t="shared" si="64"/>
        <v>-1.2664174398198658</v>
      </c>
      <c r="F370" s="1">
        <f t="shared" si="65"/>
        <v>-3.6021271543495956</v>
      </c>
      <c r="G370" s="1">
        <f t="shared" si="62"/>
        <v>2.726566244542683E-2</v>
      </c>
      <c r="H370" s="1">
        <f t="shared" si="55"/>
        <v>2.8040254066033347E-4</v>
      </c>
      <c r="I370">
        <f t="shared" si="56"/>
        <v>10</v>
      </c>
      <c r="J370">
        <f t="shared" si="57"/>
        <v>333</v>
      </c>
      <c r="K370" s="5">
        <f t="shared" si="58"/>
        <v>0</v>
      </c>
      <c r="L370">
        <f t="shared" si="59"/>
        <v>95</v>
      </c>
      <c r="M370">
        <f t="shared" si="60"/>
        <v>1</v>
      </c>
      <c r="N370">
        <f t="shared" si="61"/>
        <v>0</v>
      </c>
    </row>
    <row r="371" spans="4:14" x14ac:dyDescent="0.2">
      <c r="D371">
        <f t="shared" si="63"/>
        <v>348</v>
      </c>
      <c r="E371" s="1">
        <f t="shared" si="64"/>
        <v>-1.2768887396871611</v>
      </c>
      <c r="F371" s="1">
        <f t="shared" si="65"/>
        <v>-3.612598454216891</v>
      </c>
      <c r="G371" s="1">
        <f t="shared" si="62"/>
        <v>2.698164512828697E-2</v>
      </c>
      <c r="H371" s="1">
        <f t="shared" si="55"/>
        <v>2.7748168086178833E-4</v>
      </c>
      <c r="I371">
        <f t="shared" si="56"/>
        <v>10</v>
      </c>
      <c r="J371">
        <f t="shared" si="57"/>
        <v>334</v>
      </c>
      <c r="K371" s="5">
        <f t="shared" si="58"/>
        <v>0</v>
      </c>
      <c r="L371">
        <f t="shared" si="59"/>
        <v>95</v>
      </c>
      <c r="M371">
        <f t="shared" si="60"/>
        <v>1</v>
      </c>
      <c r="N371">
        <f t="shared" si="61"/>
        <v>0</v>
      </c>
    </row>
    <row r="372" spans="4:14" x14ac:dyDescent="0.2">
      <c r="D372">
        <f t="shared" si="63"/>
        <v>349</v>
      </c>
      <c r="E372" s="1">
        <f t="shared" si="64"/>
        <v>-1.2873600395544564</v>
      </c>
      <c r="F372" s="1">
        <f t="shared" si="65"/>
        <v>-3.6230697540841863</v>
      </c>
      <c r="G372" s="1">
        <f t="shared" si="62"/>
        <v>2.6700586324867315E-2</v>
      </c>
      <c r="H372" s="1">
        <f t="shared" si="55"/>
        <v>2.7459124668614474E-4</v>
      </c>
      <c r="I372">
        <f t="shared" si="56"/>
        <v>10</v>
      </c>
      <c r="J372">
        <f t="shared" si="57"/>
        <v>335</v>
      </c>
      <c r="K372" s="5">
        <f t="shared" si="58"/>
        <v>0</v>
      </c>
      <c r="L372">
        <f t="shared" si="59"/>
        <v>95</v>
      </c>
      <c r="M372">
        <f t="shared" si="60"/>
        <v>1</v>
      </c>
      <c r="N372">
        <f t="shared" si="61"/>
        <v>0</v>
      </c>
    </row>
    <row r="373" spans="4:14" x14ac:dyDescent="0.2">
      <c r="D373">
        <f t="shared" si="63"/>
        <v>350</v>
      </c>
      <c r="E373" s="1">
        <f t="shared" si="64"/>
        <v>-1.2978313394217518</v>
      </c>
      <c r="F373" s="1">
        <f t="shared" si="65"/>
        <v>-3.6335410539514816</v>
      </c>
      <c r="G373" s="1">
        <f t="shared" si="62"/>
        <v>2.6422455217316617E-2</v>
      </c>
      <c r="H373" s="1">
        <f t="shared" si="55"/>
        <v>2.7173092119983075E-4</v>
      </c>
      <c r="I373">
        <f t="shared" si="56"/>
        <v>10</v>
      </c>
      <c r="J373">
        <f t="shared" si="57"/>
        <v>336</v>
      </c>
      <c r="K373" s="5">
        <f t="shared" si="58"/>
        <v>0</v>
      </c>
      <c r="L373">
        <f t="shared" si="59"/>
        <v>95</v>
      </c>
      <c r="M373">
        <f t="shared" si="60"/>
        <v>1</v>
      </c>
      <c r="N373">
        <f t="shared" si="61"/>
        <v>0</v>
      </c>
    </row>
    <row r="374" spans="4:14" x14ac:dyDescent="0.2">
      <c r="D374">
        <f t="shared" si="63"/>
        <v>351</v>
      </c>
      <c r="E374" s="1">
        <f t="shared" si="64"/>
        <v>-1.3083026392890471</v>
      </c>
      <c r="F374" s="1">
        <f t="shared" si="65"/>
        <v>-3.644012353818777</v>
      </c>
      <c r="G374" s="1">
        <f t="shared" si="62"/>
        <v>2.6147221308802905E-2</v>
      </c>
      <c r="H374" s="1">
        <f t="shared" si="55"/>
        <v>2.6890039077066591E-4</v>
      </c>
      <c r="I374">
        <f t="shared" si="56"/>
        <v>10</v>
      </c>
      <c r="J374">
        <f t="shared" si="57"/>
        <v>337</v>
      </c>
      <c r="K374" s="5">
        <f t="shared" si="58"/>
        <v>0</v>
      </c>
      <c r="L374">
        <f t="shared" si="59"/>
        <v>95</v>
      </c>
      <c r="M374">
        <f t="shared" si="60"/>
        <v>1</v>
      </c>
      <c r="N374">
        <f t="shared" si="61"/>
        <v>0</v>
      </c>
    </row>
    <row r="375" spans="4:14" x14ac:dyDescent="0.2">
      <c r="D375">
        <f t="shared" si="63"/>
        <v>352</v>
      </c>
      <c r="E375" s="1">
        <f t="shared" si="64"/>
        <v>-1.3187739391563424</v>
      </c>
      <c r="F375" s="1">
        <f t="shared" si="65"/>
        <v>-3.6544836536860723</v>
      </c>
      <c r="G375" s="1">
        <f t="shared" si="62"/>
        <v>2.5874854420169544E-2</v>
      </c>
      <c r="H375" s="1">
        <f t="shared" si="55"/>
        <v>2.6609934503347147E-4</v>
      </c>
      <c r="I375">
        <f t="shared" si="56"/>
        <v>10</v>
      </c>
      <c r="J375">
        <f t="shared" si="57"/>
        <v>338</v>
      </c>
      <c r="K375" s="5">
        <f t="shared" si="58"/>
        <v>0</v>
      </c>
      <c r="L375">
        <f t="shared" si="59"/>
        <v>95</v>
      </c>
      <c r="M375">
        <f t="shared" si="60"/>
        <v>1</v>
      </c>
      <c r="N375">
        <f t="shared" si="61"/>
        <v>0</v>
      </c>
    </row>
    <row r="376" spans="4:14" x14ac:dyDescent="0.2">
      <c r="D376">
        <f t="shared" si="63"/>
        <v>353</v>
      </c>
      <c r="E376" s="1">
        <f t="shared" si="64"/>
        <v>-1.3292452390236378</v>
      </c>
      <c r="F376" s="1">
        <f t="shared" si="65"/>
        <v>-3.6649549535533676</v>
      </c>
      <c r="G376" s="1">
        <f t="shared" si="62"/>
        <v>2.5605324686626112E-2</v>
      </c>
      <c r="H376" s="1">
        <f t="shared" si="55"/>
        <v>2.6332747685603951E-4</v>
      </c>
      <c r="I376">
        <f t="shared" si="56"/>
        <v>10</v>
      </c>
      <c r="J376">
        <f t="shared" si="57"/>
        <v>339</v>
      </c>
      <c r="K376" s="5">
        <f t="shared" si="58"/>
        <v>0</v>
      </c>
      <c r="L376">
        <f t="shared" si="59"/>
        <v>95</v>
      </c>
      <c r="M376">
        <f t="shared" si="60"/>
        <v>1</v>
      </c>
      <c r="N376">
        <f t="shared" si="61"/>
        <v>0</v>
      </c>
    </row>
    <row r="377" spans="4:14" x14ac:dyDescent="0.2">
      <c r="D377">
        <f t="shared" si="63"/>
        <v>354</v>
      </c>
      <c r="E377" s="1">
        <f t="shared" si="64"/>
        <v>-1.3397165388909331</v>
      </c>
      <c r="F377" s="1">
        <f t="shared" si="65"/>
        <v>-3.675426253420663</v>
      </c>
      <c r="G377" s="1">
        <f t="shared" si="62"/>
        <v>2.5338602554473757E-2</v>
      </c>
      <c r="H377" s="1">
        <f t="shared" si="55"/>
        <v>2.6058448230545573E-4</v>
      </c>
      <c r="I377">
        <f t="shared" si="56"/>
        <v>10</v>
      </c>
      <c r="J377">
        <f t="shared" si="57"/>
        <v>340</v>
      </c>
      <c r="K377" s="5">
        <f t="shared" si="58"/>
        <v>0</v>
      </c>
      <c r="L377">
        <f t="shared" si="59"/>
        <v>95</v>
      </c>
      <c r="M377">
        <f t="shared" si="60"/>
        <v>1</v>
      </c>
      <c r="N377">
        <f t="shared" si="61"/>
        <v>0</v>
      </c>
    </row>
    <row r="378" spans="4:14" x14ac:dyDescent="0.2">
      <c r="D378">
        <f t="shared" si="63"/>
        <v>355</v>
      </c>
      <c r="E378" s="1">
        <f t="shared" si="64"/>
        <v>-1.3501878387582285</v>
      </c>
      <c r="F378" s="1">
        <f t="shared" si="65"/>
        <v>-3.6858975532879583</v>
      </c>
      <c r="G378" s="1">
        <f t="shared" si="62"/>
        <v>2.5074658777864658E-2</v>
      </c>
      <c r="H378" s="1">
        <f t="shared" si="55"/>
        <v>2.5787006061477394E-4</v>
      </c>
      <c r="I378">
        <f t="shared" si="56"/>
        <v>10</v>
      </c>
      <c r="J378">
        <f t="shared" si="57"/>
        <v>341</v>
      </c>
      <c r="K378" s="5">
        <f t="shared" si="58"/>
        <v>0</v>
      </c>
      <c r="L378">
        <f t="shared" si="59"/>
        <v>95</v>
      </c>
      <c r="M378">
        <f t="shared" si="60"/>
        <v>1</v>
      </c>
      <c r="N378">
        <f t="shared" si="61"/>
        <v>0</v>
      </c>
    </row>
    <row r="379" spans="4:14" x14ac:dyDescent="0.2">
      <c r="D379">
        <f t="shared" si="63"/>
        <v>356</v>
      </c>
      <c r="E379" s="1">
        <f t="shared" si="64"/>
        <v>-1.3606591386255238</v>
      </c>
      <c r="F379" s="1">
        <f t="shared" si="65"/>
        <v>-3.6963688531552537</v>
      </c>
      <c r="G379" s="1">
        <f t="shared" si="62"/>
        <v>2.4813464415595236E-2</v>
      </c>
      <c r="H379" s="1">
        <f t="shared" si="55"/>
        <v>2.5518391415003673E-4</v>
      </c>
      <c r="I379">
        <f t="shared" si="56"/>
        <v>10</v>
      </c>
      <c r="J379">
        <f t="shared" si="57"/>
        <v>342</v>
      </c>
      <c r="K379" s="5">
        <f t="shared" si="58"/>
        <v>0</v>
      </c>
      <c r="L379">
        <f t="shared" si="59"/>
        <v>95</v>
      </c>
      <c r="M379">
        <f t="shared" si="60"/>
        <v>1</v>
      </c>
      <c r="N379">
        <f t="shared" si="61"/>
        <v>0</v>
      </c>
    </row>
    <row r="380" spans="4:14" x14ac:dyDescent="0.2">
      <c r="D380">
        <f t="shared" si="63"/>
        <v>357</v>
      </c>
      <c r="E380" s="1">
        <f t="shared" si="64"/>
        <v>-1.3711304384928191</v>
      </c>
      <c r="F380" s="1">
        <f t="shared" si="65"/>
        <v>-3.706840153022549</v>
      </c>
      <c r="G380" s="1">
        <f t="shared" si="62"/>
        <v>2.4554990827932787E-2</v>
      </c>
      <c r="H380" s="1">
        <f t="shared" si="55"/>
        <v>2.5252574837764054E-4</v>
      </c>
      <c r="I380">
        <f t="shared" si="56"/>
        <v>10</v>
      </c>
      <c r="J380">
        <f t="shared" si="57"/>
        <v>343</v>
      </c>
      <c r="K380" s="5">
        <f t="shared" si="58"/>
        <v>0</v>
      </c>
      <c r="L380">
        <f t="shared" si="59"/>
        <v>95</v>
      </c>
      <c r="M380">
        <f t="shared" si="60"/>
        <v>1</v>
      </c>
      <c r="N380">
        <f t="shared" si="61"/>
        <v>0</v>
      </c>
    </row>
    <row r="381" spans="4:14" x14ac:dyDescent="0.2">
      <c r="D381">
        <f t="shared" si="63"/>
        <v>358</v>
      </c>
      <c r="E381" s="1">
        <f t="shared" si="64"/>
        <v>-1.3816017383601145</v>
      </c>
      <c r="F381" s="1">
        <f t="shared" si="65"/>
        <v>-3.7173114528898443</v>
      </c>
      <c r="G381" s="1">
        <f t="shared" si="62"/>
        <v>2.4299209673475156E-2</v>
      </c>
      <c r="H381" s="1">
        <f t="shared" si="55"/>
        <v>2.4989527183204015E-4</v>
      </c>
      <c r="I381">
        <f t="shared" si="56"/>
        <v>10</v>
      </c>
      <c r="J381">
        <f t="shared" si="57"/>
        <v>344</v>
      </c>
      <c r="K381" s="5">
        <f t="shared" si="58"/>
        <v>0</v>
      </c>
      <c r="L381">
        <f t="shared" si="59"/>
        <v>95</v>
      </c>
      <c r="M381">
        <f t="shared" si="60"/>
        <v>1</v>
      </c>
      <c r="N381">
        <f t="shared" si="61"/>
        <v>0</v>
      </c>
    </row>
    <row r="382" spans="4:14" x14ac:dyDescent="0.2">
      <c r="D382">
        <f t="shared" si="63"/>
        <v>359</v>
      </c>
      <c r="E382" s="1">
        <f t="shared" si="64"/>
        <v>-1.3920730382274098</v>
      </c>
      <c r="F382" s="1">
        <f t="shared" si="65"/>
        <v>-3.7277827527571397</v>
      </c>
      <c r="G382" s="1">
        <f t="shared" si="62"/>
        <v>2.4046092906043124E-2</v>
      </c>
      <c r="H382" s="1">
        <f t="shared" si="55"/>
        <v>2.472921960837897E-4</v>
      </c>
      <c r="I382">
        <f t="shared" si="56"/>
        <v>10</v>
      </c>
      <c r="J382">
        <f t="shared" si="57"/>
        <v>345</v>
      </c>
      <c r="K382" s="5">
        <f t="shared" si="58"/>
        <v>0</v>
      </c>
      <c r="L382">
        <f t="shared" si="59"/>
        <v>95</v>
      </c>
      <c r="M382">
        <f t="shared" si="60"/>
        <v>1</v>
      </c>
      <c r="N382">
        <f t="shared" si="61"/>
        <v>0</v>
      </c>
    </row>
    <row r="383" spans="4:14" x14ac:dyDescent="0.2">
      <c r="D383">
        <f t="shared" si="63"/>
        <v>360</v>
      </c>
      <c r="E383" s="1">
        <f t="shared" si="64"/>
        <v>-1.4025443380947051</v>
      </c>
      <c r="F383" s="1">
        <f t="shared" si="65"/>
        <v>-3.738254052624435</v>
      </c>
      <c r="G383" s="1">
        <f t="shared" si="62"/>
        <v>2.3795612771605176E-2</v>
      </c>
      <c r="H383" s="1">
        <f t="shared" si="55"/>
        <v>2.4471623570791691E-4</v>
      </c>
      <c r="I383">
        <f t="shared" si="56"/>
        <v>10</v>
      </c>
      <c r="J383">
        <f t="shared" si="57"/>
        <v>346</v>
      </c>
      <c r="K383" s="5">
        <f t="shared" si="58"/>
        <v>0</v>
      </c>
      <c r="L383">
        <f t="shared" si="59"/>
        <v>95</v>
      </c>
      <c r="M383">
        <f t="shared" si="60"/>
        <v>1</v>
      </c>
      <c r="N383">
        <f t="shared" si="61"/>
        <v>0</v>
      </c>
    </row>
    <row r="384" spans="4:14" x14ac:dyDescent="0.2">
      <c r="D384">
        <f t="shared" si="63"/>
        <v>361</v>
      </c>
      <c r="E384" s="1">
        <f t="shared" si="64"/>
        <v>-1.4130156379620005</v>
      </c>
      <c r="F384" s="1">
        <f t="shared" si="65"/>
        <v>-3.7487253524917303</v>
      </c>
      <c r="G384" s="1">
        <f t="shared" si="62"/>
        <v>2.3547741805234293E-2</v>
      </c>
      <c r="H384" s="1">
        <f t="shared" si="55"/>
        <v>2.4216710825262616E-4</v>
      </c>
      <c r="I384">
        <f t="shared" si="56"/>
        <v>10</v>
      </c>
      <c r="J384">
        <f t="shared" si="57"/>
        <v>347</v>
      </c>
      <c r="K384" s="5">
        <f t="shared" si="58"/>
        <v>0</v>
      </c>
      <c r="L384">
        <f t="shared" si="59"/>
        <v>95</v>
      </c>
      <c r="M384">
        <f t="shared" si="60"/>
        <v>1</v>
      </c>
      <c r="N384">
        <f t="shared" si="61"/>
        <v>0</v>
      </c>
    </row>
    <row r="385" spans="4:14" x14ac:dyDescent="0.2">
      <c r="D385">
        <f t="shared" si="63"/>
        <v>362</v>
      </c>
      <c r="E385" s="1">
        <f t="shared" si="64"/>
        <v>-1.4234869378292958</v>
      </c>
      <c r="F385" s="1">
        <f t="shared" si="65"/>
        <v>-3.7591966523590257</v>
      </c>
      <c r="G385" s="1">
        <f t="shared" si="62"/>
        <v>2.3302452828096436E-2</v>
      </c>
      <c r="H385" s="1">
        <f t="shared" si="55"/>
        <v>2.3964453420832798E-4</v>
      </c>
      <c r="I385">
        <f t="shared" si="56"/>
        <v>10</v>
      </c>
      <c r="J385">
        <f t="shared" si="57"/>
        <v>348</v>
      </c>
      <c r="K385" s="5">
        <f t="shared" si="58"/>
        <v>0</v>
      </c>
      <c r="L385">
        <f t="shared" si="59"/>
        <v>95</v>
      </c>
      <c r="M385">
        <f t="shared" si="60"/>
        <v>1</v>
      </c>
      <c r="N385">
        <f t="shared" si="61"/>
        <v>0</v>
      </c>
    </row>
    <row r="386" spans="4:14" x14ac:dyDescent="0.2">
      <c r="D386">
        <f t="shared" si="63"/>
        <v>363</v>
      </c>
      <c r="E386" s="1">
        <f t="shared" si="64"/>
        <v>-1.4339582376965911</v>
      </c>
      <c r="F386" s="1">
        <f t="shared" si="65"/>
        <v>-3.769667952226321</v>
      </c>
      <c r="G386" s="1">
        <f t="shared" si="62"/>
        <v>2.3059718944470432E-2</v>
      </c>
      <c r="H386" s="1">
        <f t="shared" si="55"/>
        <v>2.3714823697699124E-4</v>
      </c>
      <c r="I386">
        <f t="shared" si="56"/>
        <v>10</v>
      </c>
      <c r="J386">
        <f t="shared" si="57"/>
        <v>349</v>
      </c>
      <c r="K386" s="5">
        <f t="shared" si="58"/>
        <v>0</v>
      </c>
      <c r="L386">
        <f t="shared" si="59"/>
        <v>95</v>
      </c>
      <c r="M386">
        <f t="shared" si="60"/>
        <v>1</v>
      </c>
      <c r="N386">
        <f t="shared" si="61"/>
        <v>0</v>
      </c>
    </row>
    <row r="387" spans="4:14" x14ac:dyDescent="0.2">
      <c r="D387">
        <f t="shared" si="63"/>
        <v>364</v>
      </c>
      <c r="E387" s="1">
        <f t="shared" si="64"/>
        <v>-1.4444295375638865</v>
      </c>
      <c r="F387" s="1">
        <f t="shared" si="65"/>
        <v>-3.7801392520936163</v>
      </c>
      <c r="G387" s="1">
        <f t="shared" si="62"/>
        <v>2.2819513538798866E-2</v>
      </c>
      <c r="H387" s="1">
        <f t="shared" si="55"/>
        <v>2.3467794284181426E-4</v>
      </c>
      <c r="I387">
        <f t="shared" si="56"/>
        <v>10</v>
      </c>
      <c r="J387">
        <f t="shared" si="57"/>
        <v>350</v>
      </c>
      <c r="K387" s="5">
        <f t="shared" si="58"/>
        <v>0</v>
      </c>
      <c r="L387">
        <f t="shared" si="59"/>
        <v>95</v>
      </c>
      <c r="M387">
        <f t="shared" si="60"/>
        <v>1</v>
      </c>
      <c r="N387">
        <f t="shared" si="61"/>
        <v>0</v>
      </c>
    </row>
    <row r="388" spans="4:14" x14ac:dyDescent="0.2">
      <c r="D388">
        <f t="shared" si="63"/>
        <v>365</v>
      </c>
      <c r="E388" s="1">
        <f t="shared" si="64"/>
        <v>-1.4549008374311818</v>
      </c>
      <c r="F388" s="1">
        <f t="shared" si="65"/>
        <v>-3.7906105519609117</v>
      </c>
      <c r="G388" s="1">
        <f t="shared" si="62"/>
        <v>2.2581810272769714E-2</v>
      </c>
      <c r="H388" s="1">
        <f t="shared" si="55"/>
        <v>2.3223338093721204E-4</v>
      </c>
      <c r="I388">
        <f t="shared" si="56"/>
        <v>10</v>
      </c>
      <c r="J388">
        <f t="shared" si="57"/>
        <v>351</v>
      </c>
      <c r="K388" s="5">
        <f t="shared" si="58"/>
        <v>0</v>
      </c>
      <c r="L388">
        <f t="shared" si="59"/>
        <v>95</v>
      </c>
      <c r="M388">
        <f t="shared" si="60"/>
        <v>1</v>
      </c>
      <c r="N388">
        <f t="shared" si="61"/>
        <v>0</v>
      </c>
    </row>
    <row r="389" spans="4:14" x14ac:dyDescent="0.2">
      <c r="D389">
        <f t="shared" si="63"/>
        <v>366</v>
      </c>
      <c r="E389" s="1">
        <f t="shared" si="64"/>
        <v>-1.4653721372984772</v>
      </c>
      <c r="F389" s="1">
        <f t="shared" si="65"/>
        <v>-3.801081851828207</v>
      </c>
      <c r="G389" s="1">
        <f t="shared" si="62"/>
        <v>2.2346583082428366E-2</v>
      </c>
      <c r="H389" s="1">
        <f t="shared" si="55"/>
        <v>2.2981428321911613E-4</v>
      </c>
      <c r="I389">
        <f t="shared" si="56"/>
        <v>10</v>
      </c>
      <c r="J389">
        <f t="shared" si="57"/>
        <v>352</v>
      </c>
      <c r="K389" s="5">
        <f t="shared" si="58"/>
        <v>0</v>
      </c>
      <c r="L389">
        <f t="shared" si="59"/>
        <v>95</v>
      </c>
      <c r="M389">
        <f t="shared" si="60"/>
        <v>1</v>
      </c>
      <c r="N389">
        <f t="shared" si="61"/>
        <v>0</v>
      </c>
    </row>
    <row r="390" spans="4:14" x14ac:dyDescent="0.2">
      <c r="D390">
        <f t="shared" si="63"/>
        <v>367</v>
      </c>
      <c r="E390" s="1">
        <f t="shared" si="64"/>
        <v>-1.4758434371657725</v>
      </c>
      <c r="F390" s="1">
        <f t="shared" si="65"/>
        <v>-3.8115531516955024</v>
      </c>
      <c r="G390" s="1">
        <f t="shared" si="62"/>
        <v>2.2113806175319738E-2</v>
      </c>
      <c r="H390" s="1">
        <f t="shared" si="55"/>
        <v>2.2742038443558367E-4</v>
      </c>
      <c r="I390">
        <f t="shared" si="56"/>
        <v>10</v>
      </c>
      <c r="J390">
        <f t="shared" si="57"/>
        <v>353</v>
      </c>
      <c r="K390" s="5">
        <f t="shared" si="58"/>
        <v>0</v>
      </c>
      <c r="L390">
        <f t="shared" si="59"/>
        <v>95</v>
      </c>
      <c r="M390">
        <f t="shared" si="60"/>
        <v>1</v>
      </c>
      <c r="N390">
        <f t="shared" si="61"/>
        <v>0</v>
      </c>
    </row>
    <row r="391" spans="4:14" x14ac:dyDescent="0.2">
      <c r="D391">
        <f t="shared" si="63"/>
        <v>368</v>
      </c>
      <c r="E391" s="1">
        <f t="shared" si="64"/>
        <v>-1.4863147370330678</v>
      </c>
      <c r="F391" s="1">
        <f t="shared" si="65"/>
        <v>-3.8220244515627977</v>
      </c>
      <c r="G391" s="1">
        <f t="shared" si="62"/>
        <v>2.1883454027660159E-2</v>
      </c>
      <c r="H391" s="1">
        <f t="shared" si="55"/>
        <v>2.2505142209771302E-4</v>
      </c>
      <c r="I391">
        <f t="shared" si="56"/>
        <v>10</v>
      </c>
      <c r="J391">
        <f t="shared" si="57"/>
        <v>354</v>
      </c>
      <c r="K391" s="5">
        <f t="shared" si="58"/>
        <v>0</v>
      </c>
      <c r="L391">
        <f t="shared" si="59"/>
        <v>95</v>
      </c>
      <c r="M391">
        <f t="shared" si="60"/>
        <v>1</v>
      </c>
      <c r="N391">
        <f t="shared" si="61"/>
        <v>0</v>
      </c>
    </row>
    <row r="392" spans="4:14" x14ac:dyDescent="0.2">
      <c r="D392">
        <f t="shared" si="63"/>
        <v>369</v>
      </c>
      <c r="E392" s="1">
        <f t="shared" si="64"/>
        <v>-1.4967860369003632</v>
      </c>
      <c r="F392" s="1">
        <f t="shared" si="65"/>
        <v>-3.832495751430093</v>
      </c>
      <c r="G392" s="1">
        <f t="shared" si="62"/>
        <v>2.1655501381538701E-2</v>
      </c>
      <c r="H392" s="1">
        <f t="shared" si="55"/>
        <v>2.2270713645086186E-4</v>
      </c>
      <c r="I392">
        <f t="shared" si="56"/>
        <v>10</v>
      </c>
      <c r="J392">
        <f t="shared" si="57"/>
        <v>355</v>
      </c>
      <c r="K392" s="5">
        <f t="shared" si="58"/>
        <v>0</v>
      </c>
      <c r="L392">
        <f t="shared" si="59"/>
        <v>95</v>
      </c>
      <c r="M392">
        <f t="shared" si="60"/>
        <v>1</v>
      </c>
      <c r="N392">
        <f t="shared" si="61"/>
        <v>0</v>
      </c>
    </row>
    <row r="393" spans="4:14" x14ac:dyDescent="0.2">
      <c r="D393">
        <f t="shared" si="63"/>
        <v>370</v>
      </c>
      <c r="E393" s="1">
        <f t="shared" si="64"/>
        <v>-1.5072573367676585</v>
      </c>
      <c r="F393" s="1">
        <f t="shared" si="65"/>
        <v>-3.8429670512973884</v>
      </c>
      <c r="G393" s="1">
        <f t="shared" si="62"/>
        <v>2.1429923242147673E-2</v>
      </c>
      <c r="H393" s="1">
        <f t="shared" si="55"/>
        <v>2.2038727044616541E-4</v>
      </c>
      <c r="I393">
        <f t="shared" si="56"/>
        <v>10</v>
      </c>
      <c r="J393">
        <f t="shared" si="57"/>
        <v>356</v>
      </c>
      <c r="K393" s="5">
        <f t="shared" si="58"/>
        <v>0</v>
      </c>
      <c r="L393">
        <f t="shared" si="59"/>
        <v>95</v>
      </c>
      <c r="M393">
        <f t="shared" si="60"/>
        <v>1</v>
      </c>
      <c r="N393">
        <f t="shared" si="61"/>
        <v>0</v>
      </c>
    </row>
    <row r="394" spans="4:14" x14ac:dyDescent="0.2">
      <c r="D394">
        <f t="shared" si="63"/>
        <v>371</v>
      </c>
      <c r="E394" s="1">
        <f t="shared" si="64"/>
        <v>-1.5177286366349538</v>
      </c>
      <c r="F394" s="1">
        <f t="shared" si="65"/>
        <v>-3.8534383511646837</v>
      </c>
      <c r="G394" s="1">
        <f t="shared" si="62"/>
        <v>2.1206694875041968E-2</v>
      </c>
      <c r="H394" s="1">
        <f t="shared" si="55"/>
        <v>2.1809156971235117E-4</v>
      </c>
      <c r="I394">
        <f t="shared" si="56"/>
        <v>10</v>
      </c>
      <c r="J394">
        <f t="shared" si="57"/>
        <v>357</v>
      </c>
      <c r="K394" s="5">
        <f t="shared" si="58"/>
        <v>0</v>
      </c>
      <c r="L394">
        <f t="shared" si="59"/>
        <v>95</v>
      </c>
      <c r="M394">
        <f t="shared" si="60"/>
        <v>1</v>
      </c>
      <c r="N394">
        <f t="shared" si="61"/>
        <v>0</v>
      </c>
    </row>
    <row r="395" spans="4:14" x14ac:dyDescent="0.2">
      <c r="D395">
        <f t="shared" si="63"/>
        <v>372</v>
      </c>
      <c r="E395" s="1">
        <f t="shared" si="64"/>
        <v>-1.5281999365022492</v>
      </c>
      <c r="F395" s="1">
        <f t="shared" si="65"/>
        <v>-3.863909651031979</v>
      </c>
      <c r="G395" s="1">
        <f t="shared" si="62"/>
        <v>2.098579180342695E-2</v>
      </c>
      <c r="H395" s="1">
        <f t="shared" si="55"/>
        <v>2.1581978252784755E-4</v>
      </c>
      <c r="I395">
        <f t="shared" si="56"/>
        <v>10</v>
      </c>
      <c r="J395">
        <f t="shared" si="57"/>
        <v>358</v>
      </c>
      <c r="K395" s="5">
        <f t="shared" si="58"/>
        <v>0</v>
      </c>
      <c r="L395">
        <f t="shared" si="59"/>
        <v>95</v>
      </c>
      <c r="M395">
        <f t="shared" si="60"/>
        <v>1</v>
      </c>
      <c r="N395">
        <f t="shared" si="61"/>
        <v>0</v>
      </c>
    </row>
    <row r="396" spans="4:14" x14ac:dyDescent="0.2">
      <c r="D396">
        <f t="shared" si="63"/>
        <v>373</v>
      </c>
      <c r="E396" s="1">
        <f t="shared" si="64"/>
        <v>-1.5386712363695445</v>
      </c>
      <c r="F396" s="1">
        <f t="shared" si="65"/>
        <v>-3.8743809508992744</v>
      </c>
      <c r="G396" s="1">
        <f t="shared" si="62"/>
        <v>2.0767189805474588E-2</v>
      </c>
      <c r="H396" s="1">
        <f t="shared" si="55"/>
        <v>2.1357165979318248E-4</v>
      </c>
      <c r="I396">
        <f t="shared" si="56"/>
        <v>10</v>
      </c>
      <c r="J396">
        <f t="shared" si="57"/>
        <v>359</v>
      </c>
      <c r="K396" s="5">
        <f t="shared" si="58"/>
        <v>0</v>
      </c>
      <c r="L396">
        <f t="shared" si="59"/>
        <v>95</v>
      </c>
      <c r="M396">
        <f t="shared" si="60"/>
        <v>1</v>
      </c>
      <c r="N396">
        <f t="shared" si="61"/>
        <v>0</v>
      </c>
    </row>
    <row r="397" spans="4:14" x14ac:dyDescent="0.2">
      <c r="D397">
        <f t="shared" si="63"/>
        <v>374</v>
      </c>
      <c r="E397" s="1">
        <f t="shared" si="64"/>
        <v>-1.5491425362368398</v>
      </c>
      <c r="F397" s="1">
        <f t="shared" si="65"/>
        <v>-3.8848522507665697</v>
      </c>
      <c r="G397" s="1">
        <f t="shared" si="62"/>
        <v>2.0550864911667563E-2</v>
      </c>
      <c r="H397" s="1">
        <f t="shared" si="55"/>
        <v>2.1134695500367017E-4</v>
      </c>
      <c r="I397">
        <f t="shared" si="56"/>
        <v>10</v>
      </c>
      <c r="J397">
        <f t="shared" si="57"/>
        <v>360</v>
      </c>
      <c r="K397" s="5">
        <f t="shared" si="58"/>
        <v>0</v>
      </c>
      <c r="L397">
        <f t="shared" si="59"/>
        <v>95</v>
      </c>
      <c r="M397">
        <f t="shared" si="60"/>
        <v>1</v>
      </c>
      <c r="N397">
        <f t="shared" si="61"/>
        <v>0</v>
      </c>
    </row>
    <row r="398" spans="4:14" x14ac:dyDescent="0.2">
      <c r="D398">
        <f t="shared" si="63"/>
        <v>375</v>
      </c>
      <c r="E398" s="1">
        <f t="shared" si="64"/>
        <v>-1.5596138361041352</v>
      </c>
      <c r="F398" s="1">
        <f t="shared" si="65"/>
        <v>-3.895323550633865</v>
      </c>
      <c r="G398" s="1">
        <f t="shared" si="62"/>
        <v>2.0336793402171028E-2</v>
      </c>
      <c r="H398" s="1">
        <f t="shared" si="55"/>
        <v>2.0914542422238199E-4</v>
      </c>
      <c r="I398">
        <f t="shared" si="56"/>
        <v>10</v>
      </c>
      <c r="J398">
        <f t="shared" si="57"/>
        <v>361</v>
      </c>
      <c r="K398" s="5">
        <f t="shared" si="58"/>
        <v>0</v>
      </c>
      <c r="L398">
        <f t="shared" si="59"/>
        <v>95</v>
      </c>
      <c r="M398">
        <f t="shared" si="60"/>
        <v>1</v>
      </c>
      <c r="N398">
        <f t="shared" si="61"/>
        <v>0</v>
      </c>
    </row>
    <row r="399" spans="4:14" x14ac:dyDescent="0.2">
      <c r="D399">
        <f t="shared" si="63"/>
        <v>376</v>
      </c>
      <c r="E399" s="1">
        <f t="shared" si="64"/>
        <v>-1.5700851359714305</v>
      </c>
      <c r="F399" s="1">
        <f t="shared" si="65"/>
        <v>-3.9057948505011604</v>
      </c>
      <c r="G399" s="1">
        <f t="shared" si="62"/>
        <v>2.0124951804231746E-2</v>
      </c>
      <c r="H399" s="1">
        <f t="shared" si="55"/>
        <v>2.0696682605339883E-4</v>
      </c>
      <c r="I399">
        <f t="shared" si="56"/>
        <v>10</v>
      </c>
      <c r="J399">
        <f t="shared" si="57"/>
        <v>362</v>
      </c>
      <c r="K399" s="5">
        <f t="shared" si="58"/>
        <v>0</v>
      </c>
      <c r="L399">
        <f t="shared" si="59"/>
        <v>95</v>
      </c>
      <c r="M399">
        <f t="shared" si="60"/>
        <v>1</v>
      </c>
      <c r="N399">
        <f t="shared" si="61"/>
        <v>0</v>
      </c>
    </row>
    <row r="400" spans="4:14" x14ac:dyDescent="0.2">
      <c r="D400">
        <f t="shared" si="63"/>
        <v>377</v>
      </c>
      <c r="E400" s="1">
        <f t="shared" si="64"/>
        <v>-1.5805564358387258</v>
      </c>
      <c r="F400" s="1">
        <f t="shared" si="65"/>
        <v>-3.9162661503684557</v>
      </c>
      <c r="G400" s="1">
        <f t="shared" si="62"/>
        <v>1.9915316889604334E-2</v>
      </c>
      <c r="H400" s="1">
        <f t="shared" si="55"/>
        <v>2.0481092161534259E-4</v>
      </c>
      <c r="I400">
        <f t="shared" si="56"/>
        <v>10</v>
      </c>
      <c r="J400">
        <f t="shared" si="57"/>
        <v>363</v>
      </c>
      <c r="K400" s="5">
        <f t="shared" si="58"/>
        <v>0</v>
      </c>
      <c r="L400">
        <f t="shared" si="59"/>
        <v>95</v>
      </c>
      <c r="M400">
        <f t="shared" si="60"/>
        <v>1</v>
      </c>
      <c r="N400">
        <f t="shared" si="61"/>
        <v>0</v>
      </c>
    </row>
    <row r="401" spans="4:14" x14ac:dyDescent="0.2">
      <c r="D401">
        <f t="shared" si="63"/>
        <v>378</v>
      </c>
      <c r="E401" s="1">
        <f t="shared" si="64"/>
        <v>-1.5910277357060212</v>
      </c>
      <c r="F401" s="1">
        <f t="shared" si="65"/>
        <v>-3.926737450235751</v>
      </c>
      <c r="G401" s="1">
        <f t="shared" si="62"/>
        <v>1.9707865672004291E-2</v>
      </c>
      <c r="H401" s="1">
        <f t="shared" si="55"/>
        <v>2.026774745151828E-4</v>
      </c>
      <c r="I401">
        <f t="shared" si="56"/>
        <v>10</v>
      </c>
      <c r="J401">
        <f t="shared" si="57"/>
        <v>364</v>
      </c>
      <c r="K401" s="5">
        <f t="shared" si="58"/>
        <v>0</v>
      </c>
      <c r="L401">
        <f t="shared" si="59"/>
        <v>95</v>
      </c>
      <c r="M401">
        <f t="shared" si="60"/>
        <v>1</v>
      </c>
      <c r="N401">
        <f t="shared" si="61"/>
        <v>0</v>
      </c>
    </row>
    <row r="402" spans="4:14" x14ac:dyDescent="0.2">
      <c r="D402">
        <f t="shared" si="63"/>
        <v>379</v>
      </c>
      <c r="E402" s="1">
        <f t="shared" si="64"/>
        <v>-1.6014990355733165</v>
      </c>
      <c r="F402" s="1">
        <f t="shared" si="65"/>
        <v>-3.9372087501030464</v>
      </c>
      <c r="G402" s="1">
        <f t="shared" si="62"/>
        <v>1.950257540458758E-2</v>
      </c>
      <c r="H402" s="1">
        <f t="shared" si="55"/>
        <v>2.0056625082231632E-4</v>
      </c>
      <c r="I402">
        <f t="shared" si="56"/>
        <v>10</v>
      </c>
      <c r="J402">
        <f t="shared" si="57"/>
        <v>365</v>
      </c>
      <c r="K402" s="5">
        <f t="shared" si="58"/>
        <v>0</v>
      </c>
      <c r="L402">
        <f t="shared" si="59"/>
        <v>95</v>
      </c>
      <c r="M402">
        <f t="shared" si="60"/>
        <v>1</v>
      </c>
      <c r="N402">
        <f t="shared" si="61"/>
        <v>0</v>
      </c>
    </row>
    <row r="403" spans="4:14" x14ac:dyDescent="0.2">
      <c r="D403">
        <f t="shared" si="63"/>
        <v>380</v>
      </c>
      <c r="E403" s="1">
        <f t="shared" si="64"/>
        <v>-1.6119703354406119</v>
      </c>
      <c r="F403" s="1">
        <f t="shared" si="65"/>
        <v>-3.9476800499703417</v>
      </c>
      <c r="G403" s="1">
        <f t="shared" si="62"/>
        <v>1.9299423577456461E-2</v>
      </c>
      <c r="H403" s="1">
        <f t="shared" si="55"/>
        <v>1.9847701904291722E-4</v>
      </c>
      <c r="I403">
        <f t="shared" si="56"/>
        <v>10</v>
      </c>
      <c r="J403">
        <f t="shared" si="57"/>
        <v>366</v>
      </c>
      <c r="K403" s="5">
        <f t="shared" si="58"/>
        <v>0</v>
      </c>
      <c r="L403">
        <f t="shared" si="59"/>
        <v>95</v>
      </c>
      <c r="M403">
        <f t="shared" si="60"/>
        <v>1</v>
      </c>
      <c r="N403">
        <f t="shared" si="61"/>
        <v>0</v>
      </c>
    </row>
    <row r="404" spans="4:14" x14ac:dyDescent="0.2">
      <c r="D404">
        <f t="shared" si="63"/>
        <v>381</v>
      </c>
      <c r="E404" s="1">
        <f t="shared" si="64"/>
        <v>-1.6224416353079072</v>
      </c>
      <c r="F404" s="1">
        <f t="shared" si="65"/>
        <v>-3.9581513498376371</v>
      </c>
      <c r="G404" s="1">
        <f t="shared" si="62"/>
        <v>1.9098387915191289E-2</v>
      </c>
      <c r="H404" s="1">
        <f t="shared" si="55"/>
        <v>1.964095500945535E-4</v>
      </c>
      <c r="I404">
        <f t="shared" si="56"/>
        <v>10</v>
      </c>
      <c r="J404">
        <f t="shared" si="57"/>
        <v>367</v>
      </c>
      <c r="K404" s="5">
        <f t="shared" si="58"/>
        <v>0</v>
      </c>
      <c r="L404">
        <f t="shared" si="59"/>
        <v>95</v>
      </c>
      <c r="M404">
        <f t="shared" si="60"/>
        <v>1</v>
      </c>
      <c r="N404">
        <f t="shared" si="61"/>
        <v>0</v>
      </c>
    </row>
    <row r="405" spans="4:14" x14ac:dyDescent="0.2">
      <c r="D405">
        <f t="shared" si="63"/>
        <v>382</v>
      </c>
      <c r="E405" s="1">
        <f t="shared" si="64"/>
        <v>-1.6329129351752025</v>
      </c>
      <c r="F405" s="1">
        <f t="shared" si="65"/>
        <v>-3.9686226497049324</v>
      </c>
      <c r="G405" s="1">
        <f t="shared" si="62"/>
        <v>1.889944637440805E-2</v>
      </c>
      <c r="H405" s="1">
        <f t="shared" si="55"/>
        <v>1.943636172810686E-4</v>
      </c>
      <c r="I405">
        <f t="shared" si="56"/>
        <v>10</v>
      </c>
      <c r="J405">
        <f t="shared" si="57"/>
        <v>368</v>
      </c>
      <c r="K405" s="5">
        <f t="shared" si="58"/>
        <v>0</v>
      </c>
      <c r="L405">
        <f t="shared" si="59"/>
        <v>95</v>
      </c>
      <c r="M405">
        <f t="shared" si="60"/>
        <v>1</v>
      </c>
      <c r="N405">
        <f t="shared" si="61"/>
        <v>0</v>
      </c>
    </row>
    <row r="406" spans="4:14" x14ac:dyDescent="0.2">
      <c r="D406">
        <f t="shared" si="63"/>
        <v>383</v>
      </c>
      <c r="E406" s="1">
        <f t="shared" si="64"/>
        <v>-1.6433842350424979</v>
      </c>
      <c r="F406" s="1">
        <f t="shared" si="65"/>
        <v>-3.9790939495722277</v>
      </c>
      <c r="G406" s="1">
        <f t="shared" si="62"/>
        <v>1.8702577141341301E-2</v>
      </c>
      <c r="H406" s="1">
        <f t="shared" si="55"/>
        <v>1.9233899626772415E-4</v>
      </c>
      <c r="I406">
        <f t="shared" si="56"/>
        <v>10</v>
      </c>
      <c r="J406">
        <f t="shared" si="57"/>
        <v>369</v>
      </c>
      <c r="K406" s="5">
        <f t="shared" si="58"/>
        <v>0</v>
      </c>
      <c r="L406">
        <f t="shared" si="59"/>
        <v>95</v>
      </c>
      <c r="M406">
        <f t="shared" si="60"/>
        <v>1</v>
      </c>
      <c r="N406">
        <f t="shared" si="61"/>
        <v>0</v>
      </c>
    </row>
    <row r="407" spans="4:14" x14ac:dyDescent="0.2">
      <c r="D407">
        <f t="shared" si="63"/>
        <v>384</v>
      </c>
      <c r="E407" s="1">
        <f t="shared" si="64"/>
        <v>-1.6538555349097932</v>
      </c>
      <c r="F407" s="1">
        <f t="shared" si="65"/>
        <v>-3.9895652494395231</v>
      </c>
      <c r="G407" s="1">
        <f t="shared" si="62"/>
        <v>1.850775862945233E-2</v>
      </c>
      <c r="H407" s="1">
        <f t="shared" ref="H407:H470" si="66">G407/$G$21</f>
        <v>1.9033546505660203E-4</v>
      </c>
      <c r="I407">
        <f t="shared" ref="I407:I470" si="67">IF($F$11&lt;=D407, IF(D407&lt;=$A$15,D407-$F$11,$C$11),0)</f>
        <v>10</v>
      </c>
      <c r="J407">
        <f t="shared" ref="J407:J470" si="68">IF(D407&lt;=$A$15,0,D407-$A$15)</f>
        <v>370</v>
      </c>
      <c r="K407" s="5">
        <f t="shared" ref="K407:K470" si="69">IF(D407&lt;$F$11,H407,0)</f>
        <v>0</v>
      </c>
      <c r="L407">
        <f t="shared" ref="L407:L470" si="70">IF(D407&lt;$A$15,$D$11,$D$11*(1-$H$11))</f>
        <v>95</v>
      </c>
      <c r="M407">
        <f t="shared" ref="M407:M470" si="71">IF(D407&lt;$A$15,0,1)</f>
        <v>1</v>
      </c>
      <c r="N407">
        <f t="shared" ref="N407:N470" si="72">IF(SUM(I407:J407)&lt;=($G$11/60*$F$11/($E$11/60)),1,0)</f>
        <v>0</v>
      </c>
    </row>
    <row r="408" spans="4:14" x14ac:dyDescent="0.2">
      <c r="D408">
        <f t="shared" si="63"/>
        <v>385</v>
      </c>
      <c r="E408" s="1">
        <f t="shared" si="64"/>
        <v>-1.6643268347770885</v>
      </c>
      <c r="F408" s="1">
        <f t="shared" si="65"/>
        <v>-4.0000365493068184</v>
      </c>
      <c r="G408" s="1">
        <f t="shared" ref="G408:G471" si="73">EXP(F408)</f>
        <v>1.8314969477062203E-2</v>
      </c>
      <c r="H408" s="1">
        <f t="shared" si="66"/>
        <v>1.8835280396226243E-4</v>
      </c>
      <c r="I408">
        <f t="shared" si="67"/>
        <v>10</v>
      </c>
      <c r="J408">
        <f t="shared" si="68"/>
        <v>371</v>
      </c>
      <c r="K408" s="5">
        <f t="shared" si="69"/>
        <v>0</v>
      </c>
      <c r="L408">
        <f t="shared" si="70"/>
        <v>95</v>
      </c>
      <c r="M408">
        <f t="shared" si="71"/>
        <v>1</v>
      </c>
      <c r="N408">
        <f t="shared" si="72"/>
        <v>0</v>
      </c>
    </row>
    <row r="409" spans="4:14" x14ac:dyDescent="0.2">
      <c r="D409">
        <f t="shared" ref="D409:D472" si="74">1+D408</f>
        <v>386</v>
      </c>
      <c r="E409" s="1">
        <f t="shared" ref="E409:E472" si="75">IF($H$11=1,IF(D409&lt;=$A$15, E408+LN($D$11)-LN(60/$E$11)-LN(MIN(D409,$F$11)), E408-LN(60/$E$11)-LN(MIN(D409,$F$11))), IF(D409&lt;=$A$15, E408+LN($D$11)-LN(60/$E$11)-LN(MIN(D409,$F$11)), E408+LN($D$11)+LN(1-$H$11)-LN(60/$E$11)-LN(MIN(D409,$F$11))))</f>
        <v>-1.6747981346443839</v>
      </c>
      <c r="F409" s="1">
        <f t="shared" ref="F409:F472" si="76">E409-$E$21</f>
        <v>-4.0105078491741137</v>
      </c>
      <c r="G409" s="1">
        <f t="shared" si="73"/>
        <v>1.8124188545009471E-2</v>
      </c>
      <c r="H409" s="1">
        <f t="shared" si="66"/>
        <v>1.8639079558765553E-4</v>
      </c>
      <c r="I409">
        <f t="shared" si="67"/>
        <v>10</v>
      </c>
      <c r="J409">
        <f t="shared" si="68"/>
        <v>372</v>
      </c>
      <c r="K409" s="5">
        <f t="shared" si="69"/>
        <v>0</v>
      </c>
      <c r="L409">
        <f t="shared" si="70"/>
        <v>95</v>
      </c>
      <c r="M409">
        <f t="shared" si="71"/>
        <v>1</v>
      </c>
      <c r="N409">
        <f t="shared" si="72"/>
        <v>0</v>
      </c>
    </row>
    <row r="410" spans="4:14" x14ac:dyDescent="0.2">
      <c r="D410">
        <f t="shared" si="74"/>
        <v>387</v>
      </c>
      <c r="E410" s="1">
        <f t="shared" si="75"/>
        <v>-1.6852694345116792</v>
      </c>
      <c r="F410" s="1">
        <f t="shared" si="76"/>
        <v>-4.0209791490414091</v>
      </c>
      <c r="G410" s="1">
        <f t="shared" si="73"/>
        <v>1.7935394914332291E-2</v>
      </c>
      <c r="H410" s="1">
        <f t="shared" si="66"/>
        <v>1.8444922480028415E-4</v>
      </c>
      <c r="I410">
        <f t="shared" si="67"/>
        <v>10</v>
      </c>
      <c r="J410">
        <f t="shared" si="68"/>
        <v>373</v>
      </c>
      <c r="K410" s="5">
        <f t="shared" si="69"/>
        <v>0</v>
      </c>
      <c r="L410">
        <f t="shared" si="70"/>
        <v>95</v>
      </c>
      <c r="M410">
        <f t="shared" si="71"/>
        <v>1</v>
      </c>
      <c r="N410">
        <f t="shared" si="72"/>
        <v>0</v>
      </c>
    </row>
    <row r="411" spans="4:14" x14ac:dyDescent="0.2">
      <c r="D411">
        <f t="shared" si="74"/>
        <v>388</v>
      </c>
      <c r="E411" s="1">
        <f t="shared" si="75"/>
        <v>-1.6957407343789745</v>
      </c>
      <c r="F411" s="1">
        <f t="shared" si="76"/>
        <v>-4.0314504489087044</v>
      </c>
      <c r="G411" s="1">
        <f t="shared" si="73"/>
        <v>1.7748567883974664E-2</v>
      </c>
      <c r="H411" s="1">
        <f t="shared" si="66"/>
        <v>1.8252787870861453E-4</v>
      </c>
      <c r="I411">
        <f t="shared" si="67"/>
        <v>10</v>
      </c>
      <c r="J411">
        <f t="shared" si="68"/>
        <v>374</v>
      </c>
      <c r="K411" s="5">
        <f t="shared" si="69"/>
        <v>0</v>
      </c>
      <c r="L411">
        <f t="shared" si="70"/>
        <v>95</v>
      </c>
      <c r="M411">
        <f t="shared" si="71"/>
        <v>1</v>
      </c>
      <c r="N411">
        <f t="shared" si="72"/>
        <v>0</v>
      </c>
    </row>
    <row r="412" spans="4:14" x14ac:dyDescent="0.2">
      <c r="D412">
        <f t="shared" si="74"/>
        <v>389</v>
      </c>
      <c r="E412" s="1">
        <f t="shared" si="75"/>
        <v>-1.7062120342462699</v>
      </c>
      <c r="F412" s="1">
        <f t="shared" si="76"/>
        <v>-4.0419217487759997</v>
      </c>
      <c r="G412" s="1">
        <f t="shared" si="73"/>
        <v>1.7563686968516595E-2</v>
      </c>
      <c r="H412" s="1">
        <f t="shared" si="66"/>
        <v>1.8062654663873314E-4</v>
      </c>
      <c r="I412">
        <f t="shared" si="67"/>
        <v>10</v>
      </c>
      <c r="J412">
        <f t="shared" si="68"/>
        <v>375</v>
      </c>
      <c r="K412" s="5">
        <f t="shared" si="69"/>
        <v>0</v>
      </c>
      <c r="L412">
        <f t="shared" si="70"/>
        <v>95</v>
      </c>
      <c r="M412">
        <f t="shared" si="71"/>
        <v>1</v>
      </c>
      <c r="N412">
        <f t="shared" si="72"/>
        <v>0</v>
      </c>
    </row>
    <row r="413" spans="4:14" x14ac:dyDescent="0.2">
      <c r="D413">
        <f t="shared" si="74"/>
        <v>390</v>
      </c>
      <c r="E413" s="1">
        <f t="shared" si="75"/>
        <v>-1.7166833341135652</v>
      </c>
      <c r="F413" s="1">
        <f t="shared" si="76"/>
        <v>-4.0523930486432951</v>
      </c>
      <c r="G413" s="1">
        <f t="shared" si="73"/>
        <v>1.7380731895927884E-2</v>
      </c>
      <c r="H413" s="1">
        <f t="shared" si="66"/>
        <v>1.7874502011124636E-4</v>
      </c>
      <c r="I413">
        <f t="shared" si="67"/>
        <v>10</v>
      </c>
      <c r="J413">
        <f t="shared" si="68"/>
        <v>376</v>
      </c>
      <c r="K413" s="5">
        <f t="shared" si="69"/>
        <v>0</v>
      </c>
      <c r="L413">
        <f t="shared" si="70"/>
        <v>95</v>
      </c>
      <c r="M413">
        <f t="shared" si="71"/>
        <v>1</v>
      </c>
      <c r="N413">
        <f t="shared" si="72"/>
        <v>0</v>
      </c>
    </row>
    <row r="414" spans="4:14" x14ac:dyDescent="0.2">
      <c r="D414">
        <f t="shared" si="74"/>
        <v>391</v>
      </c>
      <c r="E414" s="1">
        <f t="shared" si="75"/>
        <v>-1.7271546339808606</v>
      </c>
      <c r="F414" s="1">
        <f t="shared" si="76"/>
        <v>-4.0628643485105904</v>
      </c>
      <c r="G414" s="1">
        <f t="shared" si="73"/>
        <v>1.7199682605345303E-2</v>
      </c>
      <c r="H414" s="1">
        <f t="shared" si="66"/>
        <v>1.7688309281842088E-4</v>
      </c>
      <c r="I414">
        <f t="shared" si="67"/>
        <v>10</v>
      </c>
      <c r="J414">
        <f t="shared" si="68"/>
        <v>377</v>
      </c>
      <c r="K414" s="5">
        <f t="shared" si="69"/>
        <v>0</v>
      </c>
      <c r="L414">
        <f t="shared" si="70"/>
        <v>95</v>
      </c>
      <c r="M414">
        <f t="shared" si="71"/>
        <v>1</v>
      </c>
      <c r="N414">
        <f t="shared" si="72"/>
        <v>0</v>
      </c>
    </row>
    <row r="415" spans="4:14" x14ac:dyDescent="0.2">
      <c r="D415">
        <f t="shared" si="74"/>
        <v>392</v>
      </c>
      <c r="E415" s="1">
        <f t="shared" si="75"/>
        <v>-1.7376259338481559</v>
      </c>
      <c r="F415" s="1">
        <f t="shared" si="76"/>
        <v>-4.0733356483778858</v>
      </c>
      <c r="G415" s="1">
        <f t="shared" si="73"/>
        <v>1.7020519244872957E-2</v>
      </c>
      <c r="H415" s="1">
        <f t="shared" si="66"/>
        <v>1.7504056060156236E-4</v>
      </c>
      <c r="I415">
        <f t="shared" si="67"/>
        <v>10</v>
      </c>
      <c r="J415">
        <f t="shared" si="68"/>
        <v>378</v>
      </c>
      <c r="K415" s="5">
        <f t="shared" si="69"/>
        <v>0</v>
      </c>
      <c r="L415">
        <f t="shared" si="70"/>
        <v>95</v>
      </c>
      <c r="M415">
        <f t="shared" si="71"/>
        <v>1</v>
      </c>
      <c r="N415">
        <f t="shared" si="72"/>
        <v>0</v>
      </c>
    </row>
    <row r="416" spans="4:14" x14ac:dyDescent="0.2">
      <c r="D416">
        <f t="shared" si="74"/>
        <v>393</v>
      </c>
      <c r="E416" s="1">
        <f t="shared" si="75"/>
        <v>-1.7480972337154512</v>
      </c>
      <c r="F416" s="1">
        <f t="shared" si="76"/>
        <v>-4.0838069482451811</v>
      </c>
      <c r="G416" s="1">
        <f t="shared" si="73"/>
        <v>1.6843222169405529E-2</v>
      </c>
      <c r="H416" s="1">
        <f t="shared" si="66"/>
        <v>1.732172214286294E-4</v>
      </c>
      <c r="I416">
        <f t="shared" si="67"/>
        <v>10</v>
      </c>
      <c r="J416">
        <f t="shared" si="68"/>
        <v>379</v>
      </c>
      <c r="K416" s="5">
        <f t="shared" si="69"/>
        <v>0</v>
      </c>
      <c r="L416">
        <f t="shared" si="70"/>
        <v>95</v>
      </c>
      <c r="M416">
        <f t="shared" si="71"/>
        <v>1</v>
      </c>
      <c r="N416">
        <f t="shared" si="72"/>
        <v>0</v>
      </c>
    </row>
    <row r="417" spans="4:14" x14ac:dyDescent="0.2">
      <c r="D417">
        <f t="shared" si="74"/>
        <v>394</v>
      </c>
      <c r="E417" s="1">
        <f t="shared" si="75"/>
        <v>-1.7585685335827466</v>
      </c>
      <c r="F417" s="1">
        <f t="shared" si="76"/>
        <v>-4.0942782481124764</v>
      </c>
      <c r="G417" s="1">
        <f t="shared" si="73"/>
        <v>1.6667771938474223E-2</v>
      </c>
      <c r="H417" s="1">
        <f t="shared" si="66"/>
        <v>1.7141287537208118E-4</v>
      </c>
      <c r="I417">
        <f t="shared" si="67"/>
        <v>10</v>
      </c>
      <c r="J417">
        <f t="shared" si="68"/>
        <v>380</v>
      </c>
      <c r="K417" s="5">
        <f t="shared" si="69"/>
        <v>0</v>
      </c>
      <c r="L417">
        <f t="shared" si="70"/>
        <v>95</v>
      </c>
      <c r="M417">
        <f t="shared" si="71"/>
        <v>1</v>
      </c>
      <c r="N417">
        <f t="shared" si="72"/>
        <v>0</v>
      </c>
    </row>
    <row r="418" spans="4:14" x14ac:dyDescent="0.2">
      <c r="D418">
        <f t="shared" si="74"/>
        <v>395</v>
      </c>
      <c r="E418" s="1">
        <f t="shared" si="75"/>
        <v>-1.7690398334500419</v>
      </c>
      <c r="F418" s="1">
        <f t="shared" si="76"/>
        <v>-4.1047495479797718</v>
      </c>
      <c r="G418" s="1">
        <f t="shared" si="73"/>
        <v>1.6494149314115119E-2</v>
      </c>
      <c r="H418" s="1">
        <f t="shared" si="66"/>
        <v>1.6962732458695537E-4</v>
      </c>
      <c r="I418">
        <f t="shared" si="67"/>
        <v>10</v>
      </c>
      <c r="J418">
        <f t="shared" si="68"/>
        <v>381</v>
      </c>
      <c r="K418" s="5">
        <f t="shared" si="69"/>
        <v>0</v>
      </c>
      <c r="L418">
        <f t="shared" si="70"/>
        <v>95</v>
      </c>
      <c r="M418">
        <f t="shared" si="71"/>
        <v>1</v>
      </c>
      <c r="N418">
        <f t="shared" si="72"/>
        <v>0</v>
      </c>
    </row>
    <row r="419" spans="4:14" x14ac:dyDescent="0.2">
      <c r="D419">
        <f t="shared" si="74"/>
        <v>396</v>
      </c>
      <c r="E419" s="1">
        <f t="shared" si="75"/>
        <v>-1.7795111333173372</v>
      </c>
      <c r="F419" s="1">
        <f t="shared" si="76"/>
        <v>-4.1152208478470671</v>
      </c>
      <c r="G419" s="1">
        <f t="shared" si="73"/>
        <v>1.6322335258759754E-2</v>
      </c>
      <c r="H419" s="1">
        <f t="shared" si="66"/>
        <v>1.6786037328917459E-4</v>
      </c>
      <c r="I419">
        <f t="shared" si="67"/>
        <v>10</v>
      </c>
      <c r="J419">
        <f t="shared" si="68"/>
        <v>382</v>
      </c>
      <c r="K419" s="5">
        <f t="shared" si="69"/>
        <v>0</v>
      </c>
      <c r="L419">
        <f t="shared" si="70"/>
        <v>95</v>
      </c>
      <c r="M419">
        <f t="shared" si="71"/>
        <v>1</v>
      </c>
      <c r="N419">
        <f t="shared" si="72"/>
        <v>0</v>
      </c>
    </row>
    <row r="420" spans="4:14" x14ac:dyDescent="0.2">
      <c r="D420">
        <f t="shared" si="74"/>
        <v>397</v>
      </c>
      <c r="E420" s="1">
        <f t="shared" si="75"/>
        <v>-1.7899824331846326</v>
      </c>
      <c r="F420" s="1">
        <f t="shared" si="76"/>
        <v>-4.1256921477143624</v>
      </c>
      <c r="G420" s="1">
        <f t="shared" si="73"/>
        <v>1.6152310933147673E-2</v>
      </c>
      <c r="H420" s="1">
        <f t="shared" si="66"/>
        <v>1.6611182773407901E-4</v>
      </c>
      <c r="I420">
        <f t="shared" si="67"/>
        <v>10</v>
      </c>
      <c r="J420">
        <f t="shared" si="68"/>
        <v>383</v>
      </c>
      <c r="K420" s="5">
        <f t="shared" si="69"/>
        <v>0</v>
      </c>
      <c r="L420">
        <f t="shared" si="70"/>
        <v>95</v>
      </c>
      <c r="M420">
        <f t="shared" si="71"/>
        <v>1</v>
      </c>
      <c r="N420">
        <f t="shared" si="72"/>
        <v>0</v>
      </c>
    </row>
    <row r="421" spans="4:14" x14ac:dyDescent="0.2">
      <c r="D421">
        <f t="shared" si="74"/>
        <v>398</v>
      </c>
      <c r="E421" s="1">
        <f t="shared" si="75"/>
        <v>-1.8004537330519279</v>
      </c>
      <c r="F421" s="1">
        <f t="shared" si="76"/>
        <v>-4.1361634475816578</v>
      </c>
      <c r="G421" s="1">
        <f t="shared" si="73"/>
        <v>1.5984057694260721E-2</v>
      </c>
      <c r="H421" s="1">
        <f t="shared" si="66"/>
        <v>1.6438149619518239E-4</v>
      </c>
      <c r="I421">
        <f t="shared" si="67"/>
        <v>10</v>
      </c>
      <c r="J421">
        <f t="shared" si="68"/>
        <v>384</v>
      </c>
      <c r="K421" s="5">
        <f t="shared" si="69"/>
        <v>0</v>
      </c>
      <c r="L421">
        <f t="shared" si="70"/>
        <v>95</v>
      </c>
      <c r="M421">
        <f t="shared" si="71"/>
        <v>1</v>
      </c>
      <c r="N421">
        <f t="shared" si="72"/>
        <v>0</v>
      </c>
    </row>
    <row r="422" spans="4:14" x14ac:dyDescent="0.2">
      <c r="D422">
        <f t="shared" si="74"/>
        <v>399</v>
      </c>
      <c r="E422" s="1">
        <f t="shared" si="75"/>
        <v>-1.8109250329192232</v>
      </c>
      <c r="F422" s="1">
        <f t="shared" si="76"/>
        <v>-4.1466347474489531</v>
      </c>
      <c r="G422" s="1">
        <f t="shared" si="73"/>
        <v>1.5817557093278839E-2</v>
      </c>
      <c r="H422" s="1">
        <f t="shared" si="66"/>
        <v>1.6266918894314924E-4</v>
      </c>
      <c r="I422">
        <f t="shared" si="67"/>
        <v>10</v>
      </c>
      <c r="J422">
        <f t="shared" si="68"/>
        <v>385</v>
      </c>
      <c r="K422" s="5">
        <f t="shared" si="69"/>
        <v>0</v>
      </c>
      <c r="L422">
        <f t="shared" si="70"/>
        <v>95</v>
      </c>
      <c r="M422">
        <f t="shared" si="71"/>
        <v>1</v>
      </c>
      <c r="N422">
        <f t="shared" si="72"/>
        <v>0</v>
      </c>
    </row>
    <row r="423" spans="4:14" x14ac:dyDescent="0.2">
      <c r="D423">
        <f t="shared" si="74"/>
        <v>400</v>
      </c>
      <c r="E423" s="1">
        <f t="shared" si="75"/>
        <v>-1.8213963327865186</v>
      </c>
      <c r="F423" s="1">
        <f t="shared" si="76"/>
        <v>-4.1571060473162484</v>
      </c>
      <c r="G423" s="1">
        <f t="shared" si="73"/>
        <v>1.5652790873557185E-2</v>
      </c>
      <c r="H423" s="1">
        <f t="shared" si="66"/>
        <v>1.6097471822499145E-4</v>
      </c>
      <c r="I423">
        <f t="shared" si="67"/>
        <v>10</v>
      </c>
      <c r="J423">
        <f t="shared" si="68"/>
        <v>386</v>
      </c>
      <c r="K423" s="5">
        <f t="shared" si="69"/>
        <v>0</v>
      </c>
      <c r="L423">
        <f t="shared" si="70"/>
        <v>95</v>
      </c>
      <c r="M423">
        <f t="shared" si="71"/>
        <v>1</v>
      </c>
      <c r="N423">
        <f t="shared" si="72"/>
        <v>0</v>
      </c>
    </row>
    <row r="424" spans="4:14" x14ac:dyDescent="0.2">
      <c r="D424">
        <f t="shared" si="74"/>
        <v>401</v>
      </c>
      <c r="E424" s="1">
        <f t="shared" si="75"/>
        <v>-1.8318676326538139</v>
      </c>
      <c r="F424" s="1">
        <f t="shared" si="76"/>
        <v>-4.1675773471835438</v>
      </c>
      <c r="G424" s="1">
        <f t="shared" si="73"/>
        <v>1.5489740968624299E-2</v>
      </c>
      <c r="H424" s="1">
        <f t="shared" si="66"/>
        <v>1.5929789824348114E-4</v>
      </c>
      <c r="I424">
        <f t="shared" si="67"/>
        <v>10</v>
      </c>
      <c r="J424">
        <f t="shared" si="68"/>
        <v>387</v>
      </c>
      <c r="K424" s="5">
        <f t="shared" si="69"/>
        <v>0</v>
      </c>
      <c r="L424">
        <f t="shared" si="70"/>
        <v>95</v>
      </c>
      <c r="M424">
        <f t="shared" si="71"/>
        <v>1</v>
      </c>
      <c r="N424">
        <f t="shared" si="72"/>
        <v>0</v>
      </c>
    </row>
    <row r="425" spans="4:14" x14ac:dyDescent="0.2">
      <c r="D425">
        <f t="shared" si="74"/>
        <v>402</v>
      </c>
      <c r="E425" s="1">
        <f t="shared" si="75"/>
        <v>-1.8423389325211093</v>
      </c>
      <c r="F425" s="1">
        <f t="shared" si="76"/>
        <v>-4.1780486470508391</v>
      </c>
      <c r="G425" s="1">
        <f t="shared" si="73"/>
        <v>1.532838950020113E-2</v>
      </c>
      <c r="H425" s="1">
        <f t="shared" si="66"/>
        <v>1.576385451367782E-4</v>
      </c>
      <c r="I425">
        <f t="shared" si="67"/>
        <v>10</v>
      </c>
      <c r="J425">
        <f t="shared" si="68"/>
        <v>388</v>
      </c>
      <c r="K425" s="5">
        <f t="shared" si="69"/>
        <v>0</v>
      </c>
      <c r="L425">
        <f t="shared" si="70"/>
        <v>95</v>
      </c>
      <c r="M425">
        <f t="shared" si="71"/>
        <v>1</v>
      </c>
      <c r="N425">
        <f t="shared" si="72"/>
        <v>0</v>
      </c>
    </row>
    <row r="426" spans="4:14" x14ac:dyDescent="0.2">
      <c r="D426">
        <f t="shared" si="74"/>
        <v>403</v>
      </c>
      <c r="E426" s="1">
        <f t="shared" si="75"/>
        <v>-1.8528102323884046</v>
      </c>
      <c r="F426" s="1">
        <f t="shared" si="76"/>
        <v>-4.1885199469181345</v>
      </c>
      <c r="G426" s="1">
        <f t="shared" si="73"/>
        <v>1.5168718776240703E-2</v>
      </c>
      <c r="H426" s="1">
        <f t="shared" si="66"/>
        <v>1.5599647695827012E-4</v>
      </c>
      <c r="I426">
        <f t="shared" si="67"/>
        <v>10</v>
      </c>
      <c r="J426">
        <f t="shared" si="68"/>
        <v>389</v>
      </c>
      <c r="K426" s="5">
        <f t="shared" si="69"/>
        <v>0</v>
      </c>
      <c r="L426">
        <f t="shared" si="70"/>
        <v>95</v>
      </c>
      <c r="M426">
        <f t="shared" si="71"/>
        <v>1</v>
      </c>
      <c r="N426">
        <f t="shared" si="72"/>
        <v>0</v>
      </c>
    </row>
    <row r="427" spans="4:14" x14ac:dyDescent="0.2">
      <c r="D427">
        <f t="shared" si="74"/>
        <v>404</v>
      </c>
      <c r="E427" s="1">
        <f t="shared" si="75"/>
        <v>-1.8632815322556999</v>
      </c>
      <c r="F427" s="1">
        <f t="shared" si="76"/>
        <v>-4.1989912467854298</v>
      </c>
      <c r="G427" s="1">
        <f t="shared" si="73"/>
        <v>1.5010711288988196E-2</v>
      </c>
      <c r="H427" s="1">
        <f t="shared" si="66"/>
        <v>1.5437151365662149E-4</v>
      </c>
      <c r="I427">
        <f t="shared" si="67"/>
        <v>10</v>
      </c>
      <c r="J427">
        <f t="shared" si="68"/>
        <v>390</v>
      </c>
      <c r="K427" s="5">
        <f t="shared" si="69"/>
        <v>0</v>
      </c>
      <c r="L427">
        <f t="shared" si="70"/>
        <v>95</v>
      </c>
      <c r="M427">
        <f t="shared" si="71"/>
        <v>1</v>
      </c>
      <c r="N427">
        <f t="shared" si="72"/>
        <v>0</v>
      </c>
    </row>
    <row r="428" spans="4:14" x14ac:dyDescent="0.2">
      <c r="D428">
        <f t="shared" si="74"/>
        <v>405</v>
      </c>
      <c r="E428" s="1">
        <f t="shared" si="75"/>
        <v>-1.8737528321229953</v>
      </c>
      <c r="F428" s="1">
        <f t="shared" si="76"/>
        <v>-4.2094625466527251</v>
      </c>
      <c r="G428" s="1">
        <f t="shared" si="73"/>
        <v>1.4854349713061238E-2</v>
      </c>
      <c r="H428" s="1">
        <f t="shared" si="66"/>
        <v>1.5276347705603168E-4</v>
      </c>
      <c r="I428">
        <f t="shared" si="67"/>
        <v>10</v>
      </c>
      <c r="J428">
        <f t="shared" si="68"/>
        <v>391</v>
      </c>
      <c r="K428" s="5">
        <f t="shared" si="69"/>
        <v>0</v>
      </c>
      <c r="L428">
        <f t="shared" si="70"/>
        <v>95</v>
      </c>
      <c r="M428">
        <f t="shared" si="71"/>
        <v>1</v>
      </c>
      <c r="N428">
        <f t="shared" si="72"/>
        <v>0</v>
      </c>
    </row>
    <row r="429" spans="4:14" x14ac:dyDescent="0.2">
      <c r="D429">
        <f t="shared" si="74"/>
        <v>406</v>
      </c>
      <c r="E429" s="1">
        <f t="shared" si="75"/>
        <v>-1.8842241319902906</v>
      </c>
      <c r="F429" s="1">
        <f t="shared" si="76"/>
        <v>-4.2199338465200205</v>
      </c>
      <c r="G429" s="1">
        <f t="shared" si="73"/>
        <v>1.4699616903550183E-2</v>
      </c>
      <c r="H429" s="1">
        <f t="shared" si="66"/>
        <v>1.5117219083669802E-4</v>
      </c>
      <c r="I429">
        <f t="shared" si="67"/>
        <v>10</v>
      </c>
      <c r="J429">
        <f t="shared" si="68"/>
        <v>392</v>
      </c>
      <c r="K429" s="5">
        <f t="shared" si="69"/>
        <v>0</v>
      </c>
      <c r="L429">
        <f t="shared" si="70"/>
        <v>95</v>
      </c>
      <c r="M429">
        <f t="shared" si="71"/>
        <v>1</v>
      </c>
      <c r="N429">
        <f t="shared" si="72"/>
        <v>0</v>
      </c>
    </row>
    <row r="430" spans="4:14" x14ac:dyDescent="0.2">
      <c r="D430">
        <f t="shared" si="74"/>
        <v>407</v>
      </c>
      <c r="E430" s="1">
        <f t="shared" si="75"/>
        <v>-1.8946954318575859</v>
      </c>
      <c r="F430" s="1">
        <f t="shared" si="76"/>
        <v>-4.2304051463873158</v>
      </c>
      <c r="G430" s="1">
        <f t="shared" si="73"/>
        <v>1.4546495894138204E-2</v>
      </c>
      <c r="H430" s="1">
        <f t="shared" si="66"/>
        <v>1.4959748051548245E-4</v>
      </c>
      <c r="I430">
        <f t="shared" si="67"/>
        <v>10</v>
      </c>
      <c r="J430">
        <f t="shared" si="68"/>
        <v>393</v>
      </c>
      <c r="K430" s="5">
        <f t="shared" si="69"/>
        <v>0</v>
      </c>
      <c r="L430">
        <f t="shared" si="70"/>
        <v>95</v>
      </c>
      <c r="M430">
        <f t="shared" si="71"/>
        <v>1</v>
      </c>
      <c r="N430">
        <f t="shared" si="72"/>
        <v>0</v>
      </c>
    </row>
    <row r="431" spans="4:14" x14ac:dyDescent="0.2">
      <c r="D431">
        <f t="shared" si="74"/>
        <v>408</v>
      </c>
      <c r="E431" s="1">
        <f t="shared" si="75"/>
        <v>-1.9051667317248813</v>
      </c>
      <c r="F431" s="1">
        <f t="shared" si="76"/>
        <v>-4.2408764462546111</v>
      </c>
      <c r="G431" s="1">
        <f t="shared" si="73"/>
        <v>1.4394969895240932E-2</v>
      </c>
      <c r="H431" s="1">
        <f t="shared" si="66"/>
        <v>1.4803917342677951E-4</v>
      </c>
      <c r="I431">
        <f t="shared" si="67"/>
        <v>10</v>
      </c>
      <c r="J431">
        <f t="shared" si="68"/>
        <v>394</v>
      </c>
      <c r="K431" s="5">
        <f t="shared" si="69"/>
        <v>0</v>
      </c>
      <c r="L431">
        <f t="shared" si="70"/>
        <v>95</v>
      </c>
      <c r="M431">
        <f t="shared" si="71"/>
        <v>1</v>
      </c>
      <c r="N431">
        <f t="shared" si="72"/>
        <v>0</v>
      </c>
    </row>
    <row r="432" spans="4:14" x14ac:dyDescent="0.2">
      <c r="D432">
        <f t="shared" si="74"/>
        <v>409</v>
      </c>
      <c r="E432" s="1">
        <f t="shared" si="75"/>
        <v>-1.9156380315921766</v>
      </c>
      <c r="F432" s="1">
        <f t="shared" si="76"/>
        <v>-4.2513477461219065</v>
      </c>
      <c r="G432" s="1">
        <f t="shared" si="73"/>
        <v>1.4245022292165507E-2</v>
      </c>
      <c r="H432" s="1">
        <f t="shared" si="66"/>
        <v>1.464970987035839E-4</v>
      </c>
      <c r="I432">
        <f t="shared" si="67"/>
        <v>10</v>
      </c>
      <c r="J432">
        <f t="shared" si="68"/>
        <v>395</v>
      </c>
      <c r="K432" s="5">
        <f t="shared" si="69"/>
        <v>0</v>
      </c>
      <c r="L432">
        <f t="shared" si="70"/>
        <v>95</v>
      </c>
      <c r="M432">
        <f t="shared" si="71"/>
        <v>1</v>
      </c>
      <c r="N432">
        <f t="shared" si="72"/>
        <v>0</v>
      </c>
    </row>
    <row r="433" spans="4:14" x14ac:dyDescent="0.2">
      <c r="D433">
        <f t="shared" si="74"/>
        <v>410</v>
      </c>
      <c r="E433" s="1">
        <f t="shared" si="75"/>
        <v>-1.9261093314594719</v>
      </c>
      <c r="F433" s="1">
        <f t="shared" si="76"/>
        <v>-4.2618190459892018</v>
      </c>
      <c r="G433" s="1">
        <f t="shared" si="73"/>
        <v>1.4096636643288783E-2</v>
      </c>
      <c r="H433" s="1">
        <f t="shared" si="66"/>
        <v>1.4497108725875491E-4</v>
      </c>
      <c r="I433">
        <f t="shared" si="67"/>
        <v>10</v>
      </c>
      <c r="J433">
        <f t="shared" si="68"/>
        <v>396</v>
      </c>
      <c r="K433" s="5">
        <f t="shared" si="69"/>
        <v>0</v>
      </c>
      <c r="L433">
        <f t="shared" si="70"/>
        <v>95</v>
      </c>
      <c r="M433">
        <f t="shared" si="71"/>
        <v>1</v>
      </c>
      <c r="N433">
        <f t="shared" si="72"/>
        <v>0</v>
      </c>
    </row>
    <row r="434" spans="4:14" x14ac:dyDescent="0.2">
      <c r="D434">
        <f t="shared" si="74"/>
        <v>411</v>
      </c>
      <c r="E434" s="1">
        <f t="shared" si="75"/>
        <v>-1.9365806313267673</v>
      </c>
      <c r="F434" s="1">
        <f t="shared" si="76"/>
        <v>-4.2722903458564971</v>
      </c>
      <c r="G434" s="1">
        <f t="shared" si="73"/>
        <v>1.3949796678254526E-2</v>
      </c>
      <c r="H434" s="1">
        <f t="shared" si="66"/>
        <v>1.4346097176647622E-4</v>
      </c>
      <c r="I434">
        <f t="shared" si="67"/>
        <v>10</v>
      </c>
      <c r="J434">
        <f t="shared" si="68"/>
        <v>397</v>
      </c>
      <c r="K434" s="5">
        <f t="shared" si="69"/>
        <v>0</v>
      </c>
      <c r="L434">
        <f t="shared" si="70"/>
        <v>95</v>
      </c>
      <c r="M434">
        <f t="shared" si="71"/>
        <v>1</v>
      </c>
      <c r="N434">
        <f t="shared" si="72"/>
        <v>0</v>
      </c>
    </row>
    <row r="435" spans="4:14" x14ac:dyDescent="0.2">
      <c r="D435">
        <f t="shared" si="74"/>
        <v>412</v>
      </c>
      <c r="E435" s="1">
        <f t="shared" si="75"/>
        <v>-1.9470519311940626</v>
      </c>
      <c r="F435" s="1">
        <f t="shared" si="76"/>
        <v>-4.2827616457237925</v>
      </c>
      <c r="G435" s="1">
        <f t="shared" si="73"/>
        <v>1.3804486296189375E-2</v>
      </c>
      <c r="H435" s="1">
        <f t="shared" si="66"/>
        <v>1.4196658664390876E-4</v>
      </c>
      <c r="I435">
        <f t="shared" si="67"/>
        <v>10</v>
      </c>
      <c r="J435">
        <f t="shared" si="68"/>
        <v>398</v>
      </c>
      <c r="K435" s="5">
        <f t="shared" si="69"/>
        <v>0</v>
      </c>
      <c r="L435">
        <f t="shared" si="70"/>
        <v>95</v>
      </c>
      <c r="M435">
        <f t="shared" si="71"/>
        <v>1</v>
      </c>
      <c r="N435">
        <f t="shared" si="72"/>
        <v>0</v>
      </c>
    </row>
    <row r="436" spans="4:14" x14ac:dyDescent="0.2">
      <c r="D436">
        <f t="shared" si="74"/>
        <v>413</v>
      </c>
      <c r="E436" s="1">
        <f t="shared" si="75"/>
        <v>-1.9575232310613579</v>
      </c>
      <c r="F436" s="1">
        <f t="shared" si="76"/>
        <v>-4.2932329455910878</v>
      </c>
      <c r="G436" s="1">
        <f t="shared" si="73"/>
        <v>1.3660689563937404E-2</v>
      </c>
      <c r="H436" s="1">
        <f t="shared" si="66"/>
        <v>1.4048776803303472E-4</v>
      </c>
      <c r="I436">
        <f t="shared" si="67"/>
        <v>10</v>
      </c>
      <c r="J436">
        <f t="shared" si="68"/>
        <v>399</v>
      </c>
      <c r="K436" s="5">
        <f t="shared" si="69"/>
        <v>0</v>
      </c>
      <c r="L436">
        <f t="shared" si="70"/>
        <v>95</v>
      </c>
      <c r="M436">
        <f t="shared" si="71"/>
        <v>1</v>
      </c>
      <c r="N436">
        <f t="shared" si="72"/>
        <v>0</v>
      </c>
    </row>
    <row r="437" spans="4:14" x14ac:dyDescent="0.2">
      <c r="D437">
        <f t="shared" si="74"/>
        <v>414</v>
      </c>
      <c r="E437" s="1">
        <f t="shared" si="75"/>
        <v>-1.9679945309286533</v>
      </c>
      <c r="F437" s="1">
        <f t="shared" si="76"/>
        <v>-4.3037042454583831</v>
      </c>
      <c r="G437" s="1">
        <f t="shared" si="73"/>
        <v>1.3518390714313057E-2</v>
      </c>
      <c r="H437" s="1">
        <f t="shared" si="66"/>
        <v>1.3902435378269063E-4</v>
      </c>
      <c r="I437">
        <f t="shared" si="67"/>
        <v>10</v>
      </c>
      <c r="J437">
        <f t="shared" si="68"/>
        <v>400</v>
      </c>
      <c r="K437" s="5">
        <f t="shared" si="69"/>
        <v>0</v>
      </c>
      <c r="L437">
        <f t="shared" si="70"/>
        <v>95</v>
      </c>
      <c r="M437">
        <f t="shared" si="71"/>
        <v>1</v>
      </c>
      <c r="N437">
        <f t="shared" si="72"/>
        <v>0</v>
      </c>
    </row>
    <row r="438" spans="4:14" x14ac:dyDescent="0.2">
      <c r="D438">
        <f t="shared" si="74"/>
        <v>415</v>
      </c>
      <c r="E438" s="1">
        <f t="shared" si="75"/>
        <v>-1.9784658307959486</v>
      </c>
      <c r="F438" s="1">
        <f t="shared" si="76"/>
        <v>-4.3141755453256785</v>
      </c>
      <c r="G438" s="1">
        <f t="shared" si="73"/>
        <v>1.3377574144372297E-2</v>
      </c>
      <c r="H438" s="1">
        <f t="shared" si="66"/>
        <v>1.3757618343078761E-4</v>
      </c>
      <c r="I438">
        <f t="shared" si="67"/>
        <v>10</v>
      </c>
      <c r="J438">
        <f t="shared" si="68"/>
        <v>401</v>
      </c>
      <c r="K438" s="5">
        <f t="shared" si="69"/>
        <v>0</v>
      </c>
      <c r="L438">
        <f t="shared" si="70"/>
        <v>95</v>
      </c>
      <c r="M438">
        <f t="shared" si="71"/>
        <v>1</v>
      </c>
      <c r="N438">
        <f t="shared" si="72"/>
        <v>0</v>
      </c>
    </row>
    <row r="439" spans="4:14" x14ac:dyDescent="0.2">
      <c r="D439">
        <f t="shared" si="74"/>
        <v>416</v>
      </c>
      <c r="E439" s="1">
        <f t="shared" si="75"/>
        <v>-1.988937130663244</v>
      </c>
      <c r="F439" s="1">
        <f t="shared" si="76"/>
        <v>-4.3246468451929738</v>
      </c>
      <c r="G439" s="1">
        <f t="shared" si="73"/>
        <v>1.3238224413701753E-2</v>
      </c>
      <c r="H439" s="1">
        <f t="shared" si="66"/>
        <v>1.3614309818671692E-4</v>
      </c>
      <c r="I439">
        <f t="shared" si="67"/>
        <v>10</v>
      </c>
      <c r="J439">
        <f t="shared" si="68"/>
        <v>402</v>
      </c>
      <c r="K439" s="5">
        <f t="shared" si="69"/>
        <v>0</v>
      </c>
      <c r="L439">
        <f t="shared" si="70"/>
        <v>95</v>
      </c>
      <c r="M439">
        <f t="shared" si="71"/>
        <v>1</v>
      </c>
      <c r="N439">
        <f t="shared" si="72"/>
        <v>0</v>
      </c>
    </row>
    <row r="440" spans="4:14" x14ac:dyDescent="0.2">
      <c r="D440">
        <f t="shared" si="74"/>
        <v>417</v>
      </c>
      <c r="E440" s="1">
        <f t="shared" si="75"/>
        <v>-1.9994084305305393</v>
      </c>
      <c r="F440" s="1">
        <f t="shared" si="76"/>
        <v>-4.3351181450602692</v>
      </c>
      <c r="G440" s="1">
        <f t="shared" si="73"/>
        <v>1.3100326242725694E-2</v>
      </c>
      <c r="H440" s="1">
        <f t="shared" si="66"/>
        <v>1.3472494091393863E-4</v>
      </c>
      <c r="I440">
        <f t="shared" si="67"/>
        <v>10</v>
      </c>
      <c r="J440">
        <f t="shared" si="68"/>
        <v>403</v>
      </c>
      <c r="K440" s="5">
        <f t="shared" si="69"/>
        <v>0</v>
      </c>
      <c r="L440">
        <f t="shared" si="70"/>
        <v>95</v>
      </c>
      <c r="M440">
        <f t="shared" si="71"/>
        <v>1</v>
      </c>
      <c r="N440">
        <f t="shared" si="72"/>
        <v>0</v>
      </c>
    </row>
    <row r="441" spans="4:14" x14ac:dyDescent="0.2">
      <c r="D441">
        <f t="shared" si="74"/>
        <v>418</v>
      </c>
      <c r="E441" s="1">
        <f t="shared" si="75"/>
        <v>-2.0098797303978344</v>
      </c>
      <c r="F441" s="1">
        <f t="shared" si="76"/>
        <v>-4.3455894449275645</v>
      </c>
      <c r="G441" s="1">
        <f t="shared" si="73"/>
        <v>1.2963864511030635E-2</v>
      </c>
      <c r="H441" s="1">
        <f t="shared" si="66"/>
        <v>1.3332155611275176E-4</v>
      </c>
      <c r="I441">
        <f t="shared" si="67"/>
        <v>10</v>
      </c>
      <c r="J441">
        <f t="shared" si="68"/>
        <v>404</v>
      </c>
      <c r="K441" s="5">
        <f t="shared" si="69"/>
        <v>0</v>
      </c>
      <c r="L441">
        <f t="shared" si="70"/>
        <v>95</v>
      </c>
      <c r="M441">
        <f t="shared" si="71"/>
        <v>1</v>
      </c>
      <c r="N441">
        <f t="shared" si="72"/>
        <v>0</v>
      </c>
    </row>
    <row r="442" spans="4:14" x14ac:dyDescent="0.2">
      <c r="D442">
        <f t="shared" si="74"/>
        <v>419</v>
      </c>
      <c r="E442" s="1">
        <f t="shared" si="75"/>
        <v>-2.0203510302651297</v>
      </c>
      <c r="F442" s="1">
        <f t="shared" si="76"/>
        <v>-4.3560607447948598</v>
      </c>
      <c r="G442" s="1">
        <f t="shared" si="73"/>
        <v>1.2828824255707401E-2</v>
      </c>
      <c r="H442" s="1">
        <f t="shared" si="66"/>
        <v>1.3193278990324394E-4</v>
      </c>
      <c r="I442">
        <f t="shared" si="67"/>
        <v>10</v>
      </c>
      <c r="J442">
        <f t="shared" si="68"/>
        <v>405</v>
      </c>
      <c r="K442" s="5">
        <f t="shared" si="69"/>
        <v>0</v>
      </c>
      <c r="L442">
        <f t="shared" si="70"/>
        <v>95</v>
      </c>
      <c r="M442">
        <f t="shared" si="71"/>
        <v>1</v>
      </c>
      <c r="N442">
        <f t="shared" si="72"/>
        <v>0</v>
      </c>
    </row>
    <row r="443" spans="4:14" x14ac:dyDescent="0.2">
      <c r="D443">
        <f t="shared" si="74"/>
        <v>420</v>
      </c>
      <c r="E443" s="1">
        <f t="shared" si="75"/>
        <v>-2.0308223301324251</v>
      </c>
      <c r="F443" s="1">
        <f t="shared" si="76"/>
        <v>-4.3665320446621552</v>
      </c>
      <c r="G443" s="1">
        <f t="shared" si="73"/>
        <v>1.2695190669710449E-2</v>
      </c>
      <c r="H443" s="1">
        <f t="shared" si="66"/>
        <v>1.3055849000841849E-4</v>
      </c>
      <c r="I443">
        <f t="shared" si="67"/>
        <v>10</v>
      </c>
      <c r="J443">
        <f t="shared" si="68"/>
        <v>406</v>
      </c>
      <c r="K443" s="5">
        <f t="shared" si="69"/>
        <v>0</v>
      </c>
      <c r="L443">
        <f t="shared" si="70"/>
        <v>95</v>
      </c>
      <c r="M443">
        <f t="shared" si="71"/>
        <v>1</v>
      </c>
      <c r="N443">
        <f t="shared" si="72"/>
        <v>0</v>
      </c>
    </row>
    <row r="444" spans="4:14" x14ac:dyDescent="0.2">
      <c r="D444">
        <f t="shared" si="74"/>
        <v>421</v>
      </c>
      <c r="E444" s="1">
        <f t="shared" si="75"/>
        <v>-2.0412936299997204</v>
      </c>
      <c r="F444" s="1">
        <f t="shared" si="76"/>
        <v>-4.3770033445294505</v>
      </c>
      <c r="G444" s="1">
        <f t="shared" si="73"/>
        <v>1.2562949100234299E-2</v>
      </c>
      <c r="H444" s="1">
        <f t="shared" si="66"/>
        <v>1.2919850573749747E-4</v>
      </c>
      <c r="I444">
        <f t="shared" si="67"/>
        <v>10</v>
      </c>
      <c r="J444">
        <f t="shared" si="68"/>
        <v>407</v>
      </c>
      <c r="K444" s="5">
        <f t="shared" si="69"/>
        <v>0</v>
      </c>
      <c r="L444">
        <f t="shared" si="70"/>
        <v>95</v>
      </c>
      <c r="M444">
        <f t="shared" si="71"/>
        <v>1</v>
      </c>
      <c r="N444">
        <f t="shared" si="72"/>
        <v>0</v>
      </c>
    </row>
    <row r="445" spans="4:14" x14ac:dyDescent="0.2">
      <c r="D445">
        <f t="shared" si="74"/>
        <v>422</v>
      </c>
      <c r="E445" s="1">
        <f t="shared" si="75"/>
        <v>-2.0517649298670158</v>
      </c>
      <c r="F445" s="1">
        <f t="shared" si="76"/>
        <v>-4.3874746443967458</v>
      </c>
      <c r="G445" s="1">
        <f t="shared" si="73"/>
        <v>1.2432085047106859E-2</v>
      </c>
      <c r="H445" s="1">
        <f t="shared" si="66"/>
        <v>1.2785268796939854E-4</v>
      </c>
      <c r="I445">
        <f t="shared" si="67"/>
        <v>10</v>
      </c>
      <c r="J445">
        <f t="shared" si="68"/>
        <v>408</v>
      </c>
      <c r="K445" s="5">
        <f t="shared" si="69"/>
        <v>0</v>
      </c>
      <c r="L445">
        <f t="shared" si="70"/>
        <v>95</v>
      </c>
      <c r="M445">
        <f t="shared" si="71"/>
        <v>1</v>
      </c>
      <c r="N445">
        <f t="shared" si="72"/>
        <v>0</v>
      </c>
    </row>
    <row r="446" spans="4:14" x14ac:dyDescent="0.2">
      <c r="D446">
        <f t="shared" si="74"/>
        <v>423</v>
      </c>
      <c r="E446" s="1">
        <f t="shared" si="75"/>
        <v>-2.0622362297343111</v>
      </c>
      <c r="F446" s="1">
        <f t="shared" si="76"/>
        <v>-4.3979459442640412</v>
      </c>
      <c r="G446" s="1">
        <f t="shared" si="73"/>
        <v>1.2302584161199497E-2</v>
      </c>
      <c r="H446" s="1">
        <f t="shared" si="66"/>
        <v>1.2652088913638399E-4</v>
      </c>
      <c r="I446">
        <f t="shared" si="67"/>
        <v>10</v>
      </c>
      <c r="J446">
        <f t="shared" si="68"/>
        <v>409</v>
      </c>
      <c r="K446" s="5">
        <f t="shared" si="69"/>
        <v>0</v>
      </c>
      <c r="L446">
        <f t="shared" si="70"/>
        <v>95</v>
      </c>
      <c r="M446">
        <f t="shared" si="71"/>
        <v>1</v>
      </c>
      <c r="N446">
        <f t="shared" si="72"/>
        <v>0</v>
      </c>
    </row>
    <row r="447" spans="4:14" x14ac:dyDescent="0.2">
      <c r="D447">
        <f t="shared" si="74"/>
        <v>424</v>
      </c>
      <c r="E447" s="1">
        <f t="shared" si="75"/>
        <v>-2.0727075296016064</v>
      </c>
      <c r="F447" s="1">
        <f t="shared" si="76"/>
        <v>-4.4084172441313365</v>
      </c>
      <c r="G447" s="1">
        <f t="shared" si="73"/>
        <v>1.217443224285367E-2</v>
      </c>
      <c r="H447" s="1">
        <f t="shared" si="66"/>
        <v>1.2520296320788E-4</v>
      </c>
      <c r="I447">
        <f t="shared" si="67"/>
        <v>10</v>
      </c>
      <c r="J447">
        <f t="shared" si="68"/>
        <v>410</v>
      </c>
      <c r="K447" s="5">
        <f t="shared" si="69"/>
        <v>0</v>
      </c>
      <c r="L447">
        <f t="shared" si="70"/>
        <v>95</v>
      </c>
      <c r="M447">
        <f t="shared" si="71"/>
        <v>1</v>
      </c>
      <c r="N447">
        <f t="shared" si="72"/>
        <v>0</v>
      </c>
    </row>
    <row r="448" spans="4:14" x14ac:dyDescent="0.2">
      <c r="D448">
        <f t="shared" si="74"/>
        <v>425</v>
      </c>
      <c r="E448" s="1">
        <f t="shared" si="75"/>
        <v>-2.0831788294689018</v>
      </c>
      <c r="F448" s="1">
        <f t="shared" si="76"/>
        <v>-4.4188885439986318</v>
      </c>
      <c r="G448" s="1">
        <f t="shared" si="73"/>
        <v>1.2047615240323946E-2</v>
      </c>
      <c r="H448" s="1">
        <f t="shared" si="66"/>
        <v>1.2389876567446461E-4</v>
      </c>
      <c r="I448">
        <f t="shared" si="67"/>
        <v>10</v>
      </c>
      <c r="J448">
        <f t="shared" si="68"/>
        <v>411</v>
      </c>
      <c r="K448" s="5">
        <f t="shared" si="69"/>
        <v>0</v>
      </c>
      <c r="L448">
        <f t="shared" si="70"/>
        <v>95</v>
      </c>
      <c r="M448">
        <f t="shared" si="71"/>
        <v>1</v>
      </c>
      <c r="N448">
        <f t="shared" si="72"/>
        <v>0</v>
      </c>
    </row>
    <row r="449" spans="4:14" x14ac:dyDescent="0.2">
      <c r="D449">
        <f t="shared" si="74"/>
        <v>426</v>
      </c>
      <c r="E449" s="1">
        <f t="shared" si="75"/>
        <v>-2.0936501293361971</v>
      </c>
      <c r="F449" s="1">
        <f t="shared" si="76"/>
        <v>-4.4293598438659272</v>
      </c>
      <c r="G449" s="1">
        <f t="shared" si="73"/>
        <v>1.1922119248237238E-2</v>
      </c>
      <c r="H449" s="1">
        <f t="shared" si="66"/>
        <v>1.2260815353202226E-4</v>
      </c>
      <c r="I449">
        <f t="shared" si="67"/>
        <v>10</v>
      </c>
      <c r="J449">
        <f t="shared" si="68"/>
        <v>412</v>
      </c>
      <c r="K449" s="5">
        <f t="shared" si="69"/>
        <v>0</v>
      </c>
      <c r="L449">
        <f t="shared" si="70"/>
        <v>95</v>
      </c>
      <c r="M449">
        <f t="shared" si="71"/>
        <v>1</v>
      </c>
      <c r="N449">
        <f t="shared" si="72"/>
        <v>0</v>
      </c>
    </row>
    <row r="450" spans="4:14" x14ac:dyDescent="0.2">
      <c r="D450">
        <f t="shared" si="74"/>
        <v>427</v>
      </c>
      <c r="E450" s="1">
        <f t="shared" si="75"/>
        <v>-2.1041214292034924</v>
      </c>
      <c r="F450" s="1">
        <f t="shared" si="76"/>
        <v>-4.4398311437332225</v>
      </c>
      <c r="G450" s="1">
        <f t="shared" si="73"/>
        <v>1.17979305060681E-2</v>
      </c>
      <c r="H450" s="1">
        <f t="shared" si="66"/>
        <v>1.213309852660637E-4</v>
      </c>
      <c r="I450">
        <f t="shared" si="67"/>
        <v>10</v>
      </c>
      <c r="J450">
        <f t="shared" si="68"/>
        <v>413</v>
      </c>
      <c r="K450" s="5">
        <f t="shared" si="69"/>
        <v>0</v>
      </c>
      <c r="L450">
        <f t="shared" si="70"/>
        <v>95</v>
      </c>
      <c r="M450">
        <f t="shared" si="71"/>
        <v>1</v>
      </c>
      <c r="N450">
        <f t="shared" si="72"/>
        <v>0</v>
      </c>
    </row>
    <row r="451" spans="4:14" x14ac:dyDescent="0.2">
      <c r="D451">
        <f t="shared" si="74"/>
        <v>428</v>
      </c>
      <c r="E451" s="1">
        <f t="shared" si="75"/>
        <v>-2.1145927290707878</v>
      </c>
      <c r="F451" s="1">
        <f t="shared" si="76"/>
        <v>-4.4503024436005179</v>
      </c>
      <c r="G451" s="1">
        <f t="shared" si="73"/>
        <v>1.1675035396629892E-2</v>
      </c>
      <c r="H451" s="1">
        <f t="shared" si="66"/>
        <v>1.2006712083620889E-4</v>
      </c>
      <c r="I451">
        <f t="shared" si="67"/>
        <v>10</v>
      </c>
      <c r="J451">
        <f t="shared" si="68"/>
        <v>414</v>
      </c>
      <c r="K451" s="5">
        <f t="shared" si="69"/>
        <v>0</v>
      </c>
      <c r="L451">
        <f t="shared" si="70"/>
        <v>95</v>
      </c>
      <c r="M451">
        <f t="shared" si="71"/>
        <v>1</v>
      </c>
      <c r="N451">
        <f t="shared" si="72"/>
        <v>0</v>
      </c>
    </row>
    <row r="452" spans="4:14" x14ac:dyDescent="0.2">
      <c r="D452">
        <f t="shared" si="74"/>
        <v>429</v>
      </c>
      <c r="E452" s="1">
        <f t="shared" si="75"/>
        <v>-2.1250640289380831</v>
      </c>
      <c r="F452" s="1">
        <f t="shared" si="76"/>
        <v>-4.4607737434678132</v>
      </c>
      <c r="G452" s="1">
        <f t="shared" si="73"/>
        <v>1.1553420444581665E-2</v>
      </c>
      <c r="H452" s="1">
        <f t="shared" si="66"/>
        <v>1.1881642166083172E-4</v>
      </c>
      <c r="I452">
        <f t="shared" si="67"/>
        <v>10</v>
      </c>
      <c r="J452">
        <f t="shared" si="68"/>
        <v>415</v>
      </c>
      <c r="K452" s="5">
        <f t="shared" si="69"/>
        <v>0</v>
      </c>
      <c r="L452">
        <f t="shared" si="70"/>
        <v>95</v>
      </c>
      <c r="M452">
        <f t="shared" si="71"/>
        <v>1</v>
      </c>
      <c r="N452">
        <f t="shared" si="72"/>
        <v>0</v>
      </c>
    </row>
    <row r="453" spans="4:14" x14ac:dyDescent="0.2">
      <c r="D453">
        <f t="shared" si="74"/>
        <v>430</v>
      </c>
      <c r="E453" s="1">
        <f t="shared" si="75"/>
        <v>-2.1355353288053784</v>
      </c>
      <c r="F453" s="1">
        <f t="shared" si="76"/>
        <v>-4.4712450433351085</v>
      </c>
      <c r="G453" s="1">
        <f t="shared" si="73"/>
        <v>1.1433072314950606E-2</v>
      </c>
      <c r="H453" s="1">
        <f t="shared" si="66"/>
        <v>1.1757875060186473E-4</v>
      </c>
      <c r="I453">
        <f t="shared" si="67"/>
        <v>10</v>
      </c>
      <c r="J453">
        <f t="shared" si="68"/>
        <v>416</v>
      </c>
      <c r="K453" s="5">
        <f t="shared" si="69"/>
        <v>0</v>
      </c>
      <c r="L453">
        <f t="shared" si="70"/>
        <v>95</v>
      </c>
      <c r="M453">
        <f t="shared" si="71"/>
        <v>1</v>
      </c>
      <c r="N453">
        <f t="shared" si="72"/>
        <v>0</v>
      </c>
    </row>
    <row r="454" spans="4:14" x14ac:dyDescent="0.2">
      <c r="D454">
        <f t="shared" si="74"/>
        <v>431</v>
      </c>
      <c r="E454" s="1">
        <f t="shared" si="75"/>
        <v>-2.1460066286726738</v>
      </c>
      <c r="F454" s="1">
        <f t="shared" si="76"/>
        <v>-4.4817163432024039</v>
      </c>
      <c r="G454" s="1">
        <f t="shared" si="73"/>
        <v>1.1313977811669873E-2</v>
      </c>
      <c r="H454" s="1">
        <f t="shared" si="66"/>
        <v>1.16353971949762E-4</v>
      </c>
      <c r="I454">
        <f t="shared" si="67"/>
        <v>10</v>
      </c>
      <c r="J454">
        <f t="shared" si="68"/>
        <v>417</v>
      </c>
      <c r="K454" s="5">
        <f t="shared" si="69"/>
        <v>0</v>
      </c>
      <c r="L454">
        <f t="shared" si="70"/>
        <v>95</v>
      </c>
      <c r="M454">
        <f t="shared" si="71"/>
        <v>1</v>
      </c>
      <c r="N454">
        <f t="shared" si="72"/>
        <v>0</v>
      </c>
    </row>
    <row r="455" spans="4:14" x14ac:dyDescent="0.2">
      <c r="D455">
        <f t="shared" si="74"/>
        <v>432</v>
      </c>
      <c r="E455" s="1">
        <f t="shared" si="75"/>
        <v>-2.1564779285399691</v>
      </c>
      <c r="F455" s="1">
        <f t="shared" si="76"/>
        <v>-4.4921876430696992</v>
      </c>
      <c r="G455" s="1">
        <f t="shared" si="73"/>
        <v>1.1196123876131645E-2</v>
      </c>
      <c r="H455" s="1">
        <f t="shared" si="66"/>
        <v>1.1514195140861864E-4</v>
      </c>
      <c r="I455">
        <f t="shared" si="67"/>
        <v>10</v>
      </c>
      <c r="J455">
        <f t="shared" si="68"/>
        <v>418</v>
      </c>
      <c r="K455" s="5">
        <f t="shared" si="69"/>
        <v>0</v>
      </c>
      <c r="L455">
        <f t="shared" si="70"/>
        <v>95</v>
      </c>
      <c r="M455">
        <f t="shared" si="71"/>
        <v>1</v>
      </c>
      <c r="N455">
        <f t="shared" si="72"/>
        <v>0</v>
      </c>
    </row>
    <row r="456" spans="4:14" x14ac:dyDescent="0.2">
      <c r="D456">
        <f t="shared" si="74"/>
        <v>433</v>
      </c>
      <c r="E456" s="1">
        <f t="shared" si="75"/>
        <v>-2.1669492284072644</v>
      </c>
      <c r="F456" s="1">
        <f t="shared" si="76"/>
        <v>-4.5026589429369945</v>
      </c>
      <c r="G456" s="1">
        <f t="shared" si="73"/>
        <v>1.1079497585755275E-2</v>
      </c>
      <c r="H456" s="1">
        <f t="shared" si="66"/>
        <v>1.1394255608144554E-4</v>
      </c>
      <c r="I456">
        <f t="shared" si="67"/>
        <v>10</v>
      </c>
      <c r="J456">
        <f t="shared" si="68"/>
        <v>419</v>
      </c>
      <c r="K456" s="5">
        <f t="shared" si="69"/>
        <v>0</v>
      </c>
      <c r="L456">
        <f t="shared" si="70"/>
        <v>95</v>
      </c>
      <c r="M456">
        <f t="shared" si="71"/>
        <v>1</v>
      </c>
      <c r="N456">
        <f t="shared" si="72"/>
        <v>0</v>
      </c>
    </row>
    <row r="457" spans="4:14" x14ac:dyDescent="0.2">
      <c r="D457">
        <f t="shared" si="74"/>
        <v>434</v>
      </c>
      <c r="E457" s="1">
        <f t="shared" si="75"/>
        <v>-2.1774205282745598</v>
      </c>
      <c r="F457" s="1">
        <f t="shared" si="76"/>
        <v>-4.5131302428042899</v>
      </c>
      <c r="G457" s="1">
        <f t="shared" si="73"/>
        <v>1.0964086152570324E-2</v>
      </c>
      <c r="H457" s="1">
        <f t="shared" si="66"/>
        <v>1.1275565445559714E-4</v>
      </c>
      <c r="I457">
        <f t="shared" si="67"/>
        <v>10</v>
      </c>
      <c r="J457">
        <f t="shared" si="68"/>
        <v>420</v>
      </c>
      <c r="K457" s="5">
        <f t="shared" si="69"/>
        <v>0</v>
      </c>
      <c r="L457">
        <f t="shared" si="70"/>
        <v>95</v>
      </c>
      <c r="M457">
        <f t="shared" si="71"/>
        <v>1</v>
      </c>
      <c r="N457">
        <f t="shared" si="72"/>
        <v>0</v>
      </c>
    </row>
    <row r="458" spans="4:14" x14ac:dyDescent="0.2">
      <c r="D458">
        <f t="shared" si="74"/>
        <v>435</v>
      </c>
      <c r="E458" s="1">
        <f t="shared" si="75"/>
        <v>-2.1878918281418551</v>
      </c>
      <c r="F458" s="1">
        <f t="shared" si="76"/>
        <v>-4.5236015426715852</v>
      </c>
      <c r="G458" s="1">
        <f t="shared" si="73"/>
        <v>1.0849876921814385E-2</v>
      </c>
      <c r="H458" s="1">
        <f t="shared" si="66"/>
        <v>1.1158111638835135E-4</v>
      </c>
      <c r="I458">
        <f t="shared" si="67"/>
        <v>10</v>
      </c>
      <c r="J458">
        <f t="shared" si="68"/>
        <v>421</v>
      </c>
      <c r="K458" s="5">
        <f t="shared" si="69"/>
        <v>0</v>
      </c>
      <c r="L458">
        <f t="shared" si="70"/>
        <v>95</v>
      </c>
      <c r="M458">
        <f t="shared" si="71"/>
        <v>1</v>
      </c>
      <c r="N458">
        <f t="shared" si="72"/>
        <v>0</v>
      </c>
    </row>
    <row r="459" spans="4:14" x14ac:dyDescent="0.2">
      <c r="D459">
        <f t="shared" si="74"/>
        <v>436</v>
      </c>
      <c r="E459" s="1">
        <f t="shared" si="75"/>
        <v>-2.1983631280091505</v>
      </c>
      <c r="F459" s="1">
        <f t="shared" si="76"/>
        <v>-4.5340728425388805</v>
      </c>
      <c r="G459" s="1">
        <f t="shared" si="73"/>
        <v>1.0736857370545486E-2</v>
      </c>
      <c r="H459" s="1">
        <f t="shared" si="66"/>
        <v>1.1041881309263937E-4</v>
      </c>
      <c r="I459">
        <f t="shared" si="67"/>
        <v>10</v>
      </c>
      <c r="J459">
        <f t="shared" si="68"/>
        <v>422</v>
      </c>
      <c r="K459" s="5">
        <f t="shared" si="69"/>
        <v>0</v>
      </c>
      <c r="L459">
        <f t="shared" si="70"/>
        <v>95</v>
      </c>
      <c r="M459">
        <f t="shared" si="71"/>
        <v>1</v>
      </c>
      <c r="N459">
        <f t="shared" si="72"/>
        <v>0</v>
      </c>
    </row>
    <row r="460" spans="4:14" x14ac:dyDescent="0.2">
      <c r="D460">
        <f t="shared" si="74"/>
        <v>437</v>
      </c>
      <c r="E460" s="1">
        <f t="shared" si="75"/>
        <v>-2.2088344278764458</v>
      </c>
      <c r="F460" s="1">
        <f t="shared" si="76"/>
        <v>-4.5445441424061759</v>
      </c>
      <c r="G460" s="1">
        <f t="shared" si="73"/>
        <v>1.0625015106268971E-2</v>
      </c>
      <c r="H460" s="1">
        <f t="shared" si="66"/>
        <v>1.0926861712292439E-4</v>
      </c>
      <c r="I460">
        <f t="shared" si="67"/>
        <v>10</v>
      </c>
      <c r="J460">
        <f t="shared" si="68"/>
        <v>423</v>
      </c>
      <c r="K460" s="5">
        <f t="shared" si="69"/>
        <v>0</v>
      </c>
      <c r="L460">
        <f t="shared" si="70"/>
        <v>95</v>
      </c>
      <c r="M460">
        <f t="shared" si="71"/>
        <v>1</v>
      </c>
      <c r="N460">
        <f t="shared" si="72"/>
        <v>0</v>
      </c>
    </row>
    <row r="461" spans="4:14" x14ac:dyDescent="0.2">
      <c r="D461">
        <f t="shared" si="74"/>
        <v>438</v>
      </c>
      <c r="E461" s="1">
        <f t="shared" si="75"/>
        <v>-2.2193057277437411</v>
      </c>
      <c r="F461" s="1">
        <f t="shared" si="76"/>
        <v>-4.5550154422734712</v>
      </c>
      <c r="G461" s="1">
        <f t="shared" si="73"/>
        <v>1.051433786557867E-2</v>
      </c>
      <c r="H461" s="1">
        <f t="shared" si="66"/>
        <v>1.0813040236122726E-4</v>
      </c>
      <c r="I461">
        <f t="shared" si="67"/>
        <v>10</v>
      </c>
      <c r="J461">
        <f t="shared" si="68"/>
        <v>424</v>
      </c>
      <c r="K461" s="5">
        <f t="shared" si="69"/>
        <v>0</v>
      </c>
      <c r="L461">
        <f t="shared" si="70"/>
        <v>95</v>
      </c>
      <c r="M461">
        <f t="shared" si="71"/>
        <v>1</v>
      </c>
      <c r="N461">
        <f t="shared" si="72"/>
        <v>0</v>
      </c>
    </row>
    <row r="462" spans="4:14" x14ac:dyDescent="0.2">
      <c r="D462">
        <f t="shared" si="74"/>
        <v>439</v>
      </c>
      <c r="E462" s="1">
        <f t="shared" si="75"/>
        <v>-2.2297770276110365</v>
      </c>
      <c r="F462" s="1">
        <f t="shared" si="76"/>
        <v>-4.5654867421407666</v>
      </c>
      <c r="G462" s="1">
        <f t="shared" si="73"/>
        <v>1.0404813512812226E-2</v>
      </c>
      <c r="H462" s="1">
        <f t="shared" si="66"/>
        <v>1.0700404400329781E-4</v>
      </c>
      <c r="I462">
        <f t="shared" si="67"/>
        <v>10</v>
      </c>
      <c r="J462">
        <f t="shared" si="68"/>
        <v>425</v>
      </c>
      <c r="K462" s="5">
        <f t="shared" si="69"/>
        <v>0</v>
      </c>
      <c r="L462">
        <f t="shared" si="70"/>
        <v>95</v>
      </c>
      <c r="M462">
        <f t="shared" si="71"/>
        <v>1</v>
      </c>
      <c r="N462">
        <f t="shared" si="72"/>
        <v>0</v>
      </c>
    </row>
    <row r="463" spans="4:14" x14ac:dyDescent="0.2">
      <c r="D463">
        <f t="shared" si="74"/>
        <v>440</v>
      </c>
      <c r="E463" s="1">
        <f t="shared" si="75"/>
        <v>-2.2402483274783318</v>
      </c>
      <c r="F463" s="1">
        <f t="shared" si="76"/>
        <v>-4.5759580420080619</v>
      </c>
      <c r="G463" s="1">
        <f t="shared" si="73"/>
        <v>1.0296430038720432E-2</v>
      </c>
      <c r="H463" s="1">
        <f t="shared" si="66"/>
        <v>1.0588941854493013E-4</v>
      </c>
      <c r="I463">
        <f t="shared" si="67"/>
        <v>10</v>
      </c>
      <c r="J463">
        <f t="shared" si="68"/>
        <v>426</v>
      </c>
      <c r="K463" s="5">
        <f t="shared" si="69"/>
        <v>0</v>
      </c>
      <c r="L463">
        <f t="shared" si="70"/>
        <v>95</v>
      </c>
      <c r="M463">
        <f t="shared" si="71"/>
        <v>1</v>
      </c>
      <c r="N463">
        <f t="shared" si="72"/>
        <v>0</v>
      </c>
    </row>
    <row r="464" spans="4:14" x14ac:dyDescent="0.2">
      <c r="D464">
        <f t="shared" si="74"/>
        <v>441</v>
      </c>
      <c r="E464" s="1">
        <f t="shared" si="75"/>
        <v>-2.2507196273456271</v>
      </c>
      <c r="F464" s="1">
        <f t="shared" si="76"/>
        <v>-4.5864293418753572</v>
      </c>
      <c r="G464" s="1">
        <f t="shared" si="73"/>
        <v>1.0189175559150429E-2</v>
      </c>
      <c r="H464" s="1">
        <f t="shared" si="66"/>
        <v>1.0478640376842045E-4</v>
      </c>
      <c r="I464">
        <f t="shared" si="67"/>
        <v>10</v>
      </c>
      <c r="J464">
        <f t="shared" si="68"/>
        <v>427</v>
      </c>
      <c r="K464" s="5">
        <f t="shared" si="69"/>
        <v>0</v>
      </c>
      <c r="L464">
        <f t="shared" si="70"/>
        <v>95</v>
      </c>
      <c r="M464">
        <f t="shared" si="71"/>
        <v>1</v>
      </c>
      <c r="N464">
        <f t="shared" si="72"/>
        <v>0</v>
      </c>
    </row>
    <row r="465" spans="4:14" x14ac:dyDescent="0.2">
      <c r="D465">
        <f t="shared" si="74"/>
        <v>442</v>
      </c>
      <c r="E465" s="1">
        <f t="shared" si="75"/>
        <v>-2.2611909272129225</v>
      </c>
      <c r="F465" s="1">
        <f t="shared" si="76"/>
        <v>-4.5969006417426526</v>
      </c>
      <c r="G465" s="1">
        <f t="shared" si="73"/>
        <v>1.0083038313742613E-2</v>
      </c>
      <c r="H465" s="1">
        <f t="shared" si="66"/>
        <v>1.0369487872916608E-4</v>
      </c>
      <c r="I465">
        <f t="shared" si="67"/>
        <v>10</v>
      </c>
      <c r="J465">
        <f t="shared" si="68"/>
        <v>428</v>
      </c>
      <c r="K465" s="5">
        <f t="shared" si="69"/>
        <v>0</v>
      </c>
      <c r="L465">
        <f t="shared" si="70"/>
        <v>95</v>
      </c>
      <c r="M465">
        <f t="shared" si="71"/>
        <v>1</v>
      </c>
      <c r="N465">
        <f t="shared" si="72"/>
        <v>0</v>
      </c>
    </row>
    <row r="466" spans="4:14" x14ac:dyDescent="0.2">
      <c r="D466">
        <f t="shared" si="74"/>
        <v>443</v>
      </c>
      <c r="E466" s="1">
        <f t="shared" si="75"/>
        <v>-2.2716622270802178</v>
      </c>
      <c r="F466" s="1">
        <f t="shared" si="76"/>
        <v>-4.6073719416099479</v>
      </c>
      <c r="G466" s="1">
        <f t="shared" si="73"/>
        <v>9.9780066646411279E-3</v>
      </c>
      <c r="H466" s="1">
        <f t="shared" si="66"/>
        <v>1.0261472374240394E-4</v>
      </c>
      <c r="I466">
        <f t="shared" si="67"/>
        <v>10</v>
      </c>
      <c r="J466">
        <f t="shared" si="68"/>
        <v>429</v>
      </c>
      <c r="K466" s="5">
        <f t="shared" si="69"/>
        <v>0</v>
      </c>
      <c r="L466">
        <f t="shared" si="70"/>
        <v>95</v>
      </c>
      <c r="M466">
        <f t="shared" si="71"/>
        <v>1</v>
      </c>
      <c r="N466">
        <f t="shared" si="72"/>
        <v>0</v>
      </c>
    </row>
    <row r="467" spans="4:14" x14ac:dyDescent="0.2">
      <c r="D467">
        <f t="shared" si="74"/>
        <v>444</v>
      </c>
      <c r="E467" s="1">
        <f t="shared" si="75"/>
        <v>-2.2821335269475131</v>
      </c>
      <c r="F467" s="1">
        <f t="shared" si="76"/>
        <v>-4.6178432414772432</v>
      </c>
      <c r="G467" s="1">
        <f t="shared" si="73"/>
        <v>9.8740690952177825E-3</v>
      </c>
      <c r="H467" s="1">
        <f t="shared" si="66"/>
        <v>1.0154582037008724E-4</v>
      </c>
      <c r="I467">
        <f t="shared" si="67"/>
        <v>10</v>
      </c>
      <c r="J467">
        <f t="shared" si="68"/>
        <v>430</v>
      </c>
      <c r="K467" s="5">
        <f t="shared" si="69"/>
        <v>0</v>
      </c>
      <c r="L467">
        <f t="shared" si="70"/>
        <v>95</v>
      </c>
      <c r="M467">
        <f t="shared" si="71"/>
        <v>1</v>
      </c>
      <c r="N467">
        <f t="shared" si="72"/>
        <v>0</v>
      </c>
    </row>
    <row r="468" spans="4:14" x14ac:dyDescent="0.2">
      <c r="D468">
        <f t="shared" si="74"/>
        <v>445</v>
      </c>
      <c r="E468" s="1">
        <f t="shared" si="75"/>
        <v>-2.2926048268148085</v>
      </c>
      <c r="F468" s="1">
        <f t="shared" si="76"/>
        <v>-4.6283145413445386</v>
      </c>
      <c r="G468" s="1">
        <f t="shared" si="73"/>
        <v>9.7712142088092653E-3</v>
      </c>
      <c r="H468" s="1">
        <f t="shared" si="66"/>
        <v>1.0048805140789884E-4</v>
      </c>
      <c r="I468">
        <f t="shared" si="67"/>
        <v>10</v>
      </c>
      <c r="J468">
        <f t="shared" si="68"/>
        <v>431</v>
      </c>
      <c r="K468" s="5">
        <f t="shared" si="69"/>
        <v>0</v>
      </c>
      <c r="L468">
        <f t="shared" si="70"/>
        <v>95</v>
      </c>
      <c r="M468">
        <f t="shared" si="71"/>
        <v>1</v>
      </c>
      <c r="N468">
        <f t="shared" si="72"/>
        <v>0</v>
      </c>
    </row>
    <row r="469" spans="4:14" x14ac:dyDescent="0.2">
      <c r="D469">
        <f t="shared" si="74"/>
        <v>446</v>
      </c>
      <c r="E469" s="1">
        <f t="shared" si="75"/>
        <v>-2.3030761266821038</v>
      </c>
      <c r="F469" s="1">
        <f t="shared" si="76"/>
        <v>-4.6387858412118339</v>
      </c>
      <c r="G469" s="1">
        <f t="shared" si="73"/>
        <v>9.6694307274675026E-3</v>
      </c>
      <c r="H469" s="1">
        <f t="shared" si="66"/>
        <v>9.9441300872399896E-5</v>
      </c>
      <c r="I469">
        <f t="shared" si="67"/>
        <v>10</v>
      </c>
      <c r="J469">
        <f t="shared" si="68"/>
        <v>432</v>
      </c>
      <c r="K469" s="5">
        <f t="shared" si="69"/>
        <v>0</v>
      </c>
      <c r="L469">
        <f t="shared" si="70"/>
        <v>95</v>
      </c>
      <c r="M469">
        <f t="shared" si="71"/>
        <v>1</v>
      </c>
      <c r="N469">
        <f t="shared" si="72"/>
        <v>0</v>
      </c>
    </row>
    <row r="470" spans="4:14" x14ac:dyDescent="0.2">
      <c r="D470">
        <f t="shared" si="74"/>
        <v>447</v>
      </c>
      <c r="E470" s="1">
        <f t="shared" si="75"/>
        <v>-2.3135474265493992</v>
      </c>
      <c r="F470" s="1">
        <f t="shared" si="76"/>
        <v>-4.6492571410791292</v>
      </c>
      <c r="G470" s="1">
        <f t="shared" si="73"/>
        <v>9.5687074907230499E-3</v>
      </c>
      <c r="H470" s="1">
        <f t="shared" si="66"/>
        <v>9.8405453988312401E-5</v>
      </c>
      <c r="I470">
        <f t="shared" si="67"/>
        <v>10</v>
      </c>
      <c r="J470">
        <f t="shared" si="68"/>
        <v>433</v>
      </c>
      <c r="K470" s="5">
        <f t="shared" si="69"/>
        <v>0</v>
      </c>
      <c r="L470">
        <f t="shared" si="70"/>
        <v>95</v>
      </c>
      <c r="M470">
        <f t="shared" si="71"/>
        <v>1</v>
      </c>
      <c r="N470">
        <f t="shared" si="72"/>
        <v>0</v>
      </c>
    </row>
    <row r="471" spans="4:14" x14ac:dyDescent="0.2">
      <c r="D471">
        <f t="shared" si="74"/>
        <v>448</v>
      </c>
      <c r="E471" s="1">
        <f t="shared" si="75"/>
        <v>-2.3240187264166945</v>
      </c>
      <c r="F471" s="1">
        <f t="shared" si="76"/>
        <v>-4.6597284409464246</v>
      </c>
      <c r="G471" s="1">
        <f t="shared" si="73"/>
        <v>9.4690334543613523E-3</v>
      </c>
      <c r="H471" s="1">
        <f t="shared" ref="H471:H534" si="77">G471/$G$21</f>
        <v>9.7380397175934156E-5</v>
      </c>
      <c r="I471">
        <f t="shared" ref="I471:I534" si="78">IF($F$11&lt;=D471, IF(D471&lt;=$A$15,D471-$F$11,$C$11),0)</f>
        <v>10</v>
      </c>
      <c r="J471">
        <f t="shared" ref="J471:J534" si="79">IF(D471&lt;=$A$15,0,D471-$A$15)</f>
        <v>434</v>
      </c>
      <c r="K471" s="5">
        <f t="shared" ref="K471:K534" si="80">IF(D471&lt;$F$11,H471,0)</f>
        <v>0</v>
      </c>
      <c r="L471">
        <f t="shared" ref="L471:L534" si="81">IF(D471&lt;$A$15,$D$11,$D$11*(1-$H$11))</f>
        <v>95</v>
      </c>
      <c r="M471">
        <f t="shared" ref="M471:M534" si="82">IF(D471&lt;$A$15,0,1)</f>
        <v>1</v>
      </c>
      <c r="N471">
        <f t="shared" ref="N471:N534" si="83">IF(SUM(I471:J471)&lt;=($G$11/60*$F$11/($E$11/60)),1,0)</f>
        <v>0</v>
      </c>
    </row>
    <row r="472" spans="4:14" x14ac:dyDescent="0.2">
      <c r="D472">
        <f t="shared" si="74"/>
        <v>449</v>
      </c>
      <c r="E472" s="1">
        <f t="shared" si="75"/>
        <v>-2.3344900262839898</v>
      </c>
      <c r="F472" s="1">
        <f t="shared" si="76"/>
        <v>-4.6701997408137199</v>
      </c>
      <c r="G472" s="1">
        <f t="shared" ref="G472:G535" si="84">EXP(F472)</f>
        <v>9.3703976892117562E-3</v>
      </c>
      <c r="H472" s="1">
        <f t="shared" si="77"/>
        <v>9.6366018038684863E-5</v>
      </c>
      <c r="I472">
        <f t="shared" si="78"/>
        <v>10</v>
      </c>
      <c r="J472">
        <f t="shared" si="79"/>
        <v>435</v>
      </c>
      <c r="K472" s="5">
        <f t="shared" si="80"/>
        <v>0</v>
      </c>
      <c r="L472">
        <f t="shared" si="81"/>
        <v>95</v>
      </c>
      <c r="M472">
        <f t="shared" si="82"/>
        <v>1</v>
      </c>
      <c r="N472">
        <f t="shared" si="83"/>
        <v>0</v>
      </c>
    </row>
    <row r="473" spans="4:14" x14ac:dyDescent="0.2">
      <c r="D473">
        <f t="shared" ref="D473:D536" si="85">1+D472</f>
        <v>450</v>
      </c>
      <c r="E473" s="1">
        <f t="shared" ref="E473:E536" si="86">IF($H$11=1,IF(D473&lt;=$A$15, E472+LN($D$11)-LN(60/$E$11)-LN(MIN(D473,$F$11)), E472-LN(60/$E$11)-LN(MIN(D473,$F$11))), IF(D473&lt;=$A$15, E472+LN($D$11)-LN(60/$E$11)-LN(MIN(D473,$F$11)), E472+LN($D$11)+LN(1-$H$11)-LN(60/$E$11)-LN(MIN(D473,$F$11))))</f>
        <v>-2.3449613261512852</v>
      </c>
      <c r="F473" s="1">
        <f t="shared" ref="F473:F536" si="87">E473-$E$21</f>
        <v>-4.6806710406810152</v>
      </c>
      <c r="G473" s="1">
        <f t="shared" si="84"/>
        <v>9.272789379949133E-3</v>
      </c>
      <c r="H473" s="1">
        <f t="shared" si="77"/>
        <v>9.5362205350781883E-5</v>
      </c>
      <c r="I473">
        <f t="shared" si="78"/>
        <v>10</v>
      </c>
      <c r="J473">
        <f t="shared" si="79"/>
        <v>436</v>
      </c>
      <c r="K473" s="5">
        <f t="shared" si="80"/>
        <v>0</v>
      </c>
      <c r="L473">
        <f t="shared" si="81"/>
        <v>95</v>
      </c>
      <c r="M473">
        <f t="shared" si="82"/>
        <v>1</v>
      </c>
      <c r="N473">
        <f t="shared" si="83"/>
        <v>0</v>
      </c>
    </row>
    <row r="474" spans="4:14" x14ac:dyDescent="0.2">
      <c r="D474">
        <f t="shared" si="85"/>
        <v>451</v>
      </c>
      <c r="E474" s="1">
        <f t="shared" si="86"/>
        <v>-2.3554326260185805</v>
      </c>
      <c r="F474" s="1">
        <f t="shared" si="87"/>
        <v>-4.6911423405483106</v>
      </c>
      <c r="G474" s="1">
        <f t="shared" si="84"/>
        <v>9.1761978239079979E-3</v>
      </c>
      <c r="H474" s="1">
        <f t="shared" si="77"/>
        <v>9.4368849045044586E-5</v>
      </c>
      <c r="I474">
        <f t="shared" si="78"/>
        <v>10</v>
      </c>
      <c r="J474">
        <f t="shared" si="79"/>
        <v>437</v>
      </c>
      <c r="K474" s="5">
        <f t="shared" si="80"/>
        <v>0</v>
      </c>
      <c r="L474">
        <f t="shared" si="81"/>
        <v>95</v>
      </c>
      <c r="M474">
        <f t="shared" si="82"/>
        <v>1</v>
      </c>
      <c r="N474">
        <f t="shared" si="83"/>
        <v>0</v>
      </c>
    </row>
    <row r="475" spans="4:14" x14ac:dyDescent="0.2">
      <c r="D475">
        <f t="shared" si="85"/>
        <v>452</v>
      </c>
      <c r="E475" s="1">
        <f t="shared" si="86"/>
        <v>-2.3659039258858758</v>
      </c>
      <c r="F475" s="1">
        <f t="shared" si="87"/>
        <v>-4.7016136404156059</v>
      </c>
      <c r="G475" s="1">
        <f t="shared" si="84"/>
        <v>9.0806124299089557E-3</v>
      </c>
      <c r="H475" s="1">
        <f t="shared" si="77"/>
        <v>9.3385840200825365E-5</v>
      </c>
      <c r="I475">
        <f t="shared" si="78"/>
        <v>10</v>
      </c>
      <c r="J475">
        <f t="shared" si="79"/>
        <v>438</v>
      </c>
      <c r="K475" s="5">
        <f t="shared" si="80"/>
        <v>0</v>
      </c>
      <c r="L475">
        <f t="shared" si="81"/>
        <v>95</v>
      </c>
      <c r="M475">
        <f t="shared" si="82"/>
        <v>1</v>
      </c>
      <c r="N475">
        <f t="shared" si="83"/>
        <v>0</v>
      </c>
    </row>
    <row r="476" spans="4:14" x14ac:dyDescent="0.2">
      <c r="D476">
        <f t="shared" si="85"/>
        <v>453</v>
      </c>
      <c r="E476" s="1">
        <f t="shared" si="86"/>
        <v>-2.3763752257531712</v>
      </c>
      <c r="F476" s="1">
        <f t="shared" si="87"/>
        <v>-4.7120849402829013</v>
      </c>
      <c r="G476" s="1">
        <f t="shared" si="84"/>
        <v>8.9860227170974055E-3</v>
      </c>
      <c r="H476" s="1">
        <f t="shared" si="77"/>
        <v>9.2413071032066782E-5</v>
      </c>
      <c r="I476">
        <f t="shared" si="78"/>
        <v>10</v>
      </c>
      <c r="J476">
        <f t="shared" si="79"/>
        <v>439</v>
      </c>
      <c r="K476" s="5">
        <f t="shared" si="80"/>
        <v>0</v>
      </c>
      <c r="L476">
        <f t="shared" si="81"/>
        <v>95</v>
      </c>
      <c r="M476">
        <f t="shared" si="82"/>
        <v>1</v>
      </c>
      <c r="N476">
        <f t="shared" si="83"/>
        <v>0</v>
      </c>
    </row>
    <row r="477" spans="4:14" x14ac:dyDescent="0.2">
      <c r="D477">
        <f t="shared" si="85"/>
        <v>454</v>
      </c>
      <c r="E477" s="1">
        <f t="shared" si="86"/>
        <v>-2.3868465256204665</v>
      </c>
      <c r="F477" s="1">
        <f t="shared" si="87"/>
        <v>-4.7225562401501966</v>
      </c>
      <c r="G477" s="1">
        <f t="shared" si="84"/>
        <v>8.8924183137943074E-3</v>
      </c>
      <c r="H477" s="1">
        <f t="shared" si="77"/>
        <v>9.1450434875482752E-5</v>
      </c>
      <c r="I477">
        <f t="shared" si="78"/>
        <v>10</v>
      </c>
      <c r="J477">
        <f t="shared" si="79"/>
        <v>440</v>
      </c>
      <c r="K477" s="5">
        <f t="shared" si="80"/>
        <v>0</v>
      </c>
      <c r="L477">
        <f t="shared" si="81"/>
        <v>95</v>
      </c>
      <c r="M477">
        <f t="shared" si="82"/>
        <v>1</v>
      </c>
      <c r="N477">
        <f t="shared" si="83"/>
        <v>0</v>
      </c>
    </row>
    <row r="478" spans="4:14" x14ac:dyDescent="0.2">
      <c r="D478">
        <f t="shared" si="85"/>
        <v>455</v>
      </c>
      <c r="E478" s="1">
        <f t="shared" si="86"/>
        <v>-2.3973178254877618</v>
      </c>
      <c r="F478" s="1">
        <f t="shared" si="87"/>
        <v>-4.7330275400174919</v>
      </c>
      <c r="G478" s="1">
        <f t="shared" si="84"/>
        <v>8.7997889563589515E-3</v>
      </c>
      <c r="H478" s="1">
        <f t="shared" si="77"/>
        <v>9.0497826178863154E-5</v>
      </c>
      <c r="I478">
        <f t="shared" si="78"/>
        <v>10</v>
      </c>
      <c r="J478">
        <f t="shared" si="79"/>
        <v>441</v>
      </c>
      <c r="K478" s="5">
        <f t="shared" si="80"/>
        <v>0</v>
      </c>
      <c r="L478">
        <f t="shared" si="81"/>
        <v>95</v>
      </c>
      <c r="M478">
        <f t="shared" si="82"/>
        <v>1</v>
      </c>
      <c r="N478">
        <f t="shared" si="83"/>
        <v>0</v>
      </c>
    </row>
    <row r="479" spans="4:14" x14ac:dyDescent="0.2">
      <c r="D479">
        <f t="shared" si="85"/>
        <v>456</v>
      </c>
      <c r="E479" s="1">
        <f t="shared" si="86"/>
        <v>-2.4077891253550572</v>
      </c>
      <c r="F479" s="1">
        <f t="shared" si="87"/>
        <v>-4.7434988398847873</v>
      </c>
      <c r="G479" s="1">
        <f t="shared" si="84"/>
        <v>8.7081244880635456E-3</v>
      </c>
      <c r="H479" s="1">
        <f t="shared" si="77"/>
        <v>8.9555140489500003E-5</v>
      </c>
      <c r="I479">
        <f t="shared" si="78"/>
        <v>10</v>
      </c>
      <c r="J479">
        <f t="shared" si="79"/>
        <v>442</v>
      </c>
      <c r="K479" s="5">
        <f t="shared" si="80"/>
        <v>0</v>
      </c>
      <c r="L479">
        <f t="shared" si="81"/>
        <v>95</v>
      </c>
      <c r="M479">
        <f t="shared" si="82"/>
        <v>1</v>
      </c>
      <c r="N479">
        <f t="shared" si="83"/>
        <v>0</v>
      </c>
    </row>
    <row r="480" spans="4:14" x14ac:dyDescent="0.2">
      <c r="D480">
        <f t="shared" si="85"/>
        <v>457</v>
      </c>
      <c r="E480" s="1">
        <f t="shared" si="86"/>
        <v>-2.4182604252223525</v>
      </c>
      <c r="F480" s="1">
        <f t="shared" si="87"/>
        <v>-4.7539701397520826</v>
      </c>
      <c r="G480" s="1">
        <f t="shared" si="84"/>
        <v>8.6174148579795523E-3</v>
      </c>
      <c r="H480" s="1">
        <f t="shared" si="77"/>
        <v>8.86222744427344E-5</v>
      </c>
      <c r="I480">
        <f t="shared" si="78"/>
        <v>10</v>
      </c>
      <c r="J480">
        <f t="shared" si="79"/>
        <v>443</v>
      </c>
      <c r="K480" s="5">
        <f t="shared" si="80"/>
        <v>0</v>
      </c>
      <c r="L480">
        <f t="shared" si="81"/>
        <v>95</v>
      </c>
      <c r="M480">
        <f t="shared" si="82"/>
        <v>1</v>
      </c>
      <c r="N480">
        <f t="shared" si="83"/>
        <v>0</v>
      </c>
    </row>
    <row r="481" spans="4:14" x14ac:dyDescent="0.2">
      <c r="D481">
        <f t="shared" si="85"/>
        <v>458</v>
      </c>
      <c r="E481" s="1">
        <f t="shared" si="86"/>
        <v>-2.4287317250896479</v>
      </c>
      <c r="F481" s="1">
        <f t="shared" si="87"/>
        <v>-4.7644414396193779</v>
      </c>
      <c r="G481" s="1">
        <f t="shared" si="84"/>
        <v>8.5276501198755985E-3</v>
      </c>
      <c r="H481" s="1">
        <f t="shared" si="77"/>
        <v>8.7699125750622577E-5</v>
      </c>
      <c r="I481">
        <f t="shared" si="78"/>
        <v>10</v>
      </c>
      <c r="J481">
        <f t="shared" si="79"/>
        <v>444</v>
      </c>
      <c r="K481" s="5">
        <f t="shared" si="80"/>
        <v>0</v>
      </c>
      <c r="L481">
        <f t="shared" si="81"/>
        <v>95</v>
      </c>
      <c r="M481">
        <f t="shared" si="82"/>
        <v>1</v>
      </c>
      <c r="N481">
        <f t="shared" si="83"/>
        <v>0</v>
      </c>
    </row>
    <row r="482" spans="4:14" x14ac:dyDescent="0.2">
      <c r="D482">
        <f t="shared" si="85"/>
        <v>459</v>
      </c>
      <c r="E482" s="1">
        <f t="shared" si="86"/>
        <v>-2.4392030249569432</v>
      </c>
      <c r="F482" s="1">
        <f t="shared" si="87"/>
        <v>-4.7749127394866733</v>
      </c>
      <c r="G482" s="1">
        <f t="shared" si="84"/>
        <v>8.4388204311268943E-3</v>
      </c>
      <c r="H482" s="1">
        <f t="shared" si="77"/>
        <v>8.6785593190720261E-5</v>
      </c>
      <c r="I482">
        <f t="shared" si="78"/>
        <v>10</v>
      </c>
      <c r="J482">
        <f t="shared" si="79"/>
        <v>445</v>
      </c>
      <c r="K482" s="5">
        <f t="shared" si="80"/>
        <v>0</v>
      </c>
      <c r="L482">
        <f t="shared" si="81"/>
        <v>95</v>
      </c>
      <c r="M482">
        <f t="shared" si="82"/>
        <v>1</v>
      </c>
      <c r="N482">
        <f t="shared" si="83"/>
        <v>0</v>
      </c>
    </row>
    <row r="483" spans="4:14" x14ac:dyDescent="0.2">
      <c r="D483">
        <f t="shared" si="85"/>
        <v>460</v>
      </c>
      <c r="E483" s="1">
        <f t="shared" si="86"/>
        <v>-2.4496743248242385</v>
      </c>
      <c r="F483" s="1">
        <f t="shared" si="87"/>
        <v>-4.7853840393539686</v>
      </c>
      <c r="G483" s="1">
        <f t="shared" si="84"/>
        <v>8.3509160516359905E-3</v>
      </c>
      <c r="H483" s="1">
        <f t="shared" si="77"/>
        <v>8.5881576594983605E-5</v>
      </c>
      <c r="I483">
        <f t="shared" si="78"/>
        <v>10</v>
      </c>
      <c r="J483">
        <f t="shared" si="79"/>
        <v>446</v>
      </c>
      <c r="K483" s="5">
        <f t="shared" si="80"/>
        <v>0</v>
      </c>
      <c r="L483">
        <f t="shared" si="81"/>
        <v>95</v>
      </c>
      <c r="M483">
        <f t="shared" si="82"/>
        <v>1</v>
      </c>
      <c r="N483">
        <f t="shared" si="83"/>
        <v>0</v>
      </c>
    </row>
    <row r="484" spans="4:14" x14ac:dyDescent="0.2">
      <c r="D484">
        <f t="shared" si="85"/>
        <v>461</v>
      </c>
      <c r="E484" s="1">
        <f t="shared" si="86"/>
        <v>-2.4601456246915339</v>
      </c>
      <c r="F484" s="1">
        <f t="shared" si="87"/>
        <v>-4.7958553392212639</v>
      </c>
      <c r="G484" s="1">
        <f t="shared" si="84"/>
        <v>8.2639273427647826E-3</v>
      </c>
      <c r="H484" s="1">
        <f t="shared" si="77"/>
        <v>8.4986976838785861E-5</v>
      </c>
      <c r="I484">
        <f t="shared" si="78"/>
        <v>10</v>
      </c>
      <c r="J484">
        <f t="shared" si="79"/>
        <v>447</v>
      </c>
      <c r="K484" s="5">
        <f t="shared" si="80"/>
        <v>0</v>
      </c>
      <c r="L484">
        <f t="shared" si="81"/>
        <v>95</v>
      </c>
      <c r="M484">
        <f t="shared" si="82"/>
        <v>1</v>
      </c>
      <c r="N484">
        <f t="shared" si="83"/>
        <v>0</v>
      </c>
    </row>
    <row r="485" spans="4:14" x14ac:dyDescent="0.2">
      <c r="D485">
        <f t="shared" si="85"/>
        <v>462</v>
      </c>
      <c r="E485" s="1">
        <f t="shared" si="86"/>
        <v>-2.4706169245588292</v>
      </c>
      <c r="F485" s="1">
        <f t="shared" si="87"/>
        <v>-4.8063266390885593</v>
      </c>
      <c r="G485" s="1">
        <f t="shared" si="84"/>
        <v>8.1778447662776508E-3</v>
      </c>
      <c r="H485" s="1">
        <f t="shared" si="77"/>
        <v>8.4101695830048528E-5</v>
      </c>
      <c r="I485">
        <f t="shared" si="78"/>
        <v>10</v>
      </c>
      <c r="J485">
        <f t="shared" si="79"/>
        <v>448</v>
      </c>
      <c r="K485" s="5">
        <f t="shared" si="80"/>
        <v>0</v>
      </c>
      <c r="L485">
        <f t="shared" si="81"/>
        <v>95</v>
      </c>
      <c r="M485">
        <f t="shared" si="82"/>
        <v>1</v>
      </c>
      <c r="N485">
        <f t="shared" si="83"/>
        <v>0</v>
      </c>
    </row>
    <row r="486" spans="4:14" x14ac:dyDescent="0.2">
      <c r="D486">
        <f t="shared" si="85"/>
        <v>463</v>
      </c>
      <c r="E486" s="1">
        <f t="shared" si="86"/>
        <v>-2.4810882244261245</v>
      </c>
      <c r="F486" s="1">
        <f t="shared" si="87"/>
        <v>-4.8167979389558546</v>
      </c>
      <c r="G486" s="1">
        <f t="shared" si="84"/>
        <v>8.092658883295592E-3</v>
      </c>
      <c r="H486" s="1">
        <f t="shared" si="77"/>
        <v>8.3225636498485513E-5</v>
      </c>
      <c r="I486">
        <f t="shared" si="78"/>
        <v>10</v>
      </c>
      <c r="J486">
        <f t="shared" si="79"/>
        <v>449</v>
      </c>
      <c r="K486" s="5">
        <f t="shared" si="80"/>
        <v>0</v>
      </c>
      <c r="L486">
        <f t="shared" si="81"/>
        <v>95</v>
      </c>
      <c r="M486">
        <f t="shared" si="82"/>
        <v>1</v>
      </c>
      <c r="N486">
        <f t="shared" si="83"/>
        <v>0</v>
      </c>
    </row>
    <row r="487" spans="4:14" x14ac:dyDescent="0.2">
      <c r="D487">
        <f t="shared" si="85"/>
        <v>464</v>
      </c>
      <c r="E487" s="1">
        <f t="shared" si="86"/>
        <v>-2.4915595242934199</v>
      </c>
      <c r="F487" s="1">
        <f t="shared" si="87"/>
        <v>-4.82726923882315</v>
      </c>
      <c r="G487" s="1">
        <f t="shared" si="84"/>
        <v>8.0083603532612631E-3</v>
      </c>
      <c r="H487" s="1">
        <f t="shared" si="77"/>
        <v>8.2358702784959635E-5</v>
      </c>
      <c r="I487">
        <f t="shared" si="78"/>
        <v>10</v>
      </c>
      <c r="J487">
        <f t="shared" si="79"/>
        <v>450</v>
      </c>
      <c r="K487" s="5">
        <f t="shared" si="80"/>
        <v>0</v>
      </c>
      <c r="L487">
        <f t="shared" si="81"/>
        <v>95</v>
      </c>
      <c r="M487">
        <f t="shared" si="82"/>
        <v>1</v>
      </c>
      <c r="N487">
        <f t="shared" si="83"/>
        <v>0</v>
      </c>
    </row>
    <row r="488" spans="4:14" x14ac:dyDescent="0.2">
      <c r="D488">
        <f t="shared" si="85"/>
        <v>465</v>
      </c>
      <c r="E488" s="1">
        <f t="shared" si="86"/>
        <v>-2.5020308241607152</v>
      </c>
      <c r="F488" s="1">
        <f t="shared" si="87"/>
        <v>-4.8377405386904453</v>
      </c>
      <c r="G488" s="1">
        <f t="shared" si="84"/>
        <v>7.9249399329147929E-3</v>
      </c>
      <c r="H488" s="1">
        <f t="shared" si="77"/>
        <v>8.1500799630949646E-5</v>
      </c>
      <c r="I488">
        <f t="shared" si="78"/>
        <v>10</v>
      </c>
      <c r="J488">
        <f t="shared" si="79"/>
        <v>451</v>
      </c>
      <c r="K488" s="5">
        <f t="shared" si="80"/>
        <v>0</v>
      </c>
      <c r="L488">
        <f t="shared" si="81"/>
        <v>95</v>
      </c>
      <c r="M488">
        <f t="shared" si="82"/>
        <v>1</v>
      </c>
      <c r="N488">
        <f t="shared" si="83"/>
        <v>0</v>
      </c>
    </row>
    <row r="489" spans="4:14" x14ac:dyDescent="0.2">
      <c r="D489">
        <f t="shared" si="85"/>
        <v>466</v>
      </c>
      <c r="E489" s="1">
        <f t="shared" si="86"/>
        <v>-2.5125021240280105</v>
      </c>
      <c r="F489" s="1">
        <f t="shared" si="87"/>
        <v>-4.8482118385577406</v>
      </c>
      <c r="G489" s="1">
        <f t="shared" si="84"/>
        <v>7.8423884752802635E-3</v>
      </c>
      <c r="H489" s="1">
        <f t="shared" si="77"/>
        <v>8.0651832968127251E-5</v>
      </c>
      <c r="I489">
        <f t="shared" si="78"/>
        <v>10</v>
      </c>
      <c r="J489">
        <f t="shared" si="79"/>
        <v>452</v>
      </c>
      <c r="K489" s="5">
        <f t="shared" si="80"/>
        <v>0</v>
      </c>
      <c r="L489">
        <f t="shared" si="81"/>
        <v>95</v>
      </c>
      <c r="M489">
        <f t="shared" si="82"/>
        <v>1</v>
      </c>
      <c r="N489">
        <f t="shared" si="83"/>
        <v>0</v>
      </c>
    </row>
    <row r="490" spans="4:14" x14ac:dyDescent="0.2">
      <c r="D490">
        <f t="shared" si="85"/>
        <v>467</v>
      </c>
      <c r="E490" s="1">
        <f t="shared" si="86"/>
        <v>-2.5229734238953059</v>
      </c>
      <c r="F490" s="1">
        <f t="shared" si="87"/>
        <v>-4.858683138425036</v>
      </c>
      <c r="G490" s="1">
        <f t="shared" si="84"/>
        <v>7.7606969286627614E-3</v>
      </c>
      <c r="H490" s="1">
        <f t="shared" si="77"/>
        <v>7.9811709708042604E-5</v>
      </c>
      <c r="I490">
        <f t="shared" si="78"/>
        <v>10</v>
      </c>
      <c r="J490">
        <f t="shared" si="79"/>
        <v>453</v>
      </c>
      <c r="K490" s="5">
        <f t="shared" si="80"/>
        <v>0</v>
      </c>
      <c r="L490">
        <f t="shared" si="81"/>
        <v>95</v>
      </c>
      <c r="M490">
        <f t="shared" si="82"/>
        <v>1</v>
      </c>
      <c r="N490">
        <f t="shared" si="83"/>
        <v>0</v>
      </c>
    </row>
    <row r="491" spans="4:14" x14ac:dyDescent="0.2">
      <c r="D491">
        <f t="shared" si="85"/>
        <v>468</v>
      </c>
      <c r="E491" s="1">
        <f t="shared" si="86"/>
        <v>-2.5334447237626012</v>
      </c>
      <c r="F491" s="1">
        <f t="shared" si="87"/>
        <v>-4.8691544382923313</v>
      </c>
      <c r="G491" s="1">
        <f t="shared" si="84"/>
        <v>7.6798563356558578E-3</v>
      </c>
      <c r="H491" s="1">
        <f t="shared" si="77"/>
        <v>7.8980337731917159E-5</v>
      </c>
      <c r="I491">
        <f t="shared" si="78"/>
        <v>10</v>
      </c>
      <c r="J491">
        <f t="shared" si="79"/>
        <v>454</v>
      </c>
      <c r="K491" s="5">
        <f t="shared" si="80"/>
        <v>0</v>
      </c>
      <c r="L491">
        <f t="shared" si="81"/>
        <v>95</v>
      </c>
      <c r="M491">
        <f t="shared" si="82"/>
        <v>1</v>
      </c>
      <c r="N491">
        <f t="shared" si="83"/>
        <v>0</v>
      </c>
    </row>
    <row r="492" spans="4:14" x14ac:dyDescent="0.2">
      <c r="D492">
        <f t="shared" si="85"/>
        <v>469</v>
      </c>
      <c r="E492" s="1">
        <f t="shared" si="86"/>
        <v>-2.5439160236298966</v>
      </c>
      <c r="F492" s="1">
        <f t="shared" si="87"/>
        <v>-4.8796257381596266</v>
      </c>
      <c r="G492" s="1">
        <f t="shared" si="84"/>
        <v>7.5998578321594436E-3</v>
      </c>
      <c r="H492" s="1">
        <f t="shared" si="77"/>
        <v>7.8157625880543035E-5</v>
      </c>
      <c r="I492">
        <f t="shared" si="78"/>
        <v>10</v>
      </c>
      <c r="J492">
        <f t="shared" si="79"/>
        <v>455</v>
      </c>
      <c r="K492" s="5">
        <f t="shared" si="80"/>
        <v>0</v>
      </c>
      <c r="L492">
        <f t="shared" si="81"/>
        <v>95</v>
      </c>
      <c r="M492">
        <f t="shared" si="82"/>
        <v>1</v>
      </c>
      <c r="N492">
        <f t="shared" si="83"/>
        <v>0</v>
      </c>
    </row>
    <row r="493" spans="4:14" x14ac:dyDescent="0.2">
      <c r="D493">
        <f t="shared" si="85"/>
        <v>470</v>
      </c>
      <c r="E493" s="1">
        <f t="shared" si="86"/>
        <v>-2.5543873234971919</v>
      </c>
      <c r="F493" s="1">
        <f t="shared" si="87"/>
        <v>-4.890097038026922</v>
      </c>
      <c r="G493" s="1">
        <f t="shared" si="84"/>
        <v>7.520692646407783E-3</v>
      </c>
      <c r="H493" s="1">
        <f t="shared" si="77"/>
        <v>7.7343483944287375E-5</v>
      </c>
      <c r="I493">
        <f t="shared" si="78"/>
        <v>10</v>
      </c>
      <c r="J493">
        <f t="shared" si="79"/>
        <v>456</v>
      </c>
      <c r="K493" s="5">
        <f t="shared" si="80"/>
        <v>0</v>
      </c>
      <c r="L493">
        <f t="shared" si="81"/>
        <v>95</v>
      </c>
      <c r="M493">
        <f t="shared" si="82"/>
        <v>1</v>
      </c>
      <c r="N493">
        <f t="shared" si="83"/>
        <v>0</v>
      </c>
    </row>
    <row r="494" spans="4:14" x14ac:dyDescent="0.2">
      <c r="D494">
        <f t="shared" si="85"/>
        <v>471</v>
      </c>
      <c r="E494" s="1">
        <f t="shared" si="86"/>
        <v>-2.5648586233644872</v>
      </c>
      <c r="F494" s="1">
        <f t="shared" si="87"/>
        <v>-4.9005683378942173</v>
      </c>
      <c r="G494" s="1">
        <f t="shared" si="84"/>
        <v>7.4423520980077028E-3</v>
      </c>
      <c r="H494" s="1">
        <f t="shared" si="77"/>
        <v>7.6537822653201056E-5</v>
      </c>
      <c r="I494">
        <f t="shared" si="78"/>
        <v>10</v>
      </c>
      <c r="J494">
        <f t="shared" si="79"/>
        <v>457</v>
      </c>
      <c r="K494" s="5">
        <f t="shared" si="80"/>
        <v>0</v>
      </c>
      <c r="L494">
        <f t="shared" si="81"/>
        <v>95</v>
      </c>
      <c r="M494">
        <f t="shared" si="82"/>
        <v>1</v>
      </c>
      <c r="N494">
        <f t="shared" si="83"/>
        <v>0</v>
      </c>
    </row>
    <row r="495" spans="4:14" x14ac:dyDescent="0.2">
      <c r="D495">
        <f t="shared" si="85"/>
        <v>472</v>
      </c>
      <c r="E495" s="1">
        <f t="shared" si="86"/>
        <v>-2.5753299232317826</v>
      </c>
      <c r="F495" s="1">
        <f t="shared" si="87"/>
        <v>-4.9110396377615126</v>
      </c>
      <c r="G495" s="1">
        <f t="shared" si="84"/>
        <v>7.3648275969867899E-3</v>
      </c>
      <c r="H495" s="1">
        <f t="shared" si="77"/>
        <v>7.5740553667230217E-5</v>
      </c>
      <c r="I495">
        <f t="shared" si="78"/>
        <v>10</v>
      </c>
      <c r="J495">
        <f t="shared" si="79"/>
        <v>458</v>
      </c>
      <c r="K495" s="5">
        <f t="shared" si="80"/>
        <v>0</v>
      </c>
      <c r="L495">
        <f t="shared" si="81"/>
        <v>95</v>
      </c>
      <c r="M495">
        <f t="shared" si="82"/>
        <v>1</v>
      </c>
      <c r="N495">
        <f t="shared" si="83"/>
        <v>0</v>
      </c>
    </row>
    <row r="496" spans="4:14" x14ac:dyDescent="0.2">
      <c r="D496">
        <f t="shared" si="85"/>
        <v>473</v>
      </c>
      <c r="E496" s="1">
        <f t="shared" si="86"/>
        <v>-2.5858012230990779</v>
      </c>
      <c r="F496" s="1">
        <f t="shared" si="87"/>
        <v>-4.921510937628808</v>
      </c>
      <c r="G496" s="1">
        <f t="shared" si="84"/>
        <v>7.2881106428515112E-3</v>
      </c>
      <c r="H496" s="1">
        <f t="shared" si="77"/>
        <v>7.4951589566529908E-5</v>
      </c>
      <c r="I496">
        <f t="shared" si="78"/>
        <v>10</v>
      </c>
      <c r="J496">
        <f t="shared" si="79"/>
        <v>459</v>
      </c>
      <c r="K496" s="5">
        <f t="shared" si="80"/>
        <v>0</v>
      </c>
      <c r="L496">
        <f t="shared" si="81"/>
        <v>95</v>
      </c>
      <c r="M496">
        <f t="shared" si="82"/>
        <v>1</v>
      </c>
      <c r="N496">
        <f t="shared" si="83"/>
        <v>0</v>
      </c>
    </row>
    <row r="497" spans="4:14" x14ac:dyDescent="0.2">
      <c r="D497">
        <f t="shared" si="85"/>
        <v>474</v>
      </c>
      <c r="E497" s="1">
        <f t="shared" si="86"/>
        <v>-2.5962725229663732</v>
      </c>
      <c r="F497" s="1">
        <f t="shared" si="87"/>
        <v>-4.9319822374961033</v>
      </c>
      <c r="G497" s="1">
        <f t="shared" si="84"/>
        <v>7.2121928236551416E-3</v>
      </c>
      <c r="H497" s="1">
        <f t="shared" si="77"/>
        <v>7.4170843841878564E-5</v>
      </c>
      <c r="I497">
        <f t="shared" si="78"/>
        <v>10</v>
      </c>
      <c r="J497">
        <f t="shared" si="79"/>
        <v>460</v>
      </c>
      <c r="K497" s="5">
        <f t="shared" si="80"/>
        <v>0</v>
      </c>
      <c r="L497">
        <f t="shared" si="81"/>
        <v>95</v>
      </c>
      <c r="M497">
        <f t="shared" si="82"/>
        <v>1</v>
      </c>
      <c r="N497">
        <f t="shared" si="83"/>
        <v>0</v>
      </c>
    </row>
    <row r="498" spans="4:14" x14ac:dyDescent="0.2">
      <c r="D498">
        <f t="shared" si="85"/>
        <v>475</v>
      </c>
      <c r="E498" s="1">
        <f t="shared" si="86"/>
        <v>-2.6067438228336686</v>
      </c>
      <c r="F498" s="1">
        <f t="shared" si="87"/>
        <v>-4.9424535373633987</v>
      </c>
      <c r="G498" s="1">
        <f t="shared" si="84"/>
        <v>7.137065815075401E-3</v>
      </c>
      <c r="H498" s="1">
        <f t="shared" si="77"/>
        <v>7.3398230885192331E-5</v>
      </c>
      <c r="I498">
        <f t="shared" si="78"/>
        <v>10</v>
      </c>
      <c r="J498">
        <f t="shared" si="79"/>
        <v>461</v>
      </c>
      <c r="K498" s="5">
        <f t="shared" si="80"/>
        <v>0</v>
      </c>
      <c r="L498">
        <f t="shared" si="81"/>
        <v>95</v>
      </c>
      <c r="M498">
        <f t="shared" si="82"/>
        <v>1</v>
      </c>
      <c r="N498">
        <f t="shared" si="83"/>
        <v>0</v>
      </c>
    </row>
    <row r="499" spans="4:14" x14ac:dyDescent="0.2">
      <c r="D499">
        <f t="shared" si="85"/>
        <v>476</v>
      </c>
      <c r="E499" s="1">
        <f t="shared" si="86"/>
        <v>-2.6172151227009639</v>
      </c>
      <c r="F499" s="1">
        <f t="shared" si="87"/>
        <v>-4.952924837230694</v>
      </c>
      <c r="G499" s="1">
        <f t="shared" si="84"/>
        <v>7.0627213795016993E-3</v>
      </c>
      <c r="H499" s="1">
        <f t="shared" si="77"/>
        <v>7.2633665980138245E-5</v>
      </c>
      <c r="I499">
        <f t="shared" si="78"/>
        <v>10</v>
      </c>
      <c r="J499">
        <f t="shared" si="79"/>
        <v>462</v>
      </c>
      <c r="K499" s="5">
        <f t="shared" si="80"/>
        <v>0</v>
      </c>
      <c r="L499">
        <f t="shared" si="81"/>
        <v>95</v>
      </c>
      <c r="M499">
        <f t="shared" si="82"/>
        <v>1</v>
      </c>
      <c r="N499">
        <f t="shared" si="83"/>
        <v>0</v>
      </c>
    </row>
    <row r="500" spans="4:14" x14ac:dyDescent="0.2">
      <c r="D500">
        <f t="shared" si="85"/>
        <v>477</v>
      </c>
      <c r="E500" s="1">
        <f t="shared" si="86"/>
        <v>-2.6276864225682592</v>
      </c>
      <c r="F500" s="1">
        <f t="shared" si="87"/>
        <v>-4.9633961370979893</v>
      </c>
      <c r="G500" s="1">
        <f t="shared" si="84"/>
        <v>6.9891513651318907E-3</v>
      </c>
      <c r="H500" s="1">
        <f t="shared" si="77"/>
        <v>7.1877065292845149E-5</v>
      </c>
      <c r="I500">
        <f t="shared" si="78"/>
        <v>10</v>
      </c>
      <c r="J500">
        <f t="shared" si="79"/>
        <v>463</v>
      </c>
      <c r="K500" s="5">
        <f t="shared" si="80"/>
        <v>0</v>
      </c>
      <c r="L500">
        <f t="shared" si="81"/>
        <v>95</v>
      </c>
      <c r="M500">
        <f t="shared" si="82"/>
        <v>1</v>
      </c>
      <c r="N500">
        <f t="shared" si="83"/>
        <v>0</v>
      </c>
    </row>
    <row r="501" spans="4:14" x14ac:dyDescent="0.2">
      <c r="D501">
        <f t="shared" si="85"/>
        <v>478</v>
      </c>
      <c r="E501" s="1">
        <f t="shared" si="86"/>
        <v>-2.6381577224355546</v>
      </c>
      <c r="F501" s="1">
        <f t="shared" si="87"/>
        <v>-4.9738674369652847</v>
      </c>
      <c r="G501" s="1">
        <f t="shared" si="84"/>
        <v>6.9163477050784338E-3</v>
      </c>
      <c r="H501" s="1">
        <f t="shared" si="77"/>
        <v>7.1128345862711342E-5</v>
      </c>
      <c r="I501">
        <f t="shared" si="78"/>
        <v>10</v>
      </c>
      <c r="J501">
        <f t="shared" si="79"/>
        <v>464</v>
      </c>
      <c r="K501" s="5">
        <f t="shared" si="80"/>
        <v>0</v>
      </c>
      <c r="L501">
        <f t="shared" si="81"/>
        <v>95</v>
      </c>
      <c r="M501">
        <f t="shared" si="82"/>
        <v>1</v>
      </c>
      <c r="N501">
        <f t="shared" si="83"/>
        <v>0</v>
      </c>
    </row>
    <row r="502" spans="4:14" x14ac:dyDescent="0.2">
      <c r="D502">
        <f t="shared" si="85"/>
        <v>479</v>
      </c>
      <c r="E502" s="1">
        <f t="shared" si="86"/>
        <v>-2.6486290223028499</v>
      </c>
      <c r="F502" s="1">
        <f t="shared" si="87"/>
        <v>-4.98433873683258</v>
      </c>
      <c r="G502" s="1">
        <f t="shared" si="84"/>
        <v>6.8443024164838674E-3</v>
      </c>
      <c r="H502" s="1">
        <f t="shared" si="77"/>
        <v>7.0387425593308116E-5</v>
      </c>
      <c r="I502">
        <f t="shared" si="78"/>
        <v>10</v>
      </c>
      <c r="J502">
        <f t="shared" si="79"/>
        <v>465</v>
      </c>
      <c r="K502" s="5">
        <f t="shared" si="80"/>
        <v>0</v>
      </c>
      <c r="L502">
        <f t="shared" si="81"/>
        <v>95</v>
      </c>
      <c r="M502">
        <f t="shared" si="82"/>
        <v>1</v>
      </c>
      <c r="N502">
        <f t="shared" si="83"/>
        <v>0</v>
      </c>
    </row>
    <row r="503" spans="4:14" x14ac:dyDescent="0.2">
      <c r="D503">
        <f t="shared" si="85"/>
        <v>480</v>
      </c>
      <c r="E503" s="1">
        <f t="shared" si="86"/>
        <v>-2.6591003221701452</v>
      </c>
      <c r="F503" s="1">
        <f t="shared" si="87"/>
        <v>-4.9948100366998753</v>
      </c>
      <c r="G503" s="1">
        <f t="shared" si="84"/>
        <v>6.773007599645494E-3</v>
      </c>
      <c r="H503" s="1">
        <f t="shared" si="77"/>
        <v>6.9654223243377825E-5</v>
      </c>
      <c r="I503">
        <f t="shared" si="78"/>
        <v>10</v>
      </c>
      <c r="J503">
        <f t="shared" si="79"/>
        <v>466</v>
      </c>
      <c r="K503" s="5">
        <f t="shared" si="80"/>
        <v>0</v>
      </c>
      <c r="L503">
        <f t="shared" si="81"/>
        <v>95</v>
      </c>
      <c r="M503">
        <f t="shared" si="82"/>
        <v>1</v>
      </c>
      <c r="N503">
        <f t="shared" si="83"/>
        <v>0</v>
      </c>
    </row>
    <row r="504" spans="4:14" x14ac:dyDescent="0.2">
      <c r="D504">
        <f t="shared" si="85"/>
        <v>481</v>
      </c>
      <c r="E504" s="1">
        <f t="shared" si="86"/>
        <v>-2.6695716220374406</v>
      </c>
      <c r="F504" s="1">
        <f t="shared" si="87"/>
        <v>-5.0052813365671707</v>
      </c>
      <c r="G504" s="1">
        <f t="shared" si="84"/>
        <v>6.702455437149187E-3</v>
      </c>
      <c r="H504" s="1">
        <f t="shared" si="77"/>
        <v>6.8928658417925976E-5</v>
      </c>
      <c r="I504">
        <f t="shared" si="78"/>
        <v>10</v>
      </c>
      <c r="J504">
        <f t="shared" si="79"/>
        <v>467</v>
      </c>
      <c r="K504" s="5">
        <f t="shared" si="80"/>
        <v>0</v>
      </c>
      <c r="L504">
        <f t="shared" si="81"/>
        <v>95</v>
      </c>
      <c r="M504">
        <f t="shared" si="82"/>
        <v>1</v>
      </c>
      <c r="N504">
        <f t="shared" si="83"/>
        <v>0</v>
      </c>
    </row>
    <row r="505" spans="4:14" x14ac:dyDescent="0.2">
      <c r="D505">
        <f t="shared" si="85"/>
        <v>482</v>
      </c>
      <c r="E505" s="1">
        <f t="shared" si="86"/>
        <v>-2.6800429219047359</v>
      </c>
      <c r="F505" s="1">
        <f t="shared" si="87"/>
        <v>-5.015752636434466</v>
      </c>
      <c r="G505" s="1">
        <f t="shared" si="84"/>
        <v>6.632638193012217E-3</v>
      </c>
      <c r="H505" s="1">
        <f t="shared" si="77"/>
        <v>6.8210651559405915E-5</v>
      </c>
      <c r="I505">
        <f t="shared" si="78"/>
        <v>10</v>
      </c>
      <c r="J505">
        <f t="shared" si="79"/>
        <v>468</v>
      </c>
      <c r="K505" s="5">
        <f t="shared" si="80"/>
        <v>0</v>
      </c>
      <c r="L505">
        <f t="shared" si="81"/>
        <v>95</v>
      </c>
      <c r="M505">
        <f t="shared" si="82"/>
        <v>1</v>
      </c>
      <c r="N505">
        <f t="shared" si="83"/>
        <v>0</v>
      </c>
    </row>
    <row r="506" spans="4:14" x14ac:dyDescent="0.2">
      <c r="D506">
        <f t="shared" si="85"/>
        <v>483</v>
      </c>
      <c r="E506" s="1">
        <f t="shared" si="86"/>
        <v>-2.6905142217720313</v>
      </c>
      <c r="F506" s="1">
        <f t="shared" si="87"/>
        <v>-5.0262239363017613</v>
      </c>
      <c r="G506" s="1">
        <f t="shared" si="84"/>
        <v>6.5635482118350068E-3</v>
      </c>
      <c r="H506" s="1">
        <f t="shared" si="77"/>
        <v>6.7500123938995434E-5</v>
      </c>
      <c r="I506">
        <f t="shared" si="78"/>
        <v>10</v>
      </c>
      <c r="J506">
        <f t="shared" si="79"/>
        <v>469</v>
      </c>
      <c r="K506" s="5">
        <f t="shared" si="80"/>
        <v>0</v>
      </c>
      <c r="L506">
        <f t="shared" si="81"/>
        <v>95</v>
      </c>
      <c r="M506">
        <f t="shared" si="82"/>
        <v>1</v>
      </c>
      <c r="N506">
        <f t="shared" si="83"/>
        <v>0</v>
      </c>
    </row>
    <row r="507" spans="4:14" x14ac:dyDescent="0.2">
      <c r="D507">
        <f t="shared" si="85"/>
        <v>484</v>
      </c>
      <c r="E507" s="1">
        <f t="shared" si="86"/>
        <v>-2.7009855216393266</v>
      </c>
      <c r="F507" s="1">
        <f t="shared" si="87"/>
        <v>-5.0366952361690567</v>
      </c>
      <c r="G507" s="1">
        <f t="shared" si="84"/>
        <v>6.4951779179617261E-3</v>
      </c>
      <c r="H507" s="1">
        <f t="shared" si="77"/>
        <v>6.6796997647964243E-5</v>
      </c>
      <c r="I507">
        <f t="shared" si="78"/>
        <v>10</v>
      </c>
      <c r="J507">
        <f t="shared" si="79"/>
        <v>470</v>
      </c>
      <c r="K507" s="5">
        <f t="shared" si="80"/>
        <v>0</v>
      </c>
      <c r="L507">
        <f t="shared" si="81"/>
        <v>95</v>
      </c>
      <c r="M507">
        <f t="shared" si="82"/>
        <v>1</v>
      </c>
      <c r="N507">
        <f t="shared" si="83"/>
        <v>0</v>
      </c>
    </row>
    <row r="508" spans="4:14" x14ac:dyDescent="0.2">
      <c r="D508">
        <f t="shared" si="85"/>
        <v>485</v>
      </c>
      <c r="E508" s="1">
        <f t="shared" si="86"/>
        <v>-2.7114568215066219</v>
      </c>
      <c r="F508" s="1">
        <f t="shared" si="87"/>
        <v>-5.047166536036352</v>
      </c>
      <c r="G508" s="1">
        <f t="shared" si="84"/>
        <v>6.4275198146496251E-3</v>
      </c>
      <c r="H508" s="1">
        <f t="shared" si="77"/>
        <v>6.6101195589131286E-5</v>
      </c>
      <c r="I508">
        <f t="shared" si="78"/>
        <v>10</v>
      </c>
      <c r="J508">
        <f t="shared" si="79"/>
        <v>471</v>
      </c>
      <c r="K508" s="5">
        <f t="shared" si="80"/>
        <v>0</v>
      </c>
      <c r="L508">
        <f t="shared" si="81"/>
        <v>95</v>
      </c>
      <c r="M508">
        <f t="shared" si="82"/>
        <v>1</v>
      </c>
      <c r="N508">
        <f t="shared" si="83"/>
        <v>0</v>
      </c>
    </row>
    <row r="509" spans="4:14" x14ac:dyDescent="0.2">
      <c r="D509">
        <f t="shared" si="85"/>
        <v>486</v>
      </c>
      <c r="E509" s="1">
        <f t="shared" si="86"/>
        <v>-2.7219281213739173</v>
      </c>
      <c r="F509" s="1">
        <f t="shared" si="87"/>
        <v>-5.0576378359036473</v>
      </c>
      <c r="G509" s="1">
        <f t="shared" si="84"/>
        <v>6.3605664832470255E-3</v>
      </c>
      <c r="H509" s="1">
        <f t="shared" si="77"/>
        <v>6.5412641468411175E-5</v>
      </c>
      <c r="I509">
        <f t="shared" si="78"/>
        <v>10</v>
      </c>
      <c r="J509">
        <f t="shared" si="79"/>
        <v>472</v>
      </c>
      <c r="K509" s="5">
        <f t="shared" si="80"/>
        <v>0</v>
      </c>
      <c r="L509">
        <f t="shared" si="81"/>
        <v>95</v>
      </c>
      <c r="M509">
        <f t="shared" si="82"/>
        <v>1</v>
      </c>
      <c r="N509">
        <f t="shared" si="83"/>
        <v>0</v>
      </c>
    </row>
    <row r="510" spans="4:14" x14ac:dyDescent="0.2">
      <c r="D510">
        <f t="shared" si="85"/>
        <v>487</v>
      </c>
      <c r="E510" s="1">
        <f t="shared" si="86"/>
        <v>-2.7323994212412126</v>
      </c>
      <c r="F510" s="1">
        <f t="shared" si="87"/>
        <v>-5.0681091357709427</v>
      </c>
      <c r="G510" s="1">
        <f t="shared" si="84"/>
        <v>6.2943105823798692E-3</v>
      </c>
      <c r="H510" s="1">
        <f t="shared" si="77"/>
        <v>6.4731259786448566E-5</v>
      </c>
      <c r="I510">
        <f t="shared" si="78"/>
        <v>10</v>
      </c>
      <c r="J510">
        <f t="shared" si="79"/>
        <v>473</v>
      </c>
      <c r="K510" s="5">
        <f t="shared" si="80"/>
        <v>0</v>
      </c>
      <c r="L510">
        <f t="shared" si="81"/>
        <v>95</v>
      </c>
      <c r="M510">
        <f t="shared" si="82"/>
        <v>1</v>
      </c>
      <c r="N510">
        <f t="shared" si="83"/>
        <v>0</v>
      </c>
    </row>
    <row r="511" spans="4:14" x14ac:dyDescent="0.2">
      <c r="D511">
        <f t="shared" si="85"/>
        <v>488</v>
      </c>
      <c r="E511" s="1">
        <f t="shared" si="86"/>
        <v>-2.7428707211085079</v>
      </c>
      <c r="F511" s="1">
        <f t="shared" si="87"/>
        <v>-5.078580435638238</v>
      </c>
      <c r="G511" s="1">
        <f t="shared" si="84"/>
        <v>6.2287448471467456E-3</v>
      </c>
      <c r="H511" s="1">
        <f t="shared" si="77"/>
        <v>6.4056975830339722E-5</v>
      </c>
      <c r="I511">
        <f t="shared" si="78"/>
        <v>10</v>
      </c>
      <c r="J511">
        <f t="shared" si="79"/>
        <v>474</v>
      </c>
      <c r="K511" s="5">
        <f t="shared" si="80"/>
        <v>0</v>
      </c>
      <c r="L511">
        <f t="shared" si="81"/>
        <v>95</v>
      </c>
      <c r="M511">
        <f t="shared" si="82"/>
        <v>1</v>
      </c>
      <c r="N511">
        <f t="shared" si="83"/>
        <v>0</v>
      </c>
    </row>
    <row r="512" spans="4:14" x14ac:dyDescent="0.2">
      <c r="D512">
        <f t="shared" si="85"/>
        <v>489</v>
      </c>
      <c r="E512" s="1">
        <f t="shared" si="86"/>
        <v>-2.7533420209758033</v>
      </c>
      <c r="F512" s="1">
        <f t="shared" si="87"/>
        <v>-5.0890517355055334</v>
      </c>
      <c r="G512" s="1">
        <f t="shared" si="84"/>
        <v>6.1638620883223008E-3</v>
      </c>
      <c r="H512" s="1">
        <f t="shared" si="77"/>
        <v>6.3389715665440361E-5</v>
      </c>
      <c r="I512">
        <f t="shared" si="78"/>
        <v>10</v>
      </c>
      <c r="J512">
        <f t="shared" si="79"/>
        <v>475</v>
      </c>
      <c r="K512" s="5">
        <f t="shared" si="80"/>
        <v>0</v>
      </c>
      <c r="L512">
        <f t="shared" si="81"/>
        <v>95</v>
      </c>
      <c r="M512">
        <f t="shared" si="82"/>
        <v>1</v>
      </c>
      <c r="N512">
        <f t="shared" si="83"/>
        <v>0</v>
      </c>
    </row>
    <row r="513" spans="4:14" x14ac:dyDescent="0.2">
      <c r="D513">
        <f t="shared" si="85"/>
        <v>490</v>
      </c>
      <c r="E513" s="1">
        <f t="shared" si="86"/>
        <v>-2.7638133208430986</v>
      </c>
      <c r="F513" s="1">
        <f t="shared" si="87"/>
        <v>-5.0995230353728287</v>
      </c>
      <c r="G513" s="1">
        <f t="shared" si="84"/>
        <v>6.0996551915689446E-3</v>
      </c>
      <c r="H513" s="1">
        <f t="shared" si="77"/>
        <v>6.2729406127258697E-5</v>
      </c>
      <c r="I513">
        <f t="shared" si="78"/>
        <v>10</v>
      </c>
      <c r="J513">
        <f t="shared" si="79"/>
        <v>476</v>
      </c>
      <c r="K513" s="5">
        <f t="shared" si="80"/>
        <v>0</v>
      </c>
      <c r="L513">
        <f t="shared" si="81"/>
        <v>95</v>
      </c>
      <c r="M513">
        <f t="shared" si="82"/>
        <v>1</v>
      </c>
      <c r="N513">
        <f t="shared" si="83"/>
        <v>0</v>
      </c>
    </row>
    <row r="514" spans="4:14" x14ac:dyDescent="0.2">
      <c r="D514">
        <f t="shared" si="85"/>
        <v>491</v>
      </c>
      <c r="E514" s="1">
        <f t="shared" si="86"/>
        <v>-2.7742846207103939</v>
      </c>
      <c r="F514" s="1">
        <f t="shared" si="87"/>
        <v>-5.109994335240124</v>
      </c>
      <c r="G514" s="1">
        <f t="shared" si="84"/>
        <v>6.0361171166567681E-3</v>
      </c>
      <c r="H514" s="1">
        <f t="shared" si="77"/>
        <v>6.207597481343309E-5</v>
      </c>
      <c r="I514">
        <f t="shared" si="78"/>
        <v>10</v>
      </c>
      <c r="J514">
        <f t="shared" si="79"/>
        <v>477</v>
      </c>
      <c r="K514" s="5">
        <f t="shared" si="80"/>
        <v>0</v>
      </c>
      <c r="L514">
        <f t="shared" si="81"/>
        <v>95</v>
      </c>
      <c r="M514">
        <f t="shared" si="82"/>
        <v>1</v>
      </c>
      <c r="N514">
        <f t="shared" si="83"/>
        <v>0</v>
      </c>
    </row>
    <row r="515" spans="4:14" x14ac:dyDescent="0.2">
      <c r="D515">
        <f t="shared" si="85"/>
        <v>492</v>
      </c>
      <c r="E515" s="1">
        <f t="shared" si="86"/>
        <v>-2.7847559205776893</v>
      </c>
      <c r="F515" s="1">
        <f t="shared" si="87"/>
        <v>-5.1204656351074194</v>
      </c>
      <c r="G515" s="1">
        <f t="shared" si="84"/>
        <v>5.9732408966915937E-3</v>
      </c>
      <c r="H515" s="1">
        <f t="shared" si="77"/>
        <v>6.1429350075793154E-5</v>
      </c>
      <c r="I515">
        <f t="shared" si="78"/>
        <v>10</v>
      </c>
      <c r="J515">
        <f t="shared" si="79"/>
        <v>478</v>
      </c>
      <c r="K515" s="5">
        <f t="shared" si="80"/>
        <v>0</v>
      </c>
      <c r="L515">
        <f t="shared" si="81"/>
        <v>95</v>
      </c>
      <c r="M515">
        <f t="shared" si="82"/>
        <v>1</v>
      </c>
      <c r="N515">
        <f t="shared" si="83"/>
        <v>0</v>
      </c>
    </row>
    <row r="516" spans="4:14" x14ac:dyDescent="0.2">
      <c r="D516">
        <f t="shared" si="85"/>
        <v>493</v>
      </c>
      <c r="E516" s="1">
        <f t="shared" si="86"/>
        <v>-2.7952272204449846</v>
      </c>
      <c r="F516" s="1">
        <f t="shared" si="87"/>
        <v>-5.1309369349747147</v>
      </c>
      <c r="G516" s="1">
        <f t="shared" si="84"/>
        <v>5.9110196373510565E-3</v>
      </c>
      <c r="H516" s="1">
        <f t="shared" si="77"/>
        <v>6.0789461012503648E-5</v>
      </c>
      <c r="I516">
        <f t="shared" si="78"/>
        <v>10</v>
      </c>
      <c r="J516">
        <f t="shared" si="79"/>
        <v>479</v>
      </c>
      <c r="K516" s="5">
        <f t="shared" si="80"/>
        <v>0</v>
      </c>
      <c r="L516">
        <f t="shared" si="81"/>
        <v>95</v>
      </c>
      <c r="M516">
        <f t="shared" si="82"/>
        <v>1</v>
      </c>
      <c r="N516">
        <f t="shared" si="83"/>
        <v>0</v>
      </c>
    </row>
    <row r="517" spans="4:14" x14ac:dyDescent="0.2">
      <c r="D517">
        <f t="shared" si="85"/>
        <v>494</v>
      </c>
      <c r="E517" s="1">
        <f t="shared" si="86"/>
        <v>-2.80569852031228</v>
      </c>
      <c r="F517" s="1">
        <f t="shared" si="87"/>
        <v>-5.14140823484201</v>
      </c>
      <c r="G517" s="1">
        <f t="shared" si="84"/>
        <v>5.8494465161286506E-3</v>
      </c>
      <c r="H517" s="1">
        <f t="shared" si="77"/>
        <v>6.0156237460290077E-5</v>
      </c>
      <c r="I517">
        <f t="shared" si="78"/>
        <v>10</v>
      </c>
      <c r="J517">
        <f t="shared" si="79"/>
        <v>480</v>
      </c>
      <c r="K517" s="5">
        <f t="shared" si="80"/>
        <v>0</v>
      </c>
      <c r="L517">
        <f t="shared" si="81"/>
        <v>95</v>
      </c>
      <c r="M517">
        <f t="shared" si="82"/>
        <v>1</v>
      </c>
      <c r="N517">
        <f t="shared" si="83"/>
        <v>0</v>
      </c>
    </row>
    <row r="518" spans="4:14" x14ac:dyDescent="0.2">
      <c r="D518">
        <f t="shared" si="85"/>
        <v>495</v>
      </c>
      <c r="E518" s="1">
        <f t="shared" si="86"/>
        <v>-2.8161698201795753</v>
      </c>
      <c r="F518" s="1">
        <f t="shared" si="87"/>
        <v>-5.1518795347093054</v>
      </c>
      <c r="G518" s="1">
        <f t="shared" si="84"/>
        <v>5.7885147815856441E-3</v>
      </c>
      <c r="H518" s="1">
        <f t="shared" si="77"/>
        <v>5.9529609986745392E-5</v>
      </c>
      <c r="I518">
        <f t="shared" si="78"/>
        <v>10</v>
      </c>
      <c r="J518">
        <f t="shared" si="79"/>
        <v>481</v>
      </c>
      <c r="K518" s="5">
        <f t="shared" si="80"/>
        <v>0</v>
      </c>
      <c r="L518">
        <f t="shared" si="81"/>
        <v>95</v>
      </c>
      <c r="M518">
        <f t="shared" si="82"/>
        <v>1</v>
      </c>
      <c r="N518">
        <f t="shared" si="83"/>
        <v>0</v>
      </c>
    </row>
    <row r="519" spans="4:14" x14ac:dyDescent="0.2">
      <c r="D519">
        <f t="shared" si="85"/>
        <v>496</v>
      </c>
      <c r="E519" s="1">
        <f t="shared" si="86"/>
        <v>-2.8266411200468706</v>
      </c>
      <c r="F519" s="1">
        <f t="shared" si="87"/>
        <v>-5.1623508345766007</v>
      </c>
      <c r="G519" s="1">
        <f t="shared" si="84"/>
        <v>5.7282177526107939E-3</v>
      </c>
      <c r="H519" s="1">
        <f t="shared" si="77"/>
        <v>5.8909509882716799E-5</v>
      </c>
      <c r="I519">
        <f t="shared" si="78"/>
        <v>10</v>
      </c>
      <c r="J519">
        <f t="shared" si="79"/>
        <v>482</v>
      </c>
      <c r="K519" s="5">
        <f t="shared" si="80"/>
        <v>0</v>
      </c>
      <c r="L519">
        <f t="shared" si="81"/>
        <v>95</v>
      </c>
      <c r="M519">
        <f t="shared" si="82"/>
        <v>1</v>
      </c>
      <c r="N519">
        <f t="shared" si="83"/>
        <v>0</v>
      </c>
    </row>
    <row r="520" spans="4:14" x14ac:dyDescent="0.2">
      <c r="D520">
        <f t="shared" si="85"/>
        <v>497</v>
      </c>
      <c r="E520" s="1">
        <f t="shared" si="86"/>
        <v>-2.837112419914166</v>
      </c>
      <c r="F520" s="1">
        <f t="shared" si="87"/>
        <v>-5.172822134443896</v>
      </c>
      <c r="G520" s="1">
        <f t="shared" si="84"/>
        <v>5.6685488176877654E-3</v>
      </c>
      <c r="H520" s="1">
        <f t="shared" si="77"/>
        <v>5.8295869154771839E-5</v>
      </c>
      <c r="I520">
        <f t="shared" si="78"/>
        <v>10</v>
      </c>
      <c r="J520">
        <f t="shared" si="79"/>
        <v>483</v>
      </c>
      <c r="K520" s="5">
        <f t="shared" si="80"/>
        <v>0</v>
      </c>
      <c r="L520">
        <f t="shared" si="81"/>
        <v>95</v>
      </c>
      <c r="M520">
        <f t="shared" si="82"/>
        <v>1</v>
      </c>
      <c r="N520">
        <f t="shared" si="83"/>
        <v>0</v>
      </c>
    </row>
    <row r="521" spans="4:14" x14ac:dyDescent="0.2">
      <c r="D521">
        <f t="shared" si="85"/>
        <v>498</v>
      </c>
      <c r="E521" s="1">
        <f t="shared" si="86"/>
        <v>-2.8475837197814613</v>
      </c>
      <c r="F521" s="1">
        <f t="shared" si="87"/>
        <v>-5.1832934343111914</v>
      </c>
      <c r="G521" s="1">
        <f t="shared" si="84"/>
        <v>5.6095014341701844E-3</v>
      </c>
      <c r="H521" s="1">
        <f t="shared" si="77"/>
        <v>5.7688620517742963E-5</v>
      </c>
      <c r="I521">
        <f t="shared" si="78"/>
        <v>10</v>
      </c>
      <c r="J521">
        <f t="shared" si="79"/>
        <v>484</v>
      </c>
      <c r="K521" s="5">
        <f t="shared" si="80"/>
        <v>0</v>
      </c>
      <c r="L521">
        <f t="shared" si="81"/>
        <v>95</v>
      </c>
      <c r="M521">
        <f t="shared" si="82"/>
        <v>1</v>
      </c>
      <c r="N521">
        <f t="shared" si="83"/>
        <v>0</v>
      </c>
    </row>
    <row r="522" spans="4:14" x14ac:dyDescent="0.2">
      <c r="D522">
        <f t="shared" si="85"/>
        <v>499</v>
      </c>
      <c r="E522" s="1">
        <f t="shared" si="86"/>
        <v>-2.8580550196487566</v>
      </c>
      <c r="F522" s="1">
        <f t="shared" si="87"/>
        <v>-5.1937647341784867</v>
      </c>
      <c r="G522" s="1">
        <f t="shared" si="84"/>
        <v>5.5510691275642452E-3</v>
      </c>
      <c r="H522" s="1">
        <f t="shared" si="77"/>
        <v>5.7087697387349811E-5</v>
      </c>
      <c r="I522">
        <f t="shared" si="78"/>
        <v>10</v>
      </c>
      <c r="J522">
        <f t="shared" si="79"/>
        <v>485</v>
      </c>
      <c r="K522" s="5">
        <f t="shared" si="80"/>
        <v>0</v>
      </c>
      <c r="L522">
        <f t="shared" si="81"/>
        <v>95</v>
      </c>
      <c r="M522">
        <f t="shared" si="82"/>
        <v>1</v>
      </c>
      <c r="N522">
        <f t="shared" si="83"/>
        <v>0</v>
      </c>
    </row>
    <row r="523" spans="4:14" x14ac:dyDescent="0.2">
      <c r="D523">
        <f t="shared" si="85"/>
        <v>500</v>
      </c>
      <c r="E523" s="1">
        <f t="shared" si="86"/>
        <v>-2.868526319516052</v>
      </c>
      <c r="F523" s="1">
        <f t="shared" si="87"/>
        <v>-5.2042360340457821</v>
      </c>
      <c r="G523" s="1">
        <f t="shared" si="84"/>
        <v>5.4932454908187848E-3</v>
      </c>
      <c r="H523" s="1">
        <f t="shared" si="77"/>
        <v>5.6493033872898257E-5</v>
      </c>
      <c r="I523">
        <f t="shared" si="78"/>
        <v>10</v>
      </c>
      <c r="J523">
        <f t="shared" si="79"/>
        <v>486</v>
      </c>
      <c r="K523" s="5">
        <f t="shared" si="80"/>
        <v>0</v>
      </c>
      <c r="L523">
        <f t="shared" si="81"/>
        <v>95</v>
      </c>
      <c r="M523">
        <f t="shared" si="82"/>
        <v>1</v>
      </c>
      <c r="N523">
        <f t="shared" si="83"/>
        <v>0</v>
      </c>
    </row>
    <row r="524" spans="4:14" x14ac:dyDescent="0.2">
      <c r="D524">
        <f t="shared" si="85"/>
        <v>501</v>
      </c>
      <c r="E524" s="1">
        <f t="shared" si="86"/>
        <v>-2.8789976193833473</v>
      </c>
      <c r="F524" s="1">
        <f t="shared" si="87"/>
        <v>-5.2147073339130774</v>
      </c>
      <c r="G524" s="1">
        <f t="shared" si="84"/>
        <v>5.4360241836227561E-3</v>
      </c>
      <c r="H524" s="1">
        <f t="shared" si="77"/>
        <v>5.590456477005557E-5</v>
      </c>
      <c r="I524">
        <f t="shared" si="78"/>
        <v>10</v>
      </c>
      <c r="J524">
        <f t="shared" si="79"/>
        <v>487</v>
      </c>
      <c r="K524" s="5">
        <f t="shared" si="80"/>
        <v>0</v>
      </c>
      <c r="L524">
        <f t="shared" si="81"/>
        <v>95</v>
      </c>
      <c r="M524">
        <f t="shared" si="82"/>
        <v>1</v>
      </c>
      <c r="N524">
        <f t="shared" si="83"/>
        <v>0</v>
      </c>
    </row>
    <row r="525" spans="4:14" x14ac:dyDescent="0.2">
      <c r="D525">
        <f t="shared" si="85"/>
        <v>502</v>
      </c>
      <c r="E525" s="1">
        <f t="shared" si="86"/>
        <v>-2.8894689192506426</v>
      </c>
      <c r="F525" s="1">
        <f t="shared" si="87"/>
        <v>-5.2251786337803727</v>
      </c>
      <c r="G525" s="1">
        <f t="shared" si="84"/>
        <v>5.3793989317100195E-3</v>
      </c>
      <c r="H525" s="1">
        <f t="shared" si="77"/>
        <v>5.5322225553700828E-5</v>
      </c>
      <c r="I525">
        <f t="shared" si="78"/>
        <v>10</v>
      </c>
      <c r="J525">
        <f t="shared" si="79"/>
        <v>488</v>
      </c>
      <c r="K525" s="5">
        <f t="shared" si="80"/>
        <v>0</v>
      </c>
      <c r="L525">
        <f t="shared" si="81"/>
        <v>95</v>
      </c>
      <c r="M525">
        <f t="shared" si="82"/>
        <v>1</v>
      </c>
      <c r="N525">
        <f t="shared" si="83"/>
        <v>0</v>
      </c>
    </row>
    <row r="526" spans="4:14" x14ac:dyDescent="0.2">
      <c r="D526">
        <f t="shared" si="85"/>
        <v>503</v>
      </c>
      <c r="E526" s="1">
        <f t="shared" si="86"/>
        <v>-2.899940219117938</v>
      </c>
      <c r="F526" s="1">
        <f t="shared" si="87"/>
        <v>-5.2356499336476681</v>
      </c>
      <c r="G526" s="1">
        <f t="shared" si="84"/>
        <v>5.3233635261713741E-3</v>
      </c>
      <c r="H526" s="1">
        <f t="shared" si="77"/>
        <v>5.4745952370849784E-5</v>
      </c>
      <c r="I526">
        <f t="shared" si="78"/>
        <v>10</v>
      </c>
      <c r="J526">
        <f t="shared" si="79"/>
        <v>489</v>
      </c>
      <c r="K526" s="5">
        <f t="shared" si="80"/>
        <v>0</v>
      </c>
      <c r="L526">
        <f t="shared" si="81"/>
        <v>95</v>
      </c>
      <c r="M526">
        <f t="shared" si="82"/>
        <v>1</v>
      </c>
      <c r="N526">
        <f t="shared" si="83"/>
        <v>0</v>
      </c>
    </row>
    <row r="527" spans="4:14" x14ac:dyDescent="0.2">
      <c r="D527">
        <f t="shared" si="85"/>
        <v>504</v>
      </c>
      <c r="E527" s="1">
        <f t="shared" si="86"/>
        <v>-2.9104115189852333</v>
      </c>
      <c r="F527" s="1">
        <f t="shared" si="87"/>
        <v>-5.2461212335149634</v>
      </c>
      <c r="G527" s="1">
        <f t="shared" si="84"/>
        <v>5.2679118227737564E-3</v>
      </c>
      <c r="H527" s="1">
        <f t="shared" si="77"/>
        <v>5.417568203365344E-5</v>
      </c>
      <c r="I527">
        <f t="shared" si="78"/>
        <v>10</v>
      </c>
      <c r="J527">
        <f t="shared" si="79"/>
        <v>490</v>
      </c>
      <c r="K527" s="5">
        <f t="shared" si="80"/>
        <v>0</v>
      </c>
      <c r="L527">
        <f t="shared" si="81"/>
        <v>95</v>
      </c>
      <c r="M527">
        <f t="shared" si="82"/>
        <v>1</v>
      </c>
      <c r="N527">
        <f t="shared" si="83"/>
        <v>0</v>
      </c>
    </row>
    <row r="528" spans="4:14" x14ac:dyDescent="0.2">
      <c r="D528">
        <f t="shared" si="85"/>
        <v>505</v>
      </c>
      <c r="E528" s="1">
        <f t="shared" si="86"/>
        <v>-2.9208828188525287</v>
      </c>
      <c r="F528" s="1">
        <f t="shared" si="87"/>
        <v>-5.2565925333822587</v>
      </c>
      <c r="G528" s="1">
        <f t="shared" si="84"/>
        <v>5.2130377412865298E-3</v>
      </c>
      <c r="H528" s="1">
        <f t="shared" si="77"/>
        <v>5.3611352012469553E-5</v>
      </c>
      <c r="I528">
        <f t="shared" si="78"/>
        <v>10</v>
      </c>
      <c r="J528">
        <f t="shared" si="79"/>
        <v>491</v>
      </c>
      <c r="K528" s="5">
        <f t="shared" si="80"/>
        <v>0</v>
      </c>
      <c r="L528">
        <f t="shared" si="81"/>
        <v>95</v>
      </c>
      <c r="M528">
        <f t="shared" si="82"/>
        <v>1</v>
      </c>
      <c r="N528">
        <f t="shared" si="83"/>
        <v>0</v>
      </c>
    </row>
    <row r="529" spans="4:14" x14ac:dyDescent="0.2">
      <c r="D529">
        <f t="shared" si="85"/>
        <v>506</v>
      </c>
      <c r="E529" s="1">
        <f t="shared" si="86"/>
        <v>-2.931354118719824</v>
      </c>
      <c r="F529" s="1">
        <f t="shared" si="87"/>
        <v>-5.2670638332495541</v>
      </c>
      <c r="G529" s="1">
        <f t="shared" si="84"/>
        <v>5.1587352648147953E-3</v>
      </c>
      <c r="H529" s="1">
        <f t="shared" si="77"/>
        <v>5.3052900429006326E-5</v>
      </c>
      <c r="I529">
        <f t="shared" si="78"/>
        <v>10</v>
      </c>
      <c r="J529">
        <f t="shared" si="79"/>
        <v>492</v>
      </c>
      <c r="K529" s="5">
        <f t="shared" si="80"/>
        <v>0</v>
      </c>
      <c r="L529">
        <f t="shared" si="81"/>
        <v>95</v>
      </c>
      <c r="M529">
        <f t="shared" si="82"/>
        <v>1</v>
      </c>
      <c r="N529">
        <f t="shared" si="83"/>
        <v>0</v>
      </c>
    </row>
    <row r="530" spans="4:14" x14ac:dyDescent="0.2">
      <c r="D530">
        <f t="shared" si="85"/>
        <v>507</v>
      </c>
      <c r="E530" s="1">
        <f t="shared" si="86"/>
        <v>-2.9418254185871193</v>
      </c>
      <c r="F530" s="1">
        <f t="shared" si="87"/>
        <v>-5.2775351331168494</v>
      </c>
      <c r="G530" s="1">
        <f t="shared" si="84"/>
        <v>5.1049984391396417E-3</v>
      </c>
      <c r="H530" s="1">
        <f t="shared" si="77"/>
        <v>5.2500266049537519E-5</v>
      </c>
      <c r="I530">
        <f t="shared" si="78"/>
        <v>10</v>
      </c>
      <c r="J530">
        <f t="shared" si="79"/>
        <v>493</v>
      </c>
      <c r="K530" s="5">
        <f t="shared" si="80"/>
        <v>0</v>
      </c>
      <c r="L530">
        <f t="shared" si="81"/>
        <v>95</v>
      </c>
      <c r="M530">
        <f t="shared" si="82"/>
        <v>1</v>
      </c>
      <c r="N530">
        <f t="shared" si="83"/>
        <v>0</v>
      </c>
    </row>
    <row r="531" spans="4:14" x14ac:dyDescent="0.2">
      <c r="D531">
        <f t="shared" si="85"/>
        <v>508</v>
      </c>
      <c r="E531" s="1">
        <f t="shared" si="86"/>
        <v>-2.9522967184544147</v>
      </c>
      <c r="F531" s="1">
        <f t="shared" si="87"/>
        <v>-5.2880064329841447</v>
      </c>
      <c r="G531" s="1">
        <f t="shared" si="84"/>
        <v>5.0518213720652707E-3</v>
      </c>
      <c r="H531" s="1">
        <f t="shared" si="77"/>
        <v>5.1953388278188168E-5</v>
      </c>
      <c r="I531">
        <f t="shared" si="78"/>
        <v>10</v>
      </c>
      <c r="J531">
        <f t="shared" si="79"/>
        <v>494</v>
      </c>
      <c r="K531" s="5">
        <f t="shared" si="80"/>
        <v>0</v>
      </c>
      <c r="L531">
        <f t="shared" si="81"/>
        <v>95</v>
      </c>
      <c r="M531">
        <f t="shared" si="82"/>
        <v>1</v>
      </c>
      <c r="N531">
        <f t="shared" si="83"/>
        <v>0</v>
      </c>
    </row>
    <row r="532" spans="4:14" x14ac:dyDescent="0.2">
      <c r="D532">
        <f t="shared" si="85"/>
        <v>509</v>
      </c>
      <c r="E532" s="1">
        <f t="shared" si="86"/>
        <v>-2.96276801832171</v>
      </c>
      <c r="F532" s="1">
        <f t="shared" si="87"/>
        <v>-5.2984777328514401</v>
      </c>
      <c r="G532" s="1">
        <f t="shared" si="84"/>
        <v>4.999198232772924E-3</v>
      </c>
      <c r="H532" s="1">
        <f t="shared" si="77"/>
        <v>5.1412207150290379E-5</v>
      </c>
      <c r="I532">
        <f t="shared" si="78"/>
        <v>10</v>
      </c>
      <c r="J532">
        <f t="shared" si="79"/>
        <v>495</v>
      </c>
      <c r="K532" s="5">
        <f t="shared" si="80"/>
        <v>0</v>
      </c>
      <c r="L532">
        <f t="shared" si="81"/>
        <v>95</v>
      </c>
      <c r="M532">
        <f t="shared" si="82"/>
        <v>1</v>
      </c>
      <c r="N532">
        <f t="shared" si="83"/>
        <v>0</v>
      </c>
    </row>
    <row r="533" spans="4:14" x14ac:dyDescent="0.2">
      <c r="D533">
        <f t="shared" si="85"/>
        <v>510</v>
      </c>
      <c r="E533" s="1">
        <f t="shared" si="86"/>
        <v>-2.9732393181890053</v>
      </c>
      <c r="F533" s="1">
        <f t="shared" si="87"/>
        <v>-5.3089490327187354</v>
      </c>
      <c r="G533" s="1">
        <f t="shared" si="84"/>
        <v>4.9471232511815403E-3</v>
      </c>
      <c r="H533" s="1">
        <f t="shared" si="77"/>
        <v>5.0876663325808193E-5</v>
      </c>
      <c r="I533">
        <f t="shared" si="78"/>
        <v>10</v>
      </c>
      <c r="J533">
        <f t="shared" si="79"/>
        <v>496</v>
      </c>
      <c r="K533" s="5">
        <f t="shared" si="80"/>
        <v>0</v>
      </c>
      <c r="L533">
        <f t="shared" si="81"/>
        <v>95</v>
      </c>
      <c r="M533">
        <f t="shared" si="82"/>
        <v>1</v>
      </c>
      <c r="N533">
        <f t="shared" si="83"/>
        <v>0</v>
      </c>
    </row>
    <row r="534" spans="4:14" x14ac:dyDescent="0.2">
      <c r="D534">
        <f t="shared" si="85"/>
        <v>511</v>
      </c>
      <c r="E534" s="1">
        <f t="shared" si="86"/>
        <v>-2.9837106180563007</v>
      </c>
      <c r="F534" s="1">
        <f t="shared" si="87"/>
        <v>-5.3194203325860308</v>
      </c>
      <c r="G534" s="1">
        <f t="shared" si="84"/>
        <v>4.8955907173150659E-3</v>
      </c>
      <c r="H534" s="1">
        <f t="shared" si="77"/>
        <v>5.0346698082831025E-5</v>
      </c>
      <c r="I534">
        <f t="shared" si="78"/>
        <v>10</v>
      </c>
      <c r="J534">
        <f t="shared" si="79"/>
        <v>497</v>
      </c>
      <c r="K534" s="5">
        <f t="shared" si="80"/>
        <v>0</v>
      </c>
      <c r="L534">
        <f t="shared" si="81"/>
        <v>95</v>
      </c>
      <c r="M534">
        <f t="shared" si="82"/>
        <v>1</v>
      </c>
      <c r="N534">
        <f t="shared" si="83"/>
        <v>0</v>
      </c>
    </row>
    <row r="535" spans="4:14" x14ac:dyDescent="0.2">
      <c r="D535">
        <f t="shared" si="85"/>
        <v>512</v>
      </c>
      <c r="E535" s="1">
        <f t="shared" si="86"/>
        <v>-2.994181917923596</v>
      </c>
      <c r="F535" s="1">
        <f t="shared" si="87"/>
        <v>-5.3298916324533261</v>
      </c>
      <c r="G535" s="1">
        <f t="shared" si="84"/>
        <v>4.844594980676368E-3</v>
      </c>
      <c r="H535" s="1">
        <f t="shared" ref="H535:H598" si="88">G535/$G$21</f>
        <v>4.9822253311134877E-5</v>
      </c>
      <c r="I535">
        <f t="shared" ref="I535:I598" si="89">IF($F$11&lt;=D535, IF(D535&lt;=$A$15,D535-$F$11,$C$11),0)</f>
        <v>10</v>
      </c>
      <c r="J535">
        <f t="shared" ref="J535:J598" si="90">IF(D535&lt;=$A$15,0,D535-$A$15)</f>
        <v>498</v>
      </c>
      <c r="K535" s="5">
        <f t="shared" ref="K535:K598" si="91">IF(D535&lt;$F$11,H535,0)</f>
        <v>0</v>
      </c>
      <c r="L535">
        <f t="shared" ref="L535:L598" si="92">IF(D535&lt;$A$15,$D$11,$D$11*(1-$H$11))</f>
        <v>95</v>
      </c>
      <c r="M535">
        <f t="shared" ref="M535:M598" si="93">IF(D535&lt;$A$15,0,1)</f>
        <v>1</v>
      </c>
      <c r="N535">
        <f t="shared" ref="N535:N598" si="94">IF(SUM(I535:J535)&lt;=($G$11/60*$F$11/($E$11/60)),1,0)</f>
        <v>0</v>
      </c>
    </row>
    <row r="536" spans="4:14" x14ac:dyDescent="0.2">
      <c r="D536">
        <f t="shared" si="85"/>
        <v>513</v>
      </c>
      <c r="E536" s="1">
        <f t="shared" si="86"/>
        <v>-3.0046532177908913</v>
      </c>
      <c r="F536" s="1">
        <f t="shared" si="87"/>
        <v>-5.3403629323206214</v>
      </c>
      <c r="G536" s="1">
        <f t="shared" ref="G536:G599" si="95">EXP(F536)</f>
        <v>4.794130449627656E-3</v>
      </c>
      <c r="H536" s="1">
        <f t="shared" si="88"/>
        <v>4.9303271505810556E-5</v>
      </c>
      <c r="I536">
        <f t="shared" si="89"/>
        <v>10</v>
      </c>
      <c r="J536">
        <f t="shared" si="90"/>
        <v>499</v>
      </c>
      <c r="K536" s="5">
        <f t="shared" si="91"/>
        <v>0</v>
      </c>
      <c r="L536">
        <f t="shared" si="92"/>
        <v>95</v>
      </c>
      <c r="M536">
        <f t="shared" si="93"/>
        <v>1</v>
      </c>
      <c r="N536">
        <f t="shared" si="94"/>
        <v>0</v>
      </c>
    </row>
    <row r="537" spans="4:14" x14ac:dyDescent="0.2">
      <c r="D537">
        <f t="shared" ref="D537:D600" si="96">1+D536</f>
        <v>514</v>
      </c>
      <c r="E537" s="1">
        <f t="shared" ref="E537:E600" si="97">IF($H$11=1,IF(D537&lt;=$A$15, E536+LN($D$11)-LN(60/$E$11)-LN(MIN(D537,$F$11)), E536-LN(60/$E$11)-LN(MIN(D537,$F$11))), IF(D537&lt;=$A$15, E536+LN($D$11)-LN(60/$E$11)-LN(MIN(D537,$F$11)), E536+LN($D$11)+LN(1-$H$11)-LN(60/$E$11)-LN(MIN(D537,$F$11))))</f>
        <v>-3.0151245176581867</v>
      </c>
      <c r="F537" s="1">
        <f t="shared" ref="F537:F600" si="98">E537-$E$21</f>
        <v>-5.3508342321879168</v>
      </c>
      <c r="G537" s="1">
        <f t="shared" si="95"/>
        <v>4.744191590777368E-3</v>
      </c>
      <c r="H537" s="1">
        <f t="shared" si="88"/>
        <v>4.8789695760958365E-5</v>
      </c>
      <c r="I537">
        <f t="shared" si="89"/>
        <v>10</v>
      </c>
      <c r="J537">
        <f t="shared" si="90"/>
        <v>500</v>
      </c>
      <c r="K537" s="5">
        <f t="shared" si="91"/>
        <v>0</v>
      </c>
      <c r="L537">
        <f t="shared" si="92"/>
        <v>95</v>
      </c>
      <c r="M537">
        <f t="shared" si="93"/>
        <v>1</v>
      </c>
      <c r="N537">
        <f t="shared" si="94"/>
        <v>0</v>
      </c>
    </row>
    <row r="538" spans="4:14" x14ac:dyDescent="0.2">
      <c r="D538">
        <f t="shared" si="96"/>
        <v>515</v>
      </c>
      <c r="E538" s="1">
        <f t="shared" si="97"/>
        <v>-3.025595817525482</v>
      </c>
      <c r="F538" s="1">
        <f t="shared" si="98"/>
        <v>-5.3613055320552121</v>
      </c>
      <c r="G538" s="1">
        <f t="shared" si="95"/>
        <v>4.6947729283734379E-3</v>
      </c>
      <c r="H538" s="1">
        <f t="shared" si="88"/>
        <v>4.828146976344839E-5</v>
      </c>
      <c r="I538">
        <f t="shared" si="89"/>
        <v>10</v>
      </c>
      <c r="J538">
        <f t="shared" si="90"/>
        <v>501</v>
      </c>
      <c r="K538" s="5">
        <f t="shared" si="91"/>
        <v>0</v>
      </c>
      <c r="L538">
        <f t="shared" si="92"/>
        <v>95</v>
      </c>
      <c r="M538">
        <f t="shared" si="93"/>
        <v>1</v>
      </c>
      <c r="N538">
        <f t="shared" si="94"/>
        <v>0</v>
      </c>
    </row>
    <row r="539" spans="4:14" x14ac:dyDescent="0.2">
      <c r="D539">
        <f t="shared" si="96"/>
        <v>516</v>
      </c>
      <c r="E539" s="1">
        <f t="shared" si="97"/>
        <v>-3.0360671173927773</v>
      </c>
      <c r="F539" s="1">
        <f t="shared" si="98"/>
        <v>-5.3717768319225074</v>
      </c>
      <c r="G539" s="1">
        <f t="shared" si="95"/>
        <v>4.6458690437028811E-3</v>
      </c>
      <c r="H539" s="1">
        <f t="shared" si="88"/>
        <v>4.7778537786745802E-5</v>
      </c>
      <c r="I539">
        <f t="shared" si="89"/>
        <v>10</v>
      </c>
      <c r="J539">
        <f t="shared" si="90"/>
        <v>502</v>
      </c>
      <c r="K539" s="5">
        <f t="shared" si="91"/>
        <v>0</v>
      </c>
      <c r="L539">
        <f t="shared" si="92"/>
        <v>95</v>
      </c>
      <c r="M539">
        <f t="shared" si="93"/>
        <v>1</v>
      </c>
      <c r="N539">
        <f t="shared" si="94"/>
        <v>0</v>
      </c>
    </row>
    <row r="540" spans="4:14" x14ac:dyDescent="0.2">
      <c r="D540">
        <f t="shared" si="96"/>
        <v>517</v>
      </c>
      <c r="E540" s="1">
        <f t="shared" si="97"/>
        <v>-3.0465384172600727</v>
      </c>
      <c r="F540" s="1">
        <f t="shared" si="98"/>
        <v>-5.3822481317898028</v>
      </c>
      <c r="G540" s="1">
        <f t="shared" si="95"/>
        <v>4.5974745744976429E-3</v>
      </c>
      <c r="H540" s="1">
        <f t="shared" si="88"/>
        <v>4.7280844684800534E-5</v>
      </c>
      <c r="I540">
        <f t="shared" si="89"/>
        <v>10</v>
      </c>
      <c r="J540">
        <f t="shared" si="90"/>
        <v>503</v>
      </c>
      <c r="K540" s="5">
        <f t="shared" si="91"/>
        <v>0</v>
      </c>
      <c r="L540">
        <f t="shared" si="92"/>
        <v>95</v>
      </c>
      <c r="M540">
        <f t="shared" si="93"/>
        <v>1</v>
      </c>
      <c r="N540">
        <f t="shared" si="94"/>
        <v>0</v>
      </c>
    </row>
    <row r="541" spans="4:14" x14ac:dyDescent="0.2">
      <c r="D541">
        <f t="shared" si="96"/>
        <v>518</v>
      </c>
      <c r="E541" s="1">
        <f t="shared" si="97"/>
        <v>-3.057009717127368</v>
      </c>
      <c r="F541" s="1">
        <f t="shared" si="98"/>
        <v>-5.3927194316570981</v>
      </c>
      <c r="G541" s="1">
        <f t="shared" si="95"/>
        <v>4.5495842143466261E-3</v>
      </c>
      <c r="H541" s="1">
        <f t="shared" si="88"/>
        <v>4.6788335886000532E-5</v>
      </c>
      <c r="I541">
        <f t="shared" si="89"/>
        <v>10</v>
      </c>
      <c r="J541">
        <f t="shared" si="90"/>
        <v>504</v>
      </c>
      <c r="K541" s="5">
        <f t="shared" si="91"/>
        <v>0</v>
      </c>
      <c r="L541">
        <f t="shared" si="92"/>
        <v>95</v>
      </c>
      <c r="M541">
        <f t="shared" si="93"/>
        <v>1</v>
      </c>
      <c r="N541">
        <f t="shared" si="94"/>
        <v>0</v>
      </c>
    </row>
    <row r="542" spans="4:14" x14ac:dyDescent="0.2">
      <c r="D542">
        <f t="shared" si="96"/>
        <v>519</v>
      </c>
      <c r="E542" s="1">
        <f t="shared" si="97"/>
        <v>-3.0674810169946634</v>
      </c>
      <c r="F542" s="1">
        <f t="shared" si="98"/>
        <v>-5.4031907315243934</v>
      </c>
      <c r="G542" s="1">
        <f t="shared" si="95"/>
        <v>4.5021927121138491E-3</v>
      </c>
      <c r="H542" s="1">
        <f t="shared" si="88"/>
        <v>4.6300957387188028E-5</v>
      </c>
      <c r="I542">
        <f t="shared" si="89"/>
        <v>10</v>
      </c>
      <c r="J542">
        <f t="shared" si="90"/>
        <v>505</v>
      </c>
      <c r="K542" s="5">
        <f t="shared" si="91"/>
        <v>0</v>
      </c>
      <c r="L542">
        <f t="shared" si="92"/>
        <v>95</v>
      </c>
      <c r="M542">
        <f t="shared" si="93"/>
        <v>1</v>
      </c>
      <c r="N542">
        <f t="shared" si="94"/>
        <v>0</v>
      </c>
    </row>
    <row r="543" spans="4:14" x14ac:dyDescent="0.2">
      <c r="D543">
        <f t="shared" si="96"/>
        <v>520</v>
      </c>
      <c r="E543" s="1">
        <f t="shared" si="97"/>
        <v>-3.0779523168619587</v>
      </c>
      <c r="F543" s="1">
        <f t="shared" si="98"/>
        <v>-5.4136620313916888</v>
      </c>
      <c r="G543" s="1">
        <f t="shared" si="95"/>
        <v>4.4552948713626637E-3</v>
      </c>
      <c r="H543" s="1">
        <f t="shared" si="88"/>
        <v>4.5818655747738161E-5</v>
      </c>
      <c r="I543">
        <f t="shared" si="89"/>
        <v>10</v>
      </c>
      <c r="J543">
        <f t="shared" si="90"/>
        <v>506</v>
      </c>
      <c r="K543" s="5">
        <f t="shared" si="91"/>
        <v>0</v>
      </c>
      <c r="L543">
        <f t="shared" si="92"/>
        <v>95</v>
      </c>
      <c r="M543">
        <f t="shared" si="93"/>
        <v>1</v>
      </c>
      <c r="N543">
        <f t="shared" si="94"/>
        <v>0</v>
      </c>
    </row>
    <row r="544" spans="4:14" x14ac:dyDescent="0.2">
      <c r="D544">
        <f t="shared" si="96"/>
        <v>521</v>
      </c>
      <c r="E544" s="1">
        <f t="shared" si="97"/>
        <v>-3.088423616729254</v>
      </c>
      <c r="F544" s="1">
        <f t="shared" si="98"/>
        <v>-5.4241333312589841</v>
      </c>
      <c r="G544" s="1">
        <f t="shared" si="95"/>
        <v>4.4088855497859698E-3</v>
      </c>
      <c r="H544" s="1">
        <f t="shared" si="88"/>
        <v>4.5341378083699228E-5</v>
      </c>
      <c r="I544">
        <f t="shared" si="89"/>
        <v>10</v>
      </c>
      <c r="J544">
        <f t="shared" si="90"/>
        <v>507</v>
      </c>
      <c r="K544" s="5">
        <f t="shared" si="91"/>
        <v>0</v>
      </c>
      <c r="L544">
        <f t="shared" si="92"/>
        <v>95</v>
      </c>
      <c r="M544">
        <f t="shared" si="93"/>
        <v>1</v>
      </c>
      <c r="N544">
        <f t="shared" si="94"/>
        <v>0</v>
      </c>
    </row>
    <row r="545" spans="4:14" x14ac:dyDescent="0.2">
      <c r="D545">
        <f t="shared" si="96"/>
        <v>522</v>
      </c>
      <c r="E545" s="1">
        <f t="shared" si="97"/>
        <v>-3.0988949165965494</v>
      </c>
      <c r="F545" s="1">
        <f t="shared" si="98"/>
        <v>-5.4346046311262795</v>
      </c>
      <c r="G545" s="1">
        <f t="shared" si="95"/>
        <v>4.3629596586423659E-3</v>
      </c>
      <c r="H545" s="1">
        <f t="shared" si="88"/>
        <v>4.4869072061994027E-5</v>
      </c>
      <c r="I545">
        <f t="shared" si="89"/>
        <v>10</v>
      </c>
      <c r="J545">
        <f t="shared" si="90"/>
        <v>508</v>
      </c>
      <c r="K545" s="5">
        <f t="shared" si="91"/>
        <v>0</v>
      </c>
      <c r="L545">
        <f t="shared" si="92"/>
        <v>95</v>
      </c>
      <c r="M545">
        <f t="shared" si="93"/>
        <v>1</v>
      </c>
      <c r="N545">
        <f t="shared" si="94"/>
        <v>0</v>
      </c>
    </row>
    <row r="546" spans="4:14" x14ac:dyDescent="0.2">
      <c r="D546">
        <f t="shared" si="96"/>
        <v>523</v>
      </c>
      <c r="E546" s="1">
        <f t="shared" si="97"/>
        <v>-3.1093662164638447</v>
      </c>
      <c r="F546" s="1">
        <f t="shared" si="98"/>
        <v>-5.4450759309935748</v>
      </c>
      <c r="G546" s="1">
        <f t="shared" si="95"/>
        <v>4.3175121621981749E-3</v>
      </c>
      <c r="H546" s="1">
        <f t="shared" si="88"/>
        <v>4.4401685894681591E-5</v>
      </c>
      <c r="I546">
        <f t="shared" si="89"/>
        <v>10</v>
      </c>
      <c r="J546">
        <f t="shared" si="90"/>
        <v>509</v>
      </c>
      <c r="K546" s="5">
        <f t="shared" si="91"/>
        <v>0</v>
      </c>
      <c r="L546">
        <f t="shared" si="92"/>
        <v>95</v>
      </c>
      <c r="M546">
        <f t="shared" si="93"/>
        <v>1</v>
      </c>
      <c r="N546">
        <f t="shared" si="94"/>
        <v>0</v>
      </c>
    </row>
    <row r="547" spans="4:14" x14ac:dyDescent="0.2">
      <c r="D547">
        <f t="shared" si="96"/>
        <v>524</v>
      </c>
      <c r="E547" s="1">
        <f t="shared" si="97"/>
        <v>-3.11983751633114</v>
      </c>
      <c r="F547" s="1">
        <f t="shared" si="98"/>
        <v>-5.4555472308608701</v>
      </c>
      <c r="G547" s="1">
        <f t="shared" si="95"/>
        <v>4.2725380771752777E-3</v>
      </c>
      <c r="H547" s="1">
        <f t="shared" si="88"/>
        <v>4.3939168333278659E-5</v>
      </c>
      <c r="I547">
        <f t="shared" si="89"/>
        <v>10</v>
      </c>
      <c r="J547">
        <f t="shared" si="90"/>
        <v>510</v>
      </c>
      <c r="K547" s="5">
        <f t="shared" si="91"/>
        <v>0</v>
      </c>
      <c r="L547">
        <f t="shared" si="92"/>
        <v>95</v>
      </c>
      <c r="M547">
        <f t="shared" si="93"/>
        <v>1</v>
      </c>
      <c r="N547">
        <f t="shared" si="94"/>
        <v>0</v>
      </c>
    </row>
    <row r="548" spans="4:14" x14ac:dyDescent="0.2">
      <c r="D548">
        <f t="shared" si="96"/>
        <v>525</v>
      </c>
      <c r="E548" s="1">
        <f t="shared" si="97"/>
        <v>-3.1303088161984354</v>
      </c>
      <c r="F548" s="1">
        <f t="shared" si="98"/>
        <v>-5.4660185307281655</v>
      </c>
      <c r="G548" s="1">
        <f t="shared" si="95"/>
        <v>4.228032472204702E-3</v>
      </c>
      <c r="H548" s="1">
        <f t="shared" si="88"/>
        <v>4.3481468663140346E-5</v>
      </c>
      <c r="I548">
        <f t="shared" si="89"/>
        <v>10</v>
      </c>
      <c r="J548">
        <f t="shared" si="90"/>
        <v>511</v>
      </c>
      <c r="K548" s="5">
        <f t="shared" si="91"/>
        <v>0</v>
      </c>
      <c r="L548">
        <f t="shared" si="92"/>
        <v>95</v>
      </c>
      <c r="M548">
        <f t="shared" si="93"/>
        <v>1</v>
      </c>
      <c r="N548">
        <f t="shared" si="94"/>
        <v>0</v>
      </c>
    </row>
    <row r="549" spans="4:14" x14ac:dyDescent="0.2">
      <c r="D549">
        <f t="shared" si="96"/>
        <v>526</v>
      </c>
      <c r="E549" s="1">
        <f t="shared" si="97"/>
        <v>-3.1407801160657307</v>
      </c>
      <c r="F549" s="1">
        <f t="shared" si="98"/>
        <v>-5.4764898305954608</v>
      </c>
      <c r="G549" s="1">
        <f t="shared" si="95"/>
        <v>4.1839904672859038E-3</v>
      </c>
      <c r="H549" s="1">
        <f t="shared" si="88"/>
        <v>4.3028536697899307E-5</v>
      </c>
      <c r="I549">
        <f t="shared" si="89"/>
        <v>10</v>
      </c>
      <c r="J549">
        <f t="shared" si="90"/>
        <v>512</v>
      </c>
      <c r="K549" s="5">
        <f t="shared" si="91"/>
        <v>0</v>
      </c>
      <c r="L549">
        <f t="shared" si="92"/>
        <v>95</v>
      </c>
      <c r="M549">
        <f t="shared" si="93"/>
        <v>1</v>
      </c>
      <c r="N549">
        <f t="shared" si="94"/>
        <v>0</v>
      </c>
    </row>
    <row r="550" spans="4:14" x14ac:dyDescent="0.2">
      <c r="D550">
        <f t="shared" si="96"/>
        <v>527</v>
      </c>
      <c r="E550" s="1">
        <f t="shared" si="97"/>
        <v>-3.151251415933026</v>
      </c>
      <c r="F550" s="1">
        <f t="shared" si="98"/>
        <v>-5.4869611304627561</v>
      </c>
      <c r="G550" s="1">
        <f t="shared" si="95"/>
        <v>4.1404072332516754E-3</v>
      </c>
      <c r="H550" s="1">
        <f t="shared" si="88"/>
        <v>4.2580322773962854E-5</v>
      </c>
      <c r="I550">
        <f t="shared" si="89"/>
        <v>10</v>
      </c>
      <c r="J550">
        <f t="shared" si="90"/>
        <v>513</v>
      </c>
      <c r="K550" s="5">
        <f t="shared" si="91"/>
        <v>0</v>
      </c>
      <c r="L550">
        <f t="shared" si="92"/>
        <v>95</v>
      </c>
      <c r="M550">
        <f t="shared" si="93"/>
        <v>1</v>
      </c>
      <c r="N550">
        <f t="shared" si="94"/>
        <v>0</v>
      </c>
    </row>
    <row r="551" spans="4:14" x14ac:dyDescent="0.2">
      <c r="D551">
        <f t="shared" si="96"/>
        <v>528</v>
      </c>
      <c r="E551" s="1">
        <f t="shared" si="97"/>
        <v>-3.1617227158003214</v>
      </c>
      <c r="F551" s="1">
        <f t="shared" si="98"/>
        <v>-5.4974324303300515</v>
      </c>
      <c r="G551" s="1">
        <f t="shared" si="95"/>
        <v>4.0972779912386379E-3</v>
      </c>
      <c r="H551" s="1">
        <f t="shared" si="88"/>
        <v>4.2136777745067416E-5</v>
      </c>
      <c r="I551">
        <f t="shared" si="89"/>
        <v>10</v>
      </c>
      <c r="J551">
        <f t="shared" si="90"/>
        <v>514</v>
      </c>
      <c r="K551" s="5">
        <f t="shared" si="91"/>
        <v>0</v>
      </c>
      <c r="L551">
        <f t="shared" si="92"/>
        <v>95</v>
      </c>
      <c r="M551">
        <f t="shared" si="93"/>
        <v>1</v>
      </c>
      <c r="N551">
        <f t="shared" si="94"/>
        <v>0</v>
      </c>
    </row>
    <row r="552" spans="4:14" x14ac:dyDescent="0.2">
      <c r="D552">
        <f t="shared" si="96"/>
        <v>529</v>
      </c>
      <c r="E552" s="1">
        <f t="shared" si="97"/>
        <v>-3.1721940156676167</v>
      </c>
      <c r="F552" s="1">
        <f t="shared" si="98"/>
        <v>-5.5079037301973468</v>
      </c>
      <c r="G552" s="1">
        <f t="shared" si="95"/>
        <v>4.0545980121632352E-3</v>
      </c>
      <c r="H552" s="1">
        <f t="shared" si="88"/>
        <v>4.1697852976889625E-5</v>
      </c>
      <c r="I552">
        <f t="shared" si="89"/>
        <v>10</v>
      </c>
      <c r="J552">
        <f t="shared" si="90"/>
        <v>515</v>
      </c>
      <c r="K552" s="5">
        <f t="shared" si="91"/>
        <v>0</v>
      </c>
      <c r="L552">
        <f t="shared" si="92"/>
        <v>95</v>
      </c>
      <c r="M552">
        <f t="shared" si="93"/>
        <v>1</v>
      </c>
      <c r="N552">
        <f t="shared" si="94"/>
        <v>0</v>
      </c>
    </row>
    <row r="553" spans="4:14" x14ac:dyDescent="0.2">
      <c r="D553">
        <f t="shared" si="96"/>
        <v>530</v>
      </c>
      <c r="E553" s="1">
        <f t="shared" si="97"/>
        <v>-3.1826653155349121</v>
      </c>
      <c r="F553" s="1">
        <f t="shared" si="98"/>
        <v>-5.5183750300646421</v>
      </c>
      <c r="G553" s="1">
        <f t="shared" si="95"/>
        <v>4.0123626162032024E-3</v>
      </c>
      <c r="H553" s="1">
        <f t="shared" si="88"/>
        <v>4.12635003417137E-5</v>
      </c>
      <c r="I553">
        <f t="shared" si="89"/>
        <v>10</v>
      </c>
      <c r="J553">
        <f t="shared" si="90"/>
        <v>516</v>
      </c>
      <c r="K553" s="5">
        <f t="shared" si="91"/>
        <v>0</v>
      </c>
      <c r="L553">
        <f t="shared" si="92"/>
        <v>95</v>
      </c>
      <c r="M553">
        <f t="shared" si="93"/>
        <v>1</v>
      </c>
      <c r="N553">
        <f t="shared" si="94"/>
        <v>0</v>
      </c>
    </row>
    <row r="554" spans="4:14" x14ac:dyDescent="0.2">
      <c r="D554">
        <f t="shared" si="96"/>
        <v>531</v>
      </c>
      <c r="E554" s="1">
        <f t="shared" si="97"/>
        <v>-3.1931366154022074</v>
      </c>
      <c r="F554" s="1">
        <f t="shared" si="98"/>
        <v>-5.5288463299319375</v>
      </c>
      <c r="G554" s="1">
        <f t="shared" si="95"/>
        <v>3.9705671722844189E-3</v>
      </c>
      <c r="H554" s="1">
        <f t="shared" si="88"/>
        <v>4.0833672213154179E-5</v>
      </c>
      <c r="I554">
        <f t="shared" si="89"/>
        <v>10</v>
      </c>
      <c r="J554">
        <f t="shared" si="90"/>
        <v>517</v>
      </c>
      <c r="K554" s="5">
        <f t="shared" si="91"/>
        <v>0</v>
      </c>
      <c r="L554">
        <f t="shared" si="92"/>
        <v>95</v>
      </c>
      <c r="M554">
        <f t="shared" si="93"/>
        <v>1</v>
      </c>
      <c r="N554">
        <f t="shared" si="94"/>
        <v>0</v>
      </c>
    </row>
    <row r="555" spans="4:14" x14ac:dyDescent="0.2">
      <c r="D555">
        <f t="shared" si="96"/>
        <v>532</v>
      </c>
      <c r="E555" s="1">
        <f t="shared" si="97"/>
        <v>-3.2036079152695027</v>
      </c>
      <c r="F555" s="1">
        <f t="shared" si="98"/>
        <v>-5.5393176297992328</v>
      </c>
      <c r="G555" s="1">
        <f t="shared" si="95"/>
        <v>3.9292070975731229E-3</v>
      </c>
      <c r="H555" s="1">
        <f t="shared" si="88"/>
        <v>4.0408321460933824E-5</v>
      </c>
      <c r="I555">
        <f t="shared" si="89"/>
        <v>10</v>
      </c>
      <c r="J555">
        <f t="shared" si="90"/>
        <v>518</v>
      </c>
      <c r="K555" s="5">
        <f t="shared" si="91"/>
        <v>0</v>
      </c>
      <c r="L555">
        <f t="shared" si="92"/>
        <v>95</v>
      </c>
      <c r="M555">
        <f t="shared" si="93"/>
        <v>1</v>
      </c>
      <c r="N555">
        <f t="shared" si="94"/>
        <v>0</v>
      </c>
    </row>
    <row r="556" spans="4:14" x14ac:dyDescent="0.2">
      <c r="D556">
        <f t="shared" si="96"/>
        <v>533</v>
      </c>
      <c r="E556" s="1">
        <f t="shared" si="97"/>
        <v>-3.2140792151367981</v>
      </c>
      <c r="F556" s="1">
        <f t="shared" si="98"/>
        <v>-5.5497889296665281</v>
      </c>
      <c r="G556" s="1">
        <f t="shared" si="95"/>
        <v>3.8882778569734031E-3</v>
      </c>
      <c r="H556" s="1">
        <f t="shared" si="88"/>
        <v>3.9987401445715769E-5</v>
      </c>
      <c r="I556">
        <f t="shared" si="89"/>
        <v>10</v>
      </c>
      <c r="J556">
        <f t="shared" si="90"/>
        <v>519</v>
      </c>
      <c r="K556" s="5">
        <f t="shared" si="91"/>
        <v>0</v>
      </c>
      <c r="L556">
        <f t="shared" si="92"/>
        <v>95</v>
      </c>
      <c r="M556">
        <f t="shared" si="93"/>
        <v>1</v>
      </c>
      <c r="N556">
        <f t="shared" si="94"/>
        <v>0</v>
      </c>
    </row>
    <row r="557" spans="4:14" x14ac:dyDescent="0.2">
      <c r="D557">
        <f t="shared" si="96"/>
        <v>534</v>
      </c>
      <c r="E557" s="1">
        <f t="shared" si="97"/>
        <v>-3.2245505150040934</v>
      </c>
      <c r="F557" s="1">
        <f t="shared" si="98"/>
        <v>-5.5602602295338235</v>
      </c>
      <c r="G557" s="1">
        <f t="shared" si="95"/>
        <v>3.8477749626299306E-3</v>
      </c>
      <c r="H557" s="1">
        <f t="shared" si="88"/>
        <v>3.9570866013989567E-5</v>
      </c>
      <c r="I557">
        <f t="shared" si="89"/>
        <v>10</v>
      </c>
      <c r="J557">
        <f t="shared" si="90"/>
        <v>520</v>
      </c>
      <c r="K557" s="5">
        <f t="shared" si="91"/>
        <v>0</v>
      </c>
      <c r="L557">
        <f t="shared" si="92"/>
        <v>95</v>
      </c>
      <c r="M557">
        <f t="shared" si="93"/>
        <v>1</v>
      </c>
      <c r="N557">
        <f t="shared" si="94"/>
        <v>0</v>
      </c>
    </row>
    <row r="558" spans="4:14" x14ac:dyDescent="0.2">
      <c r="D558">
        <f t="shared" si="96"/>
        <v>535</v>
      </c>
      <c r="E558" s="1">
        <f t="shared" si="97"/>
        <v>-3.2350218148713887</v>
      </c>
      <c r="F558" s="1">
        <f t="shared" si="98"/>
        <v>-5.5707315294011188</v>
      </c>
      <c r="G558" s="1">
        <f t="shared" si="95"/>
        <v>3.8076939734358693E-3</v>
      </c>
      <c r="H558" s="1">
        <f t="shared" si="88"/>
        <v>3.9158669493010516E-5</v>
      </c>
      <c r="I558">
        <f t="shared" si="89"/>
        <v>10</v>
      </c>
      <c r="J558">
        <f t="shared" si="90"/>
        <v>521</v>
      </c>
      <c r="K558" s="5">
        <f t="shared" si="91"/>
        <v>0</v>
      </c>
      <c r="L558">
        <f t="shared" si="92"/>
        <v>95</v>
      </c>
      <c r="M558">
        <f t="shared" si="93"/>
        <v>1</v>
      </c>
      <c r="N558">
        <f t="shared" si="94"/>
        <v>0</v>
      </c>
    </row>
    <row r="559" spans="4:14" x14ac:dyDescent="0.2">
      <c r="D559">
        <f t="shared" si="96"/>
        <v>536</v>
      </c>
      <c r="E559" s="1">
        <f t="shared" si="97"/>
        <v>-3.2454931147386841</v>
      </c>
      <c r="F559" s="1">
        <f t="shared" si="98"/>
        <v>-5.5812028292684142</v>
      </c>
      <c r="G559" s="1">
        <f t="shared" si="95"/>
        <v>3.7680304945459124E-3</v>
      </c>
      <c r="H559" s="1">
        <f t="shared" si="88"/>
        <v>3.8750766685791656E-5</v>
      </c>
      <c r="I559">
        <f t="shared" si="89"/>
        <v>10</v>
      </c>
      <c r="J559">
        <f t="shared" si="90"/>
        <v>522</v>
      </c>
      <c r="K559" s="5">
        <f t="shared" si="91"/>
        <v>0</v>
      </c>
      <c r="L559">
        <f t="shared" si="92"/>
        <v>95</v>
      </c>
      <c r="M559">
        <f t="shared" si="93"/>
        <v>1</v>
      </c>
      <c r="N559">
        <f t="shared" si="94"/>
        <v>0</v>
      </c>
    </row>
    <row r="560" spans="4:14" x14ac:dyDescent="0.2">
      <c r="D560">
        <f t="shared" si="96"/>
        <v>537</v>
      </c>
      <c r="E560" s="1">
        <f t="shared" si="97"/>
        <v>-3.2559644146059794</v>
      </c>
      <c r="F560" s="1">
        <f t="shared" si="98"/>
        <v>-5.5916741291357095</v>
      </c>
      <c r="G560" s="1">
        <f t="shared" si="95"/>
        <v>3.7287801768943929E-3</v>
      </c>
      <c r="H560" s="1">
        <f t="shared" si="88"/>
        <v>3.8347112866147998E-5</v>
      </c>
      <c r="I560">
        <f t="shared" si="89"/>
        <v>10</v>
      </c>
      <c r="J560">
        <f t="shared" si="90"/>
        <v>523</v>
      </c>
      <c r="K560" s="5">
        <f t="shared" si="91"/>
        <v>0</v>
      </c>
      <c r="L560">
        <f t="shared" si="92"/>
        <v>95</v>
      </c>
      <c r="M560">
        <f t="shared" si="93"/>
        <v>1</v>
      </c>
      <c r="N560">
        <f t="shared" si="94"/>
        <v>0</v>
      </c>
    </row>
    <row r="561" spans="4:14" x14ac:dyDescent="0.2">
      <c r="D561">
        <f t="shared" si="96"/>
        <v>538</v>
      </c>
      <c r="E561" s="1">
        <f t="shared" si="97"/>
        <v>-3.2664357144732747</v>
      </c>
      <c r="F561" s="1">
        <f t="shared" si="98"/>
        <v>-5.6021454290030048</v>
      </c>
      <c r="G561" s="1">
        <f t="shared" si="95"/>
        <v>3.6899387167184097E-3</v>
      </c>
      <c r="H561" s="1">
        <f t="shared" si="88"/>
        <v>3.7947663773792287E-5</v>
      </c>
      <c r="I561">
        <f t="shared" si="89"/>
        <v>10</v>
      </c>
      <c r="J561">
        <f t="shared" si="90"/>
        <v>524</v>
      </c>
      <c r="K561" s="5">
        <f t="shared" si="91"/>
        <v>0</v>
      </c>
      <c r="L561">
        <f t="shared" si="92"/>
        <v>95</v>
      </c>
      <c r="M561">
        <f t="shared" si="93"/>
        <v>1</v>
      </c>
      <c r="N561">
        <f t="shared" si="94"/>
        <v>0</v>
      </c>
    </row>
    <row r="562" spans="4:14" x14ac:dyDescent="0.2">
      <c r="D562">
        <f t="shared" si="96"/>
        <v>539</v>
      </c>
      <c r="E562" s="1">
        <f t="shared" si="97"/>
        <v>-3.2769070143405701</v>
      </c>
      <c r="F562" s="1">
        <f t="shared" si="98"/>
        <v>-5.6126167288703002</v>
      </c>
      <c r="G562" s="1">
        <f t="shared" si="95"/>
        <v>3.6515018550859267E-3</v>
      </c>
      <c r="H562" s="1">
        <f t="shared" si="88"/>
        <v>3.7552375609481956E-5</v>
      </c>
      <c r="I562">
        <f t="shared" si="89"/>
        <v>10</v>
      </c>
      <c r="J562">
        <f t="shared" si="90"/>
        <v>525</v>
      </c>
      <c r="K562" s="5">
        <f t="shared" si="91"/>
        <v>0</v>
      </c>
      <c r="L562">
        <f t="shared" si="92"/>
        <v>95</v>
      </c>
      <c r="M562">
        <f t="shared" si="93"/>
        <v>1</v>
      </c>
      <c r="N562">
        <f t="shared" si="94"/>
        <v>0</v>
      </c>
    </row>
    <row r="563" spans="4:14" x14ac:dyDescent="0.2">
      <c r="D563">
        <f t="shared" si="96"/>
        <v>540</v>
      </c>
      <c r="E563" s="1">
        <f t="shared" si="97"/>
        <v>-3.2873783142078654</v>
      </c>
      <c r="F563" s="1">
        <f t="shared" si="98"/>
        <v>-5.6230880287375955</v>
      </c>
      <c r="G563" s="1">
        <f t="shared" si="95"/>
        <v>3.6134653774287815E-3</v>
      </c>
      <c r="H563" s="1">
        <f t="shared" si="88"/>
        <v>3.7161205030216518E-5</v>
      </c>
      <c r="I563">
        <f t="shared" si="89"/>
        <v>10</v>
      </c>
      <c r="J563">
        <f t="shared" si="90"/>
        <v>526</v>
      </c>
      <c r="K563" s="5">
        <f t="shared" si="91"/>
        <v>0</v>
      </c>
      <c r="L563">
        <f t="shared" si="92"/>
        <v>95</v>
      </c>
      <c r="M563">
        <f t="shared" si="93"/>
        <v>1</v>
      </c>
      <c r="N563">
        <f t="shared" si="94"/>
        <v>0</v>
      </c>
    </row>
    <row r="564" spans="4:14" x14ac:dyDescent="0.2">
      <c r="D564">
        <f t="shared" si="96"/>
        <v>541</v>
      </c>
      <c r="E564" s="1">
        <f t="shared" si="97"/>
        <v>-3.2978496140751608</v>
      </c>
      <c r="F564" s="1">
        <f t="shared" si="98"/>
        <v>-5.6335593286048908</v>
      </c>
      <c r="G564" s="1">
        <f t="shared" si="95"/>
        <v>3.5758251130805657E-3</v>
      </c>
      <c r="H564" s="1">
        <f t="shared" si="88"/>
        <v>3.67741091444851E-5</v>
      </c>
      <c r="I564">
        <f t="shared" si="89"/>
        <v>10</v>
      </c>
      <c r="J564">
        <f t="shared" si="90"/>
        <v>527</v>
      </c>
      <c r="K564" s="5">
        <f t="shared" si="91"/>
        <v>0</v>
      </c>
      <c r="L564">
        <f t="shared" si="92"/>
        <v>95</v>
      </c>
      <c r="M564">
        <f t="shared" si="93"/>
        <v>1</v>
      </c>
      <c r="N564">
        <f t="shared" si="94"/>
        <v>0</v>
      </c>
    </row>
    <row r="565" spans="4:14" x14ac:dyDescent="0.2">
      <c r="D565">
        <f t="shared" si="96"/>
        <v>542</v>
      </c>
      <c r="E565" s="1">
        <f t="shared" si="97"/>
        <v>-3.3083209139424561</v>
      </c>
      <c r="F565" s="1">
        <f t="shared" si="98"/>
        <v>-5.6440306284721862</v>
      </c>
      <c r="G565" s="1">
        <f t="shared" si="95"/>
        <v>3.5385769348193099E-3</v>
      </c>
      <c r="H565" s="1">
        <f t="shared" si="88"/>
        <v>3.6391045507563386E-5</v>
      </c>
      <c r="I565">
        <f t="shared" si="89"/>
        <v>10</v>
      </c>
      <c r="J565">
        <f t="shared" si="90"/>
        <v>528</v>
      </c>
      <c r="K565" s="5">
        <f t="shared" si="91"/>
        <v>0</v>
      </c>
      <c r="L565">
        <f t="shared" si="92"/>
        <v>95</v>
      </c>
      <c r="M565">
        <f t="shared" si="93"/>
        <v>1</v>
      </c>
      <c r="N565">
        <f t="shared" si="94"/>
        <v>0</v>
      </c>
    </row>
    <row r="566" spans="4:14" x14ac:dyDescent="0.2">
      <c r="D566">
        <f t="shared" si="96"/>
        <v>543</v>
      </c>
      <c r="E566" s="1">
        <f t="shared" si="97"/>
        <v>-3.3187922138097514</v>
      </c>
      <c r="F566" s="1">
        <f t="shared" si="98"/>
        <v>-5.6545019283394815</v>
      </c>
      <c r="G566" s="1">
        <f t="shared" si="95"/>
        <v>3.5017167584149422E-3</v>
      </c>
      <c r="H566" s="1">
        <f t="shared" si="88"/>
        <v>3.6011972116859603E-5</v>
      </c>
      <c r="I566">
        <f t="shared" si="89"/>
        <v>10</v>
      </c>
      <c r="J566">
        <f t="shared" si="90"/>
        <v>529</v>
      </c>
      <c r="K566" s="5">
        <f t="shared" si="91"/>
        <v>0</v>
      </c>
      <c r="L566">
        <f t="shared" si="92"/>
        <v>95</v>
      </c>
      <c r="M566">
        <f t="shared" si="93"/>
        <v>1</v>
      </c>
      <c r="N566">
        <f t="shared" si="94"/>
        <v>0</v>
      </c>
    </row>
    <row r="567" spans="4:14" x14ac:dyDescent="0.2">
      <c r="D567">
        <f t="shared" si="96"/>
        <v>544</v>
      </c>
      <c r="E567" s="1">
        <f t="shared" si="97"/>
        <v>-3.3292635136770468</v>
      </c>
      <c r="F567" s="1">
        <f t="shared" si="98"/>
        <v>-5.6649732282067768</v>
      </c>
      <c r="G567" s="1">
        <f t="shared" si="95"/>
        <v>3.4652405421814535E-3</v>
      </c>
      <c r="H567" s="1">
        <f t="shared" si="88"/>
        <v>3.5636847407308979E-5</v>
      </c>
      <c r="I567">
        <f t="shared" si="89"/>
        <v>10</v>
      </c>
      <c r="J567">
        <f t="shared" si="90"/>
        <v>530</v>
      </c>
      <c r="K567" s="5">
        <f t="shared" si="91"/>
        <v>0</v>
      </c>
      <c r="L567">
        <f t="shared" si="92"/>
        <v>95</v>
      </c>
      <c r="M567">
        <f t="shared" si="93"/>
        <v>1</v>
      </c>
      <c r="N567">
        <f t="shared" si="94"/>
        <v>0</v>
      </c>
    </row>
    <row r="568" spans="4:14" x14ac:dyDescent="0.2">
      <c r="D568">
        <f t="shared" si="96"/>
        <v>545</v>
      </c>
      <c r="E568" s="1">
        <f t="shared" si="97"/>
        <v>-3.3397348135443421</v>
      </c>
      <c r="F568" s="1">
        <f t="shared" si="98"/>
        <v>-5.6754445280740722</v>
      </c>
      <c r="G568" s="1">
        <f t="shared" si="95"/>
        <v>3.4291442865337302E-3</v>
      </c>
      <c r="H568" s="1">
        <f t="shared" si="88"/>
        <v>3.5265630246816184E-5</v>
      </c>
      <c r="I568">
        <f t="shared" si="89"/>
        <v>10</v>
      </c>
      <c r="J568">
        <f t="shared" si="90"/>
        <v>531</v>
      </c>
      <c r="K568" s="5">
        <f t="shared" si="91"/>
        <v>0</v>
      </c>
      <c r="L568">
        <f t="shared" si="92"/>
        <v>95</v>
      </c>
      <c r="M568">
        <f t="shared" si="93"/>
        <v>1</v>
      </c>
      <c r="N568">
        <f t="shared" si="94"/>
        <v>0</v>
      </c>
    </row>
    <row r="569" spans="4:14" x14ac:dyDescent="0.2">
      <c r="D569">
        <f t="shared" si="96"/>
        <v>546</v>
      </c>
      <c r="E569" s="1">
        <f t="shared" si="97"/>
        <v>-3.3502061134116374</v>
      </c>
      <c r="F569" s="1">
        <f t="shared" si="98"/>
        <v>-5.6859158279413675</v>
      </c>
      <c r="G569" s="1">
        <f t="shared" si="95"/>
        <v>3.3934240335490042E-3</v>
      </c>
      <c r="H569" s="1">
        <f t="shared" si="88"/>
        <v>3.4898279931745187E-5</v>
      </c>
      <c r="I569">
        <f t="shared" si="89"/>
        <v>10</v>
      </c>
      <c r="J569">
        <f t="shared" si="90"/>
        <v>532</v>
      </c>
      <c r="K569" s="5">
        <f t="shared" si="91"/>
        <v>0</v>
      </c>
      <c r="L569">
        <f t="shared" si="92"/>
        <v>95</v>
      </c>
      <c r="M569">
        <f t="shared" si="93"/>
        <v>1</v>
      </c>
      <c r="N569">
        <f t="shared" si="94"/>
        <v>0</v>
      </c>
    </row>
    <row r="570" spans="4:14" x14ac:dyDescent="0.2">
      <c r="D570">
        <f t="shared" si="96"/>
        <v>547</v>
      </c>
      <c r="E570" s="1">
        <f t="shared" si="97"/>
        <v>-3.3606774132789328</v>
      </c>
      <c r="F570" s="1">
        <f t="shared" si="98"/>
        <v>-5.6963871278086629</v>
      </c>
      <c r="G570" s="1">
        <f t="shared" si="95"/>
        <v>3.3580758665328688E-3</v>
      </c>
      <c r="H570" s="1">
        <f t="shared" si="88"/>
        <v>3.4534756182456169E-5</v>
      </c>
      <c r="I570">
        <f t="shared" si="89"/>
        <v>10</v>
      </c>
      <c r="J570">
        <f t="shared" si="90"/>
        <v>533</v>
      </c>
      <c r="K570" s="5">
        <f t="shared" si="91"/>
        <v>0</v>
      </c>
      <c r="L570">
        <f t="shared" si="92"/>
        <v>95</v>
      </c>
      <c r="M570">
        <f t="shared" si="93"/>
        <v>1</v>
      </c>
      <c r="N570">
        <f t="shared" si="94"/>
        <v>0</v>
      </c>
    </row>
    <row r="571" spans="4:14" x14ac:dyDescent="0.2">
      <c r="D571">
        <f t="shared" si="96"/>
        <v>548</v>
      </c>
      <c r="E571" s="1">
        <f t="shared" si="97"/>
        <v>-3.3711487131462281</v>
      </c>
      <c r="F571" s="1">
        <f t="shared" si="98"/>
        <v>-5.7068584276759582</v>
      </c>
      <c r="G571" s="1">
        <f t="shared" si="95"/>
        <v>3.3230959095898183E-3</v>
      </c>
      <c r="H571" s="1">
        <f t="shared" si="88"/>
        <v>3.4175019138888923E-5</v>
      </c>
      <c r="I571">
        <f t="shared" si="89"/>
        <v>10</v>
      </c>
      <c r="J571">
        <f t="shared" si="90"/>
        <v>534</v>
      </c>
      <c r="K571" s="5">
        <f t="shared" si="91"/>
        <v>0</v>
      </c>
      <c r="L571">
        <f t="shared" si="92"/>
        <v>95</v>
      </c>
      <c r="M571">
        <f t="shared" si="93"/>
        <v>1</v>
      </c>
      <c r="N571">
        <f t="shared" si="94"/>
        <v>0</v>
      </c>
    </row>
    <row r="572" spans="4:14" x14ac:dyDescent="0.2">
      <c r="D572">
        <f t="shared" si="96"/>
        <v>549</v>
      </c>
      <c r="E572" s="1">
        <f t="shared" si="97"/>
        <v>-3.3816200130135234</v>
      </c>
      <c r="F572" s="1">
        <f t="shared" si="98"/>
        <v>-5.7173297275432535</v>
      </c>
      <c r="G572" s="1">
        <f t="shared" si="95"/>
        <v>3.2884803271982579E-3</v>
      </c>
      <c r="H572" s="1">
        <f t="shared" si="88"/>
        <v>3.3819029356192162E-5</v>
      </c>
      <c r="I572">
        <f t="shared" si="89"/>
        <v>10</v>
      </c>
      <c r="J572">
        <f t="shared" si="90"/>
        <v>535</v>
      </c>
      <c r="K572" s="5">
        <f t="shared" si="91"/>
        <v>0</v>
      </c>
      <c r="L572">
        <f t="shared" si="92"/>
        <v>95</v>
      </c>
      <c r="M572">
        <f t="shared" si="93"/>
        <v>1</v>
      </c>
      <c r="N572">
        <f t="shared" si="94"/>
        <v>0</v>
      </c>
    </row>
    <row r="573" spans="4:14" x14ac:dyDescent="0.2">
      <c r="D573">
        <f t="shared" si="96"/>
        <v>550</v>
      </c>
      <c r="E573" s="1">
        <f t="shared" si="97"/>
        <v>-3.3920913128808188</v>
      </c>
      <c r="F573" s="1">
        <f t="shared" si="98"/>
        <v>-5.7278010274105489</v>
      </c>
      <c r="G573" s="1">
        <f t="shared" si="95"/>
        <v>3.2542253237899431E-3</v>
      </c>
      <c r="H573" s="1">
        <f t="shared" si="88"/>
        <v>3.3466747800398503E-5</v>
      </c>
      <c r="I573">
        <f t="shared" si="89"/>
        <v>10</v>
      </c>
      <c r="J573">
        <f t="shared" si="90"/>
        <v>536</v>
      </c>
      <c r="K573" s="5">
        <f t="shared" si="91"/>
        <v>0</v>
      </c>
      <c r="L573">
        <f t="shared" si="92"/>
        <v>95</v>
      </c>
      <c r="M573">
        <f t="shared" si="93"/>
        <v>1</v>
      </c>
      <c r="N573">
        <f t="shared" si="94"/>
        <v>0</v>
      </c>
    </row>
    <row r="574" spans="4:14" x14ac:dyDescent="0.2">
      <c r="D574">
        <f t="shared" si="96"/>
        <v>551</v>
      </c>
      <c r="E574" s="1">
        <f t="shared" si="97"/>
        <v>-3.4025626127481141</v>
      </c>
      <c r="F574" s="1">
        <f t="shared" si="98"/>
        <v>-5.7382723272778442</v>
      </c>
      <c r="G574" s="1">
        <f t="shared" si="95"/>
        <v>3.2203271433337982E-3</v>
      </c>
      <c r="H574" s="1">
        <f t="shared" si="88"/>
        <v>3.3118135844144355E-5</v>
      </c>
      <c r="I574">
        <f t="shared" si="89"/>
        <v>10</v>
      </c>
      <c r="J574">
        <f t="shared" si="90"/>
        <v>537</v>
      </c>
      <c r="K574" s="5">
        <f t="shared" si="91"/>
        <v>0</v>
      </c>
      <c r="L574">
        <f t="shared" si="92"/>
        <v>95</v>
      </c>
      <c r="M574">
        <f t="shared" si="93"/>
        <v>1</v>
      </c>
      <c r="N574">
        <f t="shared" si="94"/>
        <v>0</v>
      </c>
    </row>
    <row r="575" spans="4:14" x14ac:dyDescent="0.2">
      <c r="D575">
        <f t="shared" si="96"/>
        <v>552</v>
      </c>
      <c r="E575" s="1">
        <f t="shared" si="97"/>
        <v>-3.4130339126154094</v>
      </c>
      <c r="F575" s="1">
        <f t="shared" si="98"/>
        <v>-5.7487436271451395</v>
      </c>
      <c r="G575" s="1">
        <f t="shared" si="95"/>
        <v>3.1867820689240713E-3</v>
      </c>
      <c r="H575" s="1">
        <f t="shared" si="88"/>
        <v>3.2773155262434521E-5</v>
      </c>
      <c r="I575">
        <f t="shared" si="89"/>
        <v>10</v>
      </c>
      <c r="J575">
        <f t="shared" si="90"/>
        <v>538</v>
      </c>
      <c r="K575" s="5">
        <f t="shared" si="91"/>
        <v>0</v>
      </c>
      <c r="L575">
        <f t="shared" si="92"/>
        <v>95</v>
      </c>
      <c r="M575">
        <f t="shared" si="93"/>
        <v>1</v>
      </c>
      <c r="N575">
        <f t="shared" si="94"/>
        <v>0</v>
      </c>
    </row>
    <row r="576" spans="4:14" x14ac:dyDescent="0.2">
      <c r="D576">
        <f t="shared" si="96"/>
        <v>553</v>
      </c>
      <c r="E576" s="1">
        <f t="shared" si="97"/>
        <v>-3.4235052124827048</v>
      </c>
      <c r="F576" s="1">
        <f t="shared" si="98"/>
        <v>-5.7592149270124349</v>
      </c>
      <c r="G576" s="1">
        <f t="shared" si="95"/>
        <v>3.153586422372779E-3</v>
      </c>
      <c r="H576" s="1">
        <f t="shared" si="88"/>
        <v>3.2431768228450826E-5</v>
      </c>
      <c r="I576">
        <f t="shared" si="89"/>
        <v>10</v>
      </c>
      <c r="J576">
        <f t="shared" si="90"/>
        <v>539</v>
      </c>
      <c r="K576" s="5">
        <f t="shared" si="91"/>
        <v>0</v>
      </c>
      <c r="L576">
        <f t="shared" si="92"/>
        <v>95</v>
      </c>
      <c r="M576">
        <f t="shared" si="93"/>
        <v>1</v>
      </c>
      <c r="N576">
        <f t="shared" si="94"/>
        <v>0</v>
      </c>
    </row>
    <row r="577" spans="4:14" x14ac:dyDescent="0.2">
      <c r="D577">
        <f t="shared" si="96"/>
        <v>554</v>
      </c>
      <c r="E577" s="1">
        <f t="shared" si="97"/>
        <v>-3.4339765123500001</v>
      </c>
      <c r="F577" s="1">
        <f t="shared" si="98"/>
        <v>-5.7696862268797302</v>
      </c>
      <c r="G577" s="1">
        <f t="shared" si="95"/>
        <v>3.1207365638063959E-3</v>
      </c>
      <c r="H577" s="1">
        <f t="shared" si="88"/>
        <v>3.2093937309404462E-5</v>
      </c>
      <c r="I577">
        <f t="shared" si="89"/>
        <v>10</v>
      </c>
      <c r="J577">
        <f t="shared" si="90"/>
        <v>540</v>
      </c>
      <c r="K577" s="5">
        <f t="shared" si="91"/>
        <v>0</v>
      </c>
      <c r="L577">
        <f t="shared" si="92"/>
        <v>95</v>
      </c>
      <c r="M577">
        <f t="shared" si="93"/>
        <v>1</v>
      </c>
      <c r="N577">
        <f t="shared" si="94"/>
        <v>0</v>
      </c>
    </row>
    <row r="578" spans="4:14" x14ac:dyDescent="0.2">
      <c r="D578">
        <f t="shared" si="96"/>
        <v>555</v>
      </c>
      <c r="E578" s="1">
        <f t="shared" si="97"/>
        <v>-3.4444478122172955</v>
      </c>
      <c r="F578" s="1">
        <f t="shared" si="98"/>
        <v>-5.7801575267470255</v>
      </c>
      <c r="G578" s="1">
        <f t="shared" si="95"/>
        <v>3.0882288912667463E-3</v>
      </c>
      <c r="H578" s="1">
        <f t="shared" si="88"/>
        <v>3.1759625462431507E-5</v>
      </c>
      <c r="I578">
        <f t="shared" si="89"/>
        <v>10</v>
      </c>
      <c r="J578">
        <f t="shared" si="90"/>
        <v>541</v>
      </c>
      <c r="K578" s="5">
        <f t="shared" si="91"/>
        <v>0</v>
      </c>
      <c r="L578">
        <f t="shared" si="92"/>
        <v>95</v>
      </c>
      <c r="M578">
        <f t="shared" si="93"/>
        <v>1</v>
      </c>
      <c r="N578">
        <f t="shared" si="94"/>
        <v>0</v>
      </c>
    </row>
    <row r="579" spans="4:14" x14ac:dyDescent="0.2">
      <c r="D579">
        <f t="shared" si="96"/>
        <v>556</v>
      </c>
      <c r="E579" s="1">
        <f t="shared" si="97"/>
        <v>-3.4549191120845908</v>
      </c>
      <c r="F579" s="1">
        <f t="shared" si="98"/>
        <v>-5.7906288266143209</v>
      </c>
      <c r="G579" s="1">
        <f t="shared" si="95"/>
        <v>3.0560598403160514E-3</v>
      </c>
      <c r="H579" s="1">
        <f t="shared" si="88"/>
        <v>3.1428796030531183E-5</v>
      </c>
      <c r="I579">
        <f t="shared" si="89"/>
        <v>10</v>
      </c>
      <c r="J579">
        <f t="shared" si="90"/>
        <v>542</v>
      </c>
      <c r="K579" s="5">
        <f t="shared" si="91"/>
        <v>0</v>
      </c>
      <c r="L579">
        <f t="shared" si="92"/>
        <v>95</v>
      </c>
      <c r="M579">
        <f t="shared" si="93"/>
        <v>1</v>
      </c>
      <c r="N579">
        <f t="shared" si="94"/>
        <v>0</v>
      </c>
    </row>
    <row r="580" spans="4:14" x14ac:dyDescent="0.2">
      <c r="D580">
        <f t="shared" si="96"/>
        <v>557</v>
      </c>
      <c r="E580" s="1">
        <f t="shared" si="97"/>
        <v>-3.4653904119518861</v>
      </c>
      <c r="F580" s="1">
        <f t="shared" si="98"/>
        <v>-5.8011001264816162</v>
      </c>
      <c r="G580" s="1">
        <f t="shared" si="95"/>
        <v>3.0242258836460927E-3</v>
      </c>
      <c r="H580" s="1">
        <f t="shared" si="88"/>
        <v>3.1101412738546478E-5</v>
      </c>
      <c r="I580">
        <f t="shared" si="89"/>
        <v>10</v>
      </c>
      <c r="J580">
        <f t="shared" si="90"/>
        <v>543</v>
      </c>
      <c r="K580" s="5">
        <f t="shared" si="91"/>
        <v>0</v>
      </c>
      <c r="L580">
        <f t="shared" si="92"/>
        <v>95</v>
      </c>
      <c r="M580">
        <f t="shared" si="93"/>
        <v>1</v>
      </c>
      <c r="N580">
        <f t="shared" si="94"/>
        <v>0</v>
      </c>
    </row>
    <row r="581" spans="4:14" x14ac:dyDescent="0.2">
      <c r="D581">
        <f t="shared" si="96"/>
        <v>558</v>
      </c>
      <c r="E581" s="1">
        <f t="shared" si="97"/>
        <v>-3.4758617118191815</v>
      </c>
      <c r="F581" s="1">
        <f t="shared" si="98"/>
        <v>-5.8115714263489116</v>
      </c>
      <c r="G581" s="1">
        <f t="shared" si="95"/>
        <v>2.9927235306914462E-3</v>
      </c>
      <c r="H581" s="1">
        <f t="shared" si="88"/>
        <v>3.0777439689186624E-5</v>
      </c>
      <c r="I581">
        <f t="shared" si="89"/>
        <v>10</v>
      </c>
      <c r="J581">
        <f t="shared" si="90"/>
        <v>544</v>
      </c>
      <c r="K581" s="5">
        <f t="shared" si="91"/>
        <v>0</v>
      </c>
      <c r="L581">
        <f t="shared" si="92"/>
        <v>95</v>
      </c>
      <c r="M581">
        <f t="shared" si="93"/>
        <v>1</v>
      </c>
      <c r="N581">
        <f t="shared" si="94"/>
        <v>0</v>
      </c>
    </row>
    <row r="582" spans="4:14" x14ac:dyDescent="0.2">
      <c r="D582">
        <f t="shared" si="96"/>
        <v>559</v>
      </c>
      <c r="E582" s="1">
        <f t="shared" si="97"/>
        <v>-3.4863330116864768</v>
      </c>
      <c r="F582" s="1">
        <f t="shared" si="98"/>
        <v>-5.8220427262162069</v>
      </c>
      <c r="G582" s="1">
        <f t="shared" si="95"/>
        <v>2.9615493272467435E-3</v>
      </c>
      <c r="H582" s="1">
        <f t="shared" si="88"/>
        <v>3.0456841359090929E-5</v>
      </c>
      <c r="I582">
        <f t="shared" si="89"/>
        <v>10</v>
      </c>
      <c r="J582">
        <f t="shared" si="90"/>
        <v>545</v>
      </c>
      <c r="K582" s="5">
        <f t="shared" si="91"/>
        <v>0</v>
      </c>
      <c r="L582">
        <f t="shared" si="92"/>
        <v>95</v>
      </c>
      <c r="M582">
        <f t="shared" si="93"/>
        <v>1</v>
      </c>
      <c r="N582">
        <f t="shared" si="94"/>
        <v>0</v>
      </c>
    </row>
    <row r="583" spans="4:14" x14ac:dyDescent="0.2">
      <c r="D583">
        <f t="shared" si="96"/>
        <v>560</v>
      </c>
      <c r="E583" s="1">
        <f t="shared" si="97"/>
        <v>-3.4968043115537721</v>
      </c>
      <c r="F583" s="1">
        <f t="shared" si="98"/>
        <v>-5.8325140260835022</v>
      </c>
      <c r="G583" s="1">
        <f t="shared" si="95"/>
        <v>2.9306998550879238E-3</v>
      </c>
      <c r="H583" s="1">
        <f t="shared" si="88"/>
        <v>3.0139582594933739E-5</v>
      </c>
      <c r="I583">
        <f t="shared" si="89"/>
        <v>10</v>
      </c>
      <c r="J583">
        <f t="shared" si="90"/>
        <v>546</v>
      </c>
      <c r="K583" s="5">
        <f t="shared" si="91"/>
        <v>0</v>
      </c>
      <c r="L583">
        <f t="shared" si="92"/>
        <v>95</v>
      </c>
      <c r="M583">
        <f t="shared" si="93"/>
        <v>1</v>
      </c>
      <c r="N583">
        <f t="shared" si="94"/>
        <v>0</v>
      </c>
    </row>
    <row r="584" spans="4:14" x14ac:dyDescent="0.2">
      <c r="D584">
        <f t="shared" si="96"/>
        <v>561</v>
      </c>
      <c r="E584" s="1">
        <f t="shared" si="97"/>
        <v>-3.5072756114210675</v>
      </c>
      <c r="F584" s="1">
        <f t="shared" si="98"/>
        <v>-5.8429853259507976</v>
      </c>
      <c r="G584" s="1">
        <f t="shared" si="95"/>
        <v>2.9001717315974246E-3</v>
      </c>
      <c r="H584" s="1">
        <f t="shared" si="88"/>
        <v>2.9825628609569847E-5</v>
      </c>
      <c r="I584">
        <f t="shared" si="89"/>
        <v>10</v>
      </c>
      <c r="J584">
        <f t="shared" si="90"/>
        <v>547</v>
      </c>
      <c r="K584" s="5">
        <f t="shared" si="91"/>
        <v>0</v>
      </c>
      <c r="L584">
        <f t="shared" si="92"/>
        <v>95</v>
      </c>
      <c r="M584">
        <f t="shared" si="93"/>
        <v>1</v>
      </c>
      <c r="N584">
        <f t="shared" si="94"/>
        <v>0</v>
      </c>
    </row>
    <row r="585" spans="4:14" x14ac:dyDescent="0.2">
      <c r="D585">
        <f t="shared" si="96"/>
        <v>562</v>
      </c>
      <c r="E585" s="1">
        <f t="shared" si="97"/>
        <v>-3.5177469112883628</v>
      </c>
      <c r="F585" s="1">
        <f t="shared" si="98"/>
        <v>-5.8534566258180929</v>
      </c>
      <c r="G585" s="1">
        <f t="shared" si="95"/>
        <v>2.8699616093932848E-3</v>
      </c>
      <c r="H585" s="1">
        <f t="shared" si="88"/>
        <v>2.9514944978220161E-5</v>
      </c>
      <c r="I585">
        <f t="shared" si="89"/>
        <v>10</v>
      </c>
      <c r="J585">
        <f t="shared" si="90"/>
        <v>548</v>
      </c>
      <c r="K585" s="5">
        <f t="shared" si="91"/>
        <v>0</v>
      </c>
      <c r="L585">
        <f t="shared" si="92"/>
        <v>95</v>
      </c>
      <c r="M585">
        <f t="shared" si="93"/>
        <v>1</v>
      </c>
      <c r="N585">
        <f t="shared" si="94"/>
        <v>0</v>
      </c>
    </row>
    <row r="586" spans="4:14" x14ac:dyDescent="0.2">
      <c r="D586">
        <f t="shared" si="96"/>
        <v>563</v>
      </c>
      <c r="E586" s="1">
        <f t="shared" si="97"/>
        <v>-3.5282182111556581</v>
      </c>
      <c r="F586" s="1">
        <f t="shared" si="98"/>
        <v>-5.8639279256853882</v>
      </c>
      <c r="G586" s="1">
        <f t="shared" si="95"/>
        <v>2.8400661759621052E-3</v>
      </c>
      <c r="H586" s="1">
        <f t="shared" si="88"/>
        <v>2.9207497634697037E-5</v>
      </c>
      <c r="I586">
        <f t="shared" si="89"/>
        <v>10</v>
      </c>
      <c r="J586">
        <f t="shared" si="90"/>
        <v>549</v>
      </c>
      <c r="K586" s="5">
        <f t="shared" si="91"/>
        <v>0</v>
      </c>
      <c r="L586">
        <f t="shared" si="92"/>
        <v>95</v>
      </c>
      <c r="M586">
        <f t="shared" si="93"/>
        <v>1</v>
      </c>
      <c r="N586">
        <f t="shared" si="94"/>
        <v>0</v>
      </c>
    </row>
    <row r="587" spans="4:14" x14ac:dyDescent="0.2">
      <c r="D587">
        <f t="shared" si="96"/>
        <v>564</v>
      </c>
      <c r="E587" s="1">
        <f t="shared" si="97"/>
        <v>-3.5386895110229535</v>
      </c>
      <c r="F587" s="1">
        <f t="shared" si="98"/>
        <v>-5.8743992255526836</v>
      </c>
      <c r="G587" s="1">
        <f t="shared" si="95"/>
        <v>2.8104821532958335E-3</v>
      </c>
      <c r="H587" s="1">
        <f t="shared" si="88"/>
        <v>2.8903252867668947E-5</v>
      </c>
      <c r="I587">
        <f t="shared" si="89"/>
        <v>10</v>
      </c>
      <c r="J587">
        <f t="shared" si="90"/>
        <v>550</v>
      </c>
      <c r="K587" s="5">
        <f t="shared" si="91"/>
        <v>0</v>
      </c>
      <c r="L587">
        <f t="shared" si="92"/>
        <v>95</v>
      </c>
      <c r="M587">
        <f t="shared" si="93"/>
        <v>1</v>
      </c>
      <c r="N587">
        <f t="shared" si="94"/>
        <v>0</v>
      </c>
    </row>
    <row r="588" spans="4:14" x14ac:dyDescent="0.2">
      <c r="D588">
        <f t="shared" si="96"/>
        <v>565</v>
      </c>
      <c r="E588" s="1">
        <f t="shared" si="97"/>
        <v>-3.5491608108902488</v>
      </c>
      <c r="F588" s="1">
        <f t="shared" si="98"/>
        <v>-5.8848705254199789</v>
      </c>
      <c r="G588" s="1">
        <f t="shared" si="95"/>
        <v>2.7812062975323352E-3</v>
      </c>
      <c r="H588" s="1">
        <f t="shared" si="88"/>
        <v>2.8602177316964061E-5</v>
      </c>
      <c r="I588">
        <f t="shared" si="89"/>
        <v>10</v>
      </c>
      <c r="J588">
        <f t="shared" si="90"/>
        <v>551</v>
      </c>
      <c r="K588" s="5">
        <f t="shared" si="91"/>
        <v>0</v>
      </c>
      <c r="L588">
        <f t="shared" si="92"/>
        <v>95</v>
      </c>
      <c r="M588">
        <f t="shared" si="93"/>
        <v>1</v>
      </c>
      <c r="N588">
        <f t="shared" si="94"/>
        <v>0</v>
      </c>
    </row>
    <row r="589" spans="4:14" x14ac:dyDescent="0.2">
      <c r="D589">
        <f t="shared" si="96"/>
        <v>566</v>
      </c>
      <c r="E589" s="1">
        <f t="shared" si="97"/>
        <v>-3.5596321107575442</v>
      </c>
      <c r="F589" s="1">
        <f t="shared" si="98"/>
        <v>-5.8953418252872742</v>
      </c>
      <c r="G589" s="1">
        <f t="shared" si="95"/>
        <v>2.7522353985997071E-3</v>
      </c>
      <c r="H589" s="1">
        <f t="shared" si="88"/>
        <v>2.8304237969912356E-5</v>
      </c>
      <c r="I589">
        <f t="shared" si="89"/>
        <v>10</v>
      </c>
      <c r="J589">
        <f t="shared" si="90"/>
        <v>552</v>
      </c>
      <c r="K589" s="5">
        <f t="shared" si="91"/>
        <v>0</v>
      </c>
      <c r="L589">
        <f t="shared" si="92"/>
        <v>95</v>
      </c>
      <c r="M589">
        <f t="shared" si="93"/>
        <v>1</v>
      </c>
      <c r="N589">
        <f t="shared" si="94"/>
        <v>0</v>
      </c>
    </row>
    <row r="590" spans="4:14" x14ac:dyDescent="0.2">
      <c r="D590">
        <f t="shared" si="96"/>
        <v>567</v>
      </c>
      <c r="E590" s="1">
        <f t="shared" si="97"/>
        <v>-3.5701034106248395</v>
      </c>
      <c r="F590" s="1">
        <f t="shared" si="98"/>
        <v>-5.9058131251545696</v>
      </c>
      <c r="G590" s="1">
        <f t="shared" si="95"/>
        <v>2.7235662798642934E-3</v>
      </c>
      <c r="H590" s="1">
        <f t="shared" si="88"/>
        <v>2.8009402157725767E-5</v>
      </c>
      <c r="I590">
        <f t="shared" si="89"/>
        <v>10</v>
      </c>
      <c r="J590">
        <f t="shared" si="90"/>
        <v>553</v>
      </c>
      <c r="K590" s="5">
        <f t="shared" si="91"/>
        <v>0</v>
      </c>
      <c r="L590">
        <f t="shared" si="92"/>
        <v>95</v>
      </c>
      <c r="M590">
        <f t="shared" si="93"/>
        <v>1</v>
      </c>
      <c r="N590">
        <f t="shared" si="94"/>
        <v>0</v>
      </c>
    </row>
    <row r="591" spans="4:14" x14ac:dyDescent="0.2">
      <c r="D591">
        <f t="shared" si="96"/>
        <v>568</v>
      </c>
      <c r="E591" s="1">
        <f t="shared" si="97"/>
        <v>-3.5805747104921348</v>
      </c>
      <c r="F591" s="1">
        <f t="shared" si="98"/>
        <v>-5.9162844250218649</v>
      </c>
      <c r="G591" s="1">
        <f t="shared" si="95"/>
        <v>2.6951957977823741E-3</v>
      </c>
      <c r="H591" s="1">
        <f t="shared" si="88"/>
        <v>2.771763755191613E-5</v>
      </c>
      <c r="I591">
        <f t="shared" si="89"/>
        <v>10</v>
      </c>
      <c r="J591">
        <f t="shared" si="90"/>
        <v>554</v>
      </c>
      <c r="K591" s="5">
        <f t="shared" si="91"/>
        <v>0</v>
      </c>
      <c r="L591">
        <f t="shared" si="92"/>
        <v>95</v>
      </c>
      <c r="M591">
        <f t="shared" si="93"/>
        <v>1</v>
      </c>
      <c r="N591">
        <f t="shared" si="94"/>
        <v>0</v>
      </c>
    </row>
    <row r="592" spans="4:14" x14ac:dyDescent="0.2">
      <c r="D592">
        <f t="shared" si="96"/>
        <v>569</v>
      </c>
      <c r="E592" s="1">
        <f t="shared" si="97"/>
        <v>-3.5910460103594302</v>
      </c>
      <c r="F592" s="1">
        <f t="shared" si="98"/>
        <v>-5.9267557248891602</v>
      </c>
      <c r="G592" s="1">
        <f t="shared" si="95"/>
        <v>2.6671208415554744E-3</v>
      </c>
      <c r="H592" s="1">
        <f t="shared" si="88"/>
        <v>2.7428912160750337E-5</v>
      </c>
      <c r="I592">
        <f t="shared" si="89"/>
        <v>10</v>
      </c>
      <c r="J592">
        <f t="shared" si="90"/>
        <v>555</v>
      </c>
      <c r="K592" s="5">
        <f t="shared" si="91"/>
        <v>0</v>
      </c>
      <c r="L592">
        <f t="shared" si="92"/>
        <v>95</v>
      </c>
      <c r="M592">
        <f t="shared" si="93"/>
        <v>1</v>
      </c>
      <c r="N592">
        <f t="shared" si="94"/>
        <v>0</v>
      </c>
    </row>
    <row r="593" spans="4:14" x14ac:dyDescent="0.2">
      <c r="D593">
        <f t="shared" si="96"/>
        <v>570</v>
      </c>
      <c r="E593" s="1">
        <f t="shared" si="97"/>
        <v>-3.6015173102267255</v>
      </c>
      <c r="F593" s="1">
        <f t="shared" si="98"/>
        <v>-5.9372270247564556</v>
      </c>
      <c r="G593" s="1">
        <f t="shared" si="95"/>
        <v>2.6393383327892716E-3</v>
      </c>
      <c r="H593" s="1">
        <f t="shared" si="88"/>
        <v>2.714319432574252E-5</v>
      </c>
      <c r="I593">
        <f t="shared" si="89"/>
        <v>10</v>
      </c>
      <c r="J593">
        <f t="shared" si="90"/>
        <v>556</v>
      </c>
      <c r="K593" s="5">
        <f t="shared" si="91"/>
        <v>0</v>
      </c>
      <c r="L593">
        <f t="shared" si="92"/>
        <v>95</v>
      </c>
      <c r="M593">
        <f t="shared" si="93"/>
        <v>1</v>
      </c>
      <c r="N593">
        <f t="shared" si="94"/>
        <v>0</v>
      </c>
    </row>
    <row r="594" spans="4:14" x14ac:dyDescent="0.2">
      <c r="D594">
        <f t="shared" si="96"/>
        <v>571</v>
      </c>
      <c r="E594" s="1">
        <f t="shared" si="97"/>
        <v>-3.6119886100940208</v>
      </c>
      <c r="F594" s="1">
        <f t="shared" si="98"/>
        <v>-5.9476983246237509</v>
      </c>
      <c r="G594" s="1">
        <f t="shared" si="95"/>
        <v>2.6118452251560503E-3</v>
      </c>
      <c r="H594" s="1">
        <f t="shared" si="88"/>
        <v>2.6860452718182705E-5</v>
      </c>
      <c r="I594">
        <f t="shared" si="89"/>
        <v>10</v>
      </c>
      <c r="J594">
        <f t="shared" si="90"/>
        <v>557</v>
      </c>
      <c r="K594" s="5">
        <f t="shared" si="91"/>
        <v>0</v>
      </c>
      <c r="L594">
        <f t="shared" si="92"/>
        <v>95</v>
      </c>
      <c r="M594">
        <f t="shared" si="93"/>
        <v>1</v>
      </c>
      <c r="N594">
        <f t="shared" si="94"/>
        <v>0</v>
      </c>
    </row>
    <row r="595" spans="4:14" x14ac:dyDescent="0.2">
      <c r="D595">
        <f t="shared" si="96"/>
        <v>572</v>
      </c>
      <c r="E595" s="1">
        <f t="shared" si="97"/>
        <v>-3.6224599099613162</v>
      </c>
      <c r="F595" s="1">
        <f t="shared" si="98"/>
        <v>-5.9581696244910463</v>
      </c>
      <c r="G595" s="1">
        <f t="shared" si="95"/>
        <v>2.5846385040606749E-3</v>
      </c>
      <c r="H595" s="1">
        <f t="shared" si="88"/>
        <v>2.6580656335701638E-5</v>
      </c>
      <c r="I595">
        <f t="shared" si="89"/>
        <v>10</v>
      </c>
      <c r="J595">
        <f t="shared" si="90"/>
        <v>558</v>
      </c>
      <c r="K595" s="5">
        <f t="shared" si="91"/>
        <v>0</v>
      </c>
      <c r="L595">
        <f t="shared" si="92"/>
        <v>95</v>
      </c>
      <c r="M595">
        <f t="shared" si="93"/>
        <v>1</v>
      </c>
      <c r="N595">
        <f t="shared" si="94"/>
        <v>0</v>
      </c>
    </row>
    <row r="596" spans="4:14" x14ac:dyDescent="0.2">
      <c r="D596">
        <f t="shared" si="96"/>
        <v>573</v>
      </c>
      <c r="E596" s="1">
        <f t="shared" si="97"/>
        <v>-3.6329312098286115</v>
      </c>
      <c r="F596" s="1">
        <f t="shared" si="98"/>
        <v>-5.9686409243583416</v>
      </c>
      <c r="G596" s="1">
        <f t="shared" si="95"/>
        <v>2.5577151863100432E-3</v>
      </c>
      <c r="H596" s="1">
        <f t="shared" si="88"/>
        <v>2.6303774498871417E-5</v>
      </c>
      <c r="I596">
        <f t="shared" si="89"/>
        <v>10</v>
      </c>
      <c r="J596">
        <f t="shared" si="90"/>
        <v>559</v>
      </c>
      <c r="K596" s="5">
        <f t="shared" si="91"/>
        <v>0</v>
      </c>
      <c r="L596">
        <f t="shared" si="92"/>
        <v>95</v>
      </c>
      <c r="M596">
        <f t="shared" si="93"/>
        <v>1</v>
      </c>
      <c r="N596">
        <f t="shared" si="94"/>
        <v>0</v>
      </c>
    </row>
    <row r="597" spans="4:14" x14ac:dyDescent="0.2">
      <c r="D597">
        <f t="shared" si="96"/>
        <v>574</v>
      </c>
      <c r="E597" s="1">
        <f t="shared" si="97"/>
        <v>-3.6434025096959068</v>
      </c>
      <c r="F597" s="1">
        <f t="shared" si="98"/>
        <v>-5.9791122242256369</v>
      </c>
      <c r="G597" s="1">
        <f t="shared" si="95"/>
        <v>2.5310723197859803E-3</v>
      </c>
      <c r="H597" s="1">
        <f t="shared" si="88"/>
        <v>2.6029776847841505E-5</v>
      </c>
      <c r="I597">
        <f t="shared" si="89"/>
        <v>10</v>
      </c>
      <c r="J597">
        <f t="shared" si="90"/>
        <v>560</v>
      </c>
      <c r="K597" s="5">
        <f t="shared" si="91"/>
        <v>0</v>
      </c>
      <c r="L597">
        <f t="shared" si="92"/>
        <v>95</v>
      </c>
      <c r="M597">
        <f t="shared" si="93"/>
        <v>1</v>
      </c>
      <c r="N597">
        <f t="shared" si="94"/>
        <v>0</v>
      </c>
    </row>
    <row r="598" spans="4:14" x14ac:dyDescent="0.2">
      <c r="D598">
        <f t="shared" si="96"/>
        <v>575</v>
      </c>
      <c r="E598" s="1">
        <f t="shared" si="97"/>
        <v>-3.6538738095632022</v>
      </c>
      <c r="F598" s="1">
        <f t="shared" si="98"/>
        <v>-5.9895835240929323</v>
      </c>
      <c r="G598" s="1">
        <f t="shared" si="95"/>
        <v>2.5047069831215431E-3</v>
      </c>
      <c r="H598" s="1">
        <f t="shared" si="88"/>
        <v>2.5758633339009824E-5</v>
      </c>
      <c r="I598">
        <f t="shared" si="89"/>
        <v>10</v>
      </c>
      <c r="J598">
        <f t="shared" si="90"/>
        <v>561</v>
      </c>
      <c r="K598" s="5">
        <f t="shared" si="91"/>
        <v>0</v>
      </c>
      <c r="L598">
        <f t="shared" si="92"/>
        <v>95</v>
      </c>
      <c r="M598">
        <f t="shared" si="93"/>
        <v>1</v>
      </c>
      <c r="N598">
        <f t="shared" si="94"/>
        <v>0</v>
      </c>
    </row>
    <row r="599" spans="4:14" x14ac:dyDescent="0.2">
      <c r="D599">
        <f t="shared" si="96"/>
        <v>576</v>
      </c>
      <c r="E599" s="1">
        <f t="shared" si="97"/>
        <v>-3.6643451094304975</v>
      </c>
      <c r="F599" s="1">
        <f t="shared" si="98"/>
        <v>-6.0000548239602276</v>
      </c>
      <c r="G599" s="1">
        <f t="shared" si="95"/>
        <v>2.4786162853806942E-3</v>
      </c>
      <c r="H599" s="1">
        <f t="shared" ref="H599:H662" si="99">G599/$G$21</f>
        <v>2.5490314241728475E-5</v>
      </c>
      <c r="I599">
        <f t="shared" ref="I599:I662" si="100">IF($F$11&lt;=D599, IF(D599&lt;=$A$15,D599-$F$11,$C$11),0)</f>
        <v>10</v>
      </c>
      <c r="J599">
        <f t="shared" ref="J599:J662" si="101">IF(D599&lt;=$A$15,0,D599-$A$15)</f>
        <v>562</v>
      </c>
      <c r="K599" s="5">
        <f t="shared" ref="K599:K662" si="102">IF(D599&lt;$F$11,H599,0)</f>
        <v>0</v>
      </c>
      <c r="L599">
        <f t="shared" ref="L599:L662" si="103">IF(D599&lt;$A$15,$D$11,$D$11*(1-$H$11))</f>
        <v>95</v>
      </c>
      <c r="M599">
        <f t="shared" ref="M599:M662" si="104">IF(D599&lt;$A$15,0,1)</f>
        <v>1</v>
      </c>
      <c r="N599">
        <f t="shared" ref="N599:N662" si="105">IF(SUM(I599:J599)&lt;=($G$11/60*$F$11/($E$11/60)),1,0)</f>
        <v>0</v>
      </c>
    </row>
    <row r="600" spans="4:14" x14ac:dyDescent="0.2">
      <c r="D600">
        <f t="shared" si="96"/>
        <v>577</v>
      </c>
      <c r="E600" s="1">
        <f t="shared" si="97"/>
        <v>-3.6748164092977929</v>
      </c>
      <c r="F600" s="1">
        <f t="shared" si="98"/>
        <v>-6.0105261238275229</v>
      </c>
      <c r="G600" s="1">
        <f t="shared" ref="G600:G663" si="106">EXP(F600)</f>
        <v>2.4527973657413119E-3</v>
      </c>
      <c r="H600" s="1">
        <f t="shared" si="99"/>
        <v>2.5224790135043803E-5</v>
      </c>
      <c r="I600">
        <f t="shared" si="100"/>
        <v>10</v>
      </c>
      <c r="J600">
        <f t="shared" si="101"/>
        <v>563</v>
      </c>
      <c r="K600" s="5">
        <f t="shared" si="102"/>
        <v>0</v>
      </c>
      <c r="L600">
        <f t="shared" si="103"/>
        <v>95</v>
      </c>
      <c r="M600">
        <f t="shared" si="104"/>
        <v>1</v>
      </c>
      <c r="N600">
        <f t="shared" si="105"/>
        <v>0</v>
      </c>
    </row>
    <row r="601" spans="4:14" x14ac:dyDescent="0.2">
      <c r="D601">
        <f t="shared" ref="D601:D664" si="107">1+D600</f>
        <v>578</v>
      </c>
      <c r="E601" s="1">
        <f t="shared" ref="E601:E664" si="108">IF($H$11=1,IF(D601&lt;=$A$15, E600+LN($D$11)-LN(60/$E$11)-LN(MIN(D601,$F$11)), E600-LN(60/$E$11)-LN(MIN(D601,$F$11))), IF(D601&lt;=$A$15, E600+LN($D$11)-LN(60/$E$11)-LN(MIN(D601,$F$11)), E600+LN($D$11)+LN(1-$H$11)-LN(60/$E$11)-LN(MIN(D601,$F$11))))</f>
        <v>-3.6852877091650882</v>
      </c>
      <c r="F601" s="1">
        <f t="shared" ref="F601:F664" si="109">E601-$E$21</f>
        <v>-6.0209974236948183</v>
      </c>
      <c r="G601" s="1">
        <f t="shared" si="106"/>
        <v>2.4272473931815069E-3</v>
      </c>
      <c r="H601" s="1">
        <f t="shared" si="99"/>
        <v>2.4962031904470435E-5</v>
      </c>
      <c r="I601">
        <f t="shared" si="100"/>
        <v>10</v>
      </c>
      <c r="J601">
        <f t="shared" si="101"/>
        <v>564</v>
      </c>
      <c r="K601" s="5">
        <f t="shared" si="102"/>
        <v>0</v>
      </c>
      <c r="L601">
        <f t="shared" si="103"/>
        <v>95</v>
      </c>
      <c r="M601">
        <f t="shared" si="104"/>
        <v>1</v>
      </c>
      <c r="N601">
        <f t="shared" si="105"/>
        <v>0</v>
      </c>
    </row>
    <row r="602" spans="4:14" x14ac:dyDescent="0.2">
      <c r="D602">
        <f t="shared" si="107"/>
        <v>579</v>
      </c>
      <c r="E602" s="1">
        <f t="shared" si="108"/>
        <v>-3.6957590090323835</v>
      </c>
      <c r="F602" s="1">
        <f t="shared" si="109"/>
        <v>-6.0314687235621136</v>
      </c>
      <c r="G602" s="1">
        <f t="shared" si="106"/>
        <v>2.4019635661691996E-3</v>
      </c>
      <c r="H602" s="1">
        <f t="shared" si="99"/>
        <v>2.470201073879887E-5</v>
      </c>
      <c r="I602">
        <f t="shared" si="100"/>
        <v>10</v>
      </c>
      <c r="J602">
        <f t="shared" si="101"/>
        <v>565</v>
      </c>
      <c r="K602" s="5">
        <f t="shared" si="102"/>
        <v>0</v>
      </c>
      <c r="L602">
        <f t="shared" si="103"/>
        <v>95</v>
      </c>
      <c r="M602">
        <f t="shared" si="104"/>
        <v>1</v>
      </c>
      <c r="N602">
        <f t="shared" si="105"/>
        <v>0</v>
      </c>
    </row>
    <row r="603" spans="4:14" x14ac:dyDescent="0.2">
      <c r="D603">
        <f t="shared" si="107"/>
        <v>580</v>
      </c>
      <c r="E603" s="1">
        <f t="shared" si="108"/>
        <v>-3.7062303088996789</v>
      </c>
      <c r="F603" s="1">
        <f t="shared" si="109"/>
        <v>-6.0419400234294089</v>
      </c>
      <c r="G603" s="1">
        <f t="shared" si="106"/>
        <v>2.3769431123549373E-3</v>
      </c>
      <c r="H603" s="1">
        <f t="shared" si="99"/>
        <v>2.4444698126936382E-5</v>
      </c>
      <c r="I603">
        <f t="shared" si="100"/>
        <v>10</v>
      </c>
      <c r="J603">
        <f t="shared" si="101"/>
        <v>566</v>
      </c>
      <c r="K603" s="5">
        <f t="shared" si="102"/>
        <v>0</v>
      </c>
      <c r="L603">
        <f t="shared" si="103"/>
        <v>95</v>
      </c>
      <c r="M603">
        <f t="shared" si="104"/>
        <v>1</v>
      </c>
      <c r="N603">
        <f t="shared" si="105"/>
        <v>0</v>
      </c>
    </row>
    <row r="604" spans="4:14" x14ac:dyDescent="0.2">
      <c r="D604">
        <f t="shared" si="107"/>
        <v>581</v>
      </c>
      <c r="E604" s="1">
        <f t="shared" si="108"/>
        <v>-3.7167016087669742</v>
      </c>
      <c r="F604" s="1">
        <f t="shared" si="109"/>
        <v>-6.0524113232967043</v>
      </c>
      <c r="G604" s="1">
        <f t="shared" si="106"/>
        <v>2.3521832882679068E-3</v>
      </c>
      <c r="H604" s="1">
        <f t="shared" si="99"/>
        <v>2.4190065854780797E-5</v>
      </c>
      <c r="I604">
        <f t="shared" si="100"/>
        <v>10</v>
      </c>
      <c r="J604">
        <f t="shared" si="101"/>
        <v>567</v>
      </c>
      <c r="K604" s="5">
        <f t="shared" si="102"/>
        <v>0</v>
      </c>
      <c r="L604">
        <f t="shared" si="103"/>
        <v>95</v>
      </c>
      <c r="M604">
        <f t="shared" si="104"/>
        <v>1</v>
      </c>
      <c r="N604">
        <f t="shared" si="105"/>
        <v>0</v>
      </c>
    </row>
    <row r="605" spans="4:14" x14ac:dyDescent="0.2">
      <c r="D605">
        <f t="shared" si="107"/>
        <v>582</v>
      </c>
      <c r="E605" s="1">
        <f t="shared" si="108"/>
        <v>-3.7271729086342695</v>
      </c>
      <c r="F605" s="1">
        <f t="shared" si="109"/>
        <v>-6.0628826231639996</v>
      </c>
      <c r="G605" s="1">
        <f t="shared" si="106"/>
        <v>2.3276813790151164E-3</v>
      </c>
      <c r="H605" s="1">
        <f t="shared" si="99"/>
        <v>2.3938086002126834E-5</v>
      </c>
      <c r="I605">
        <f t="shared" si="100"/>
        <v>10</v>
      </c>
      <c r="J605">
        <f t="shared" si="101"/>
        <v>568</v>
      </c>
      <c r="K605" s="5">
        <f t="shared" si="102"/>
        <v>0</v>
      </c>
      <c r="L605">
        <f t="shared" si="103"/>
        <v>95</v>
      </c>
      <c r="M605">
        <f t="shared" si="104"/>
        <v>1</v>
      </c>
      <c r="N605">
        <f t="shared" si="105"/>
        <v>0</v>
      </c>
    </row>
    <row r="606" spans="4:14" x14ac:dyDescent="0.2">
      <c r="D606">
        <f t="shared" si="107"/>
        <v>583</v>
      </c>
      <c r="E606" s="1">
        <f t="shared" si="108"/>
        <v>-3.7376442085015649</v>
      </c>
      <c r="F606" s="1">
        <f t="shared" si="109"/>
        <v>-6.073353923031295</v>
      </c>
      <c r="G606" s="1">
        <f t="shared" si="106"/>
        <v>2.3034346979837091E-3</v>
      </c>
      <c r="H606" s="1">
        <f t="shared" si="99"/>
        <v>2.3688730939604678E-5</v>
      </c>
      <c r="I606">
        <f t="shared" si="100"/>
        <v>10</v>
      </c>
      <c r="J606">
        <f t="shared" si="101"/>
        <v>569</v>
      </c>
      <c r="K606" s="5">
        <f t="shared" si="102"/>
        <v>0</v>
      </c>
      <c r="L606">
        <f t="shared" si="103"/>
        <v>95</v>
      </c>
      <c r="M606">
        <f t="shared" si="104"/>
        <v>1</v>
      </c>
      <c r="N606">
        <f t="shared" si="105"/>
        <v>0</v>
      </c>
    </row>
    <row r="607" spans="4:14" x14ac:dyDescent="0.2">
      <c r="D607">
        <f t="shared" si="107"/>
        <v>584</v>
      </c>
      <c r="E607" s="1">
        <f t="shared" si="108"/>
        <v>-3.7481155083688602</v>
      </c>
      <c r="F607" s="1">
        <f t="shared" si="109"/>
        <v>-6.0838252228985903</v>
      </c>
      <c r="G607" s="1">
        <f t="shared" si="106"/>
        <v>2.2794405865463789E-3</v>
      </c>
      <c r="H607" s="1">
        <f t="shared" si="99"/>
        <v>2.3441973325650466E-5</v>
      </c>
      <c r="I607">
        <f t="shared" si="100"/>
        <v>10</v>
      </c>
      <c r="J607">
        <f t="shared" si="101"/>
        <v>570</v>
      </c>
      <c r="K607" s="5">
        <f t="shared" si="102"/>
        <v>0</v>
      </c>
      <c r="L607">
        <f t="shared" si="103"/>
        <v>95</v>
      </c>
      <c r="M607">
        <f t="shared" si="104"/>
        <v>1</v>
      </c>
      <c r="N607">
        <f t="shared" si="105"/>
        <v>0</v>
      </c>
    </row>
    <row r="608" spans="4:14" x14ac:dyDescent="0.2">
      <c r="D608">
        <f t="shared" si="107"/>
        <v>585</v>
      </c>
      <c r="E608" s="1">
        <f t="shared" si="108"/>
        <v>-3.7585868082361555</v>
      </c>
      <c r="F608" s="1">
        <f t="shared" si="109"/>
        <v>-6.0942965227658856</v>
      </c>
      <c r="G608" s="1">
        <f t="shared" si="106"/>
        <v>2.2556964137698541E-3</v>
      </c>
      <c r="H608" s="1">
        <f t="shared" si="99"/>
        <v>2.3197786103508272E-5</v>
      </c>
      <c r="I608">
        <f t="shared" si="100"/>
        <v>10</v>
      </c>
      <c r="J608">
        <f t="shared" si="101"/>
        <v>571</v>
      </c>
      <c r="K608" s="5">
        <f t="shared" si="102"/>
        <v>0</v>
      </c>
      <c r="L608">
        <f t="shared" si="103"/>
        <v>95</v>
      </c>
      <c r="M608">
        <f t="shared" si="104"/>
        <v>1</v>
      </c>
      <c r="N608">
        <f t="shared" si="105"/>
        <v>0</v>
      </c>
    </row>
    <row r="609" spans="4:14" x14ac:dyDescent="0.2">
      <c r="D609">
        <f t="shared" si="107"/>
        <v>586</v>
      </c>
      <c r="E609" s="1">
        <f t="shared" si="108"/>
        <v>-3.7690581081034509</v>
      </c>
      <c r="F609" s="1">
        <f t="shared" si="109"/>
        <v>-6.104767822633181</v>
      </c>
      <c r="G609" s="1">
        <f t="shared" si="106"/>
        <v>2.2321995761264185E-3</v>
      </c>
      <c r="H609" s="1">
        <f t="shared" si="99"/>
        <v>2.2956142498263398E-5</v>
      </c>
      <c r="I609">
        <f t="shared" si="100"/>
        <v>10</v>
      </c>
      <c r="J609">
        <f t="shared" si="101"/>
        <v>572</v>
      </c>
      <c r="K609" s="5">
        <f t="shared" si="102"/>
        <v>0</v>
      </c>
      <c r="L609">
        <f t="shared" si="103"/>
        <v>95</v>
      </c>
      <c r="M609">
        <f t="shared" si="104"/>
        <v>1</v>
      </c>
      <c r="N609">
        <f t="shared" si="105"/>
        <v>0</v>
      </c>
    </row>
    <row r="610" spans="4:14" x14ac:dyDescent="0.2">
      <c r="D610">
        <f t="shared" si="107"/>
        <v>587</v>
      </c>
      <c r="E610" s="1">
        <f t="shared" si="108"/>
        <v>-3.7795294079707462</v>
      </c>
      <c r="F610" s="1">
        <f t="shared" si="109"/>
        <v>-6.1152391225004763</v>
      </c>
      <c r="G610" s="1">
        <f t="shared" si="106"/>
        <v>2.2089474972084352E-3</v>
      </c>
      <c r="H610" s="1">
        <f t="shared" si="99"/>
        <v>2.2717016013906492E-5</v>
      </c>
      <c r="I610">
        <f t="shared" si="100"/>
        <v>10</v>
      </c>
      <c r="J610">
        <f t="shared" si="101"/>
        <v>573</v>
      </c>
      <c r="K610" s="5">
        <f t="shared" si="102"/>
        <v>0</v>
      </c>
      <c r="L610">
        <f t="shared" si="103"/>
        <v>95</v>
      </c>
      <c r="M610">
        <f t="shared" si="104"/>
        <v>1</v>
      </c>
      <c r="N610">
        <f t="shared" si="105"/>
        <v>0</v>
      </c>
    </row>
    <row r="611" spans="4:14" x14ac:dyDescent="0.2">
      <c r="D611">
        <f t="shared" si="107"/>
        <v>588</v>
      </c>
      <c r="E611" s="1">
        <f t="shared" si="108"/>
        <v>-3.7900007078380415</v>
      </c>
      <c r="F611" s="1">
        <f t="shared" si="109"/>
        <v>-6.1257104223677716</v>
      </c>
      <c r="G611" s="1">
        <f t="shared" si="106"/>
        <v>2.1859376274458472E-3</v>
      </c>
      <c r="H611" s="1">
        <f t="shared" si="99"/>
        <v>2.2480380430428297E-5</v>
      </c>
      <c r="I611">
        <f t="shared" si="100"/>
        <v>10</v>
      </c>
      <c r="J611">
        <f t="shared" si="101"/>
        <v>574</v>
      </c>
      <c r="K611" s="5">
        <f t="shared" si="102"/>
        <v>0</v>
      </c>
      <c r="L611">
        <f t="shared" si="103"/>
        <v>95</v>
      </c>
      <c r="M611">
        <f t="shared" si="104"/>
        <v>1</v>
      </c>
      <c r="N611">
        <f t="shared" si="105"/>
        <v>0</v>
      </c>
    </row>
    <row r="612" spans="4:14" x14ac:dyDescent="0.2">
      <c r="D612">
        <f t="shared" si="107"/>
        <v>589</v>
      </c>
      <c r="E612" s="1">
        <f t="shared" si="108"/>
        <v>-3.8004720077053369</v>
      </c>
      <c r="F612" s="1">
        <f t="shared" si="109"/>
        <v>-6.136181722235067</v>
      </c>
      <c r="G612" s="1">
        <f t="shared" si="106"/>
        <v>2.1631674438266197E-3</v>
      </c>
      <c r="H612" s="1">
        <f t="shared" si="99"/>
        <v>2.224620980094467E-5</v>
      </c>
      <c r="I612">
        <f t="shared" si="100"/>
        <v>10</v>
      </c>
      <c r="J612">
        <f t="shared" si="101"/>
        <v>575</v>
      </c>
      <c r="K612" s="5">
        <f t="shared" si="102"/>
        <v>0</v>
      </c>
      <c r="L612">
        <f t="shared" si="103"/>
        <v>95</v>
      </c>
      <c r="M612">
        <f t="shared" si="104"/>
        <v>1</v>
      </c>
      <c r="N612">
        <f t="shared" si="105"/>
        <v>0</v>
      </c>
    </row>
    <row r="613" spans="4:14" x14ac:dyDescent="0.2">
      <c r="D613">
        <f t="shared" si="107"/>
        <v>590</v>
      </c>
      <c r="E613" s="1">
        <f t="shared" si="108"/>
        <v>-3.8109433075726322</v>
      </c>
      <c r="F613" s="1">
        <f t="shared" si="109"/>
        <v>-6.1466530221023623</v>
      </c>
      <c r="G613" s="1">
        <f t="shared" si="106"/>
        <v>2.1406344496200927E-3</v>
      </c>
      <c r="H613" s="1">
        <f t="shared" si="99"/>
        <v>2.2014478448851497E-5</v>
      </c>
      <c r="I613">
        <f t="shared" si="100"/>
        <v>10</v>
      </c>
      <c r="J613">
        <f t="shared" si="101"/>
        <v>576</v>
      </c>
      <c r="K613" s="5">
        <f t="shared" si="102"/>
        <v>0</v>
      </c>
      <c r="L613">
        <f t="shared" si="103"/>
        <v>95</v>
      </c>
      <c r="M613">
        <f t="shared" si="104"/>
        <v>1</v>
      </c>
      <c r="N613">
        <f t="shared" si="105"/>
        <v>0</v>
      </c>
    </row>
    <row r="614" spans="4:14" x14ac:dyDescent="0.2">
      <c r="D614">
        <f t="shared" si="107"/>
        <v>591</v>
      </c>
      <c r="E614" s="1">
        <f t="shared" si="108"/>
        <v>-3.8214146074399276</v>
      </c>
      <c r="F614" s="1">
        <f t="shared" si="109"/>
        <v>-6.1571243219696576</v>
      </c>
      <c r="G614" s="1">
        <f t="shared" si="106"/>
        <v>2.1183361741032168E-3</v>
      </c>
      <c r="H614" s="1">
        <f t="shared" si="99"/>
        <v>2.1785160965009295E-5</v>
      </c>
      <c r="I614">
        <f t="shared" si="100"/>
        <v>10</v>
      </c>
      <c r="J614">
        <f t="shared" si="101"/>
        <v>577</v>
      </c>
      <c r="K614" s="5">
        <f t="shared" si="102"/>
        <v>0</v>
      </c>
      <c r="L614">
        <f t="shared" si="103"/>
        <v>95</v>
      </c>
      <c r="M614">
        <f t="shared" si="104"/>
        <v>1</v>
      </c>
      <c r="N614">
        <f t="shared" si="105"/>
        <v>0</v>
      </c>
    </row>
    <row r="615" spans="4:14" x14ac:dyDescent="0.2">
      <c r="D615">
        <f t="shared" si="107"/>
        <v>592</v>
      </c>
      <c r="E615" s="1">
        <f t="shared" si="108"/>
        <v>-3.8318859073072229</v>
      </c>
      <c r="F615" s="1">
        <f t="shared" si="109"/>
        <v>-6.167595621836953</v>
      </c>
      <c r="G615" s="1">
        <f t="shared" si="106"/>
        <v>2.0962701722896417E-3</v>
      </c>
      <c r="H615" s="1">
        <f t="shared" si="99"/>
        <v>2.1558232204957115E-5</v>
      </c>
      <c r="I615">
        <f t="shared" si="100"/>
        <v>10</v>
      </c>
      <c r="J615">
        <f t="shared" si="101"/>
        <v>578</v>
      </c>
      <c r="K615" s="5">
        <f t="shared" si="102"/>
        <v>0</v>
      </c>
      <c r="L615">
        <f t="shared" si="103"/>
        <v>95</v>
      </c>
      <c r="M615">
        <f t="shared" si="104"/>
        <v>1</v>
      </c>
      <c r="N615">
        <f t="shared" si="105"/>
        <v>0</v>
      </c>
    </row>
    <row r="616" spans="4:14" x14ac:dyDescent="0.2">
      <c r="D616">
        <f t="shared" si="107"/>
        <v>593</v>
      </c>
      <c r="E616" s="1">
        <f t="shared" si="108"/>
        <v>-3.8423572071745182</v>
      </c>
      <c r="F616" s="1">
        <f t="shared" si="109"/>
        <v>-6.1780669217042483</v>
      </c>
      <c r="G616" s="1">
        <f t="shared" si="106"/>
        <v>2.0744340246616247E-3</v>
      </c>
      <c r="H616" s="1">
        <f t="shared" si="99"/>
        <v>2.133366728615548E-5</v>
      </c>
      <c r="I616">
        <f t="shared" si="100"/>
        <v>10</v>
      </c>
      <c r="J616">
        <f t="shared" si="101"/>
        <v>579</v>
      </c>
      <c r="K616" s="5">
        <f t="shared" si="102"/>
        <v>0</v>
      </c>
      <c r="L616">
        <f t="shared" si="103"/>
        <v>95</v>
      </c>
      <c r="M616">
        <f t="shared" si="104"/>
        <v>1</v>
      </c>
      <c r="N616">
        <f t="shared" si="105"/>
        <v>0</v>
      </c>
    </row>
    <row r="617" spans="4:14" x14ac:dyDescent="0.2">
      <c r="D617">
        <f t="shared" si="107"/>
        <v>594</v>
      </c>
      <c r="E617" s="1">
        <f t="shared" si="108"/>
        <v>-3.8528285070418136</v>
      </c>
      <c r="F617" s="1">
        <f t="shared" si="109"/>
        <v>-6.1885382215715437</v>
      </c>
      <c r="G617" s="1">
        <f t="shared" si="106"/>
        <v>2.0528253369047332E-3</v>
      </c>
      <c r="H617" s="1">
        <f t="shared" si="99"/>
        <v>2.1111441585258033E-5</v>
      </c>
      <c r="I617">
        <f t="shared" si="100"/>
        <v>10</v>
      </c>
      <c r="J617">
        <f t="shared" si="101"/>
        <v>580</v>
      </c>
      <c r="K617" s="5">
        <f t="shared" si="102"/>
        <v>0</v>
      </c>
      <c r="L617">
        <f t="shared" si="103"/>
        <v>95</v>
      </c>
      <c r="M617">
        <f t="shared" si="104"/>
        <v>1</v>
      </c>
      <c r="N617">
        <f t="shared" si="105"/>
        <v>0</v>
      </c>
    </row>
    <row r="618" spans="4:14" x14ac:dyDescent="0.2">
      <c r="D618">
        <f t="shared" si="107"/>
        <v>595</v>
      </c>
      <c r="E618" s="1">
        <f t="shared" si="108"/>
        <v>-3.8632998069091089</v>
      </c>
      <c r="F618" s="1">
        <f t="shared" si="109"/>
        <v>-6.199009521438839</v>
      </c>
      <c r="G618" s="1">
        <f t="shared" si="106"/>
        <v>2.0314417396453091E-3</v>
      </c>
      <c r="H618" s="1">
        <f t="shared" si="99"/>
        <v>2.0891530735411596E-5</v>
      </c>
      <c r="I618">
        <f t="shared" si="100"/>
        <v>10</v>
      </c>
      <c r="J618">
        <f t="shared" si="101"/>
        <v>581</v>
      </c>
      <c r="K618" s="5">
        <f t="shared" si="102"/>
        <v>0</v>
      </c>
      <c r="L618">
        <f t="shared" si="103"/>
        <v>95</v>
      </c>
      <c r="M618">
        <f t="shared" si="104"/>
        <v>1</v>
      </c>
      <c r="N618">
        <f t="shared" si="105"/>
        <v>0</v>
      </c>
    </row>
    <row r="619" spans="4:14" x14ac:dyDescent="0.2">
      <c r="D619">
        <f t="shared" si="107"/>
        <v>596</v>
      </c>
      <c r="E619" s="1">
        <f t="shared" si="108"/>
        <v>-3.8737711067764042</v>
      </c>
      <c r="F619" s="1">
        <f t="shared" si="109"/>
        <v>-6.2094808213061343</v>
      </c>
      <c r="G619" s="1">
        <f t="shared" si="106"/>
        <v>2.0102808881906705E-3</v>
      </c>
      <c r="H619" s="1">
        <f t="shared" si="99"/>
        <v>2.0673910623584391E-5</v>
      </c>
      <c r="I619">
        <f t="shared" si="100"/>
        <v>10</v>
      </c>
      <c r="J619">
        <f t="shared" si="101"/>
        <v>582</v>
      </c>
      <c r="K619" s="5">
        <f t="shared" si="102"/>
        <v>0</v>
      </c>
      <c r="L619">
        <f t="shared" si="103"/>
        <v>95</v>
      </c>
      <c r="M619">
        <f t="shared" si="104"/>
        <v>1</v>
      </c>
      <c r="N619">
        <f t="shared" si="105"/>
        <v>0</v>
      </c>
    </row>
    <row r="620" spans="4:14" x14ac:dyDescent="0.2">
      <c r="D620">
        <f t="shared" si="107"/>
        <v>597</v>
      </c>
      <c r="E620" s="1">
        <f t="shared" si="108"/>
        <v>-3.8842424066436996</v>
      </c>
      <c r="F620" s="1">
        <f t="shared" si="109"/>
        <v>-6.2199521211734297</v>
      </c>
      <c r="G620" s="1">
        <f t="shared" si="106"/>
        <v>1.9893404622720176E-3</v>
      </c>
      <c r="H620" s="1">
        <f t="shared" si="99"/>
        <v>2.0458557387922055E-5</v>
      </c>
      <c r="I620">
        <f t="shared" si="100"/>
        <v>10</v>
      </c>
      <c r="J620">
        <f t="shared" si="101"/>
        <v>583</v>
      </c>
      <c r="K620" s="5">
        <f t="shared" si="102"/>
        <v>0</v>
      </c>
      <c r="L620">
        <f t="shared" si="103"/>
        <v>95</v>
      </c>
      <c r="M620">
        <f t="shared" si="104"/>
        <v>1</v>
      </c>
      <c r="N620">
        <f t="shared" si="105"/>
        <v>0</v>
      </c>
    </row>
    <row r="621" spans="4:14" x14ac:dyDescent="0.2">
      <c r="D621">
        <f t="shared" si="107"/>
        <v>598</v>
      </c>
      <c r="E621" s="1">
        <f t="shared" si="108"/>
        <v>-3.8947137065109949</v>
      </c>
      <c r="F621" s="1">
        <f t="shared" si="109"/>
        <v>-6.230423421040725</v>
      </c>
      <c r="G621" s="1">
        <f t="shared" si="106"/>
        <v>1.9686181657900177E-3</v>
      </c>
      <c r="H621" s="1">
        <f t="shared" si="99"/>
        <v>2.0245447415131203E-5</v>
      </c>
      <c r="I621">
        <f t="shared" si="100"/>
        <v>10</v>
      </c>
      <c r="J621">
        <f t="shared" si="101"/>
        <v>584</v>
      </c>
      <c r="K621" s="5">
        <f t="shared" si="102"/>
        <v>0</v>
      </c>
      <c r="L621">
        <f t="shared" si="103"/>
        <v>95</v>
      </c>
      <c r="M621">
        <f t="shared" si="104"/>
        <v>1</v>
      </c>
      <c r="N621">
        <f t="shared" si="105"/>
        <v>0</v>
      </c>
    </row>
    <row r="622" spans="4:14" x14ac:dyDescent="0.2">
      <c r="D622">
        <f t="shared" si="107"/>
        <v>599</v>
      </c>
      <c r="E622" s="1">
        <f t="shared" si="108"/>
        <v>-3.9051850063782902</v>
      </c>
      <c r="F622" s="1">
        <f t="shared" si="109"/>
        <v>-6.2408947209080203</v>
      </c>
      <c r="G622" s="1">
        <f t="shared" si="106"/>
        <v>1.9481117265630384E-3</v>
      </c>
      <c r="H622" s="1">
        <f t="shared" si="99"/>
        <v>2.0034557337890254E-5</v>
      </c>
      <c r="I622">
        <f t="shared" si="100"/>
        <v>10</v>
      </c>
      <c r="J622">
        <f t="shared" si="101"/>
        <v>585</v>
      </c>
      <c r="K622" s="5">
        <f t="shared" si="102"/>
        <v>0</v>
      </c>
      <c r="L622">
        <f t="shared" si="103"/>
        <v>95</v>
      </c>
      <c r="M622">
        <f t="shared" si="104"/>
        <v>1</v>
      </c>
      <c r="N622">
        <f t="shared" si="105"/>
        <v>0</v>
      </c>
    </row>
    <row r="623" spans="4:14" x14ac:dyDescent="0.2">
      <c r="D623">
        <f t="shared" si="107"/>
        <v>600</v>
      </c>
      <c r="E623" s="1">
        <f t="shared" si="108"/>
        <v>-3.9156563062455856</v>
      </c>
      <c r="F623" s="1">
        <f t="shared" si="109"/>
        <v>-6.2513660207753157</v>
      </c>
      <c r="G623" s="1">
        <f t="shared" si="106"/>
        <v>1.9278188960780069E-3</v>
      </c>
      <c r="H623" s="1">
        <f t="shared" si="99"/>
        <v>1.9825864032287233E-5</v>
      </c>
      <c r="I623">
        <f t="shared" si="100"/>
        <v>10</v>
      </c>
      <c r="J623">
        <f t="shared" si="101"/>
        <v>586</v>
      </c>
      <c r="K623" s="5">
        <f t="shared" si="102"/>
        <v>0</v>
      </c>
      <c r="L623">
        <f t="shared" si="103"/>
        <v>95</v>
      </c>
      <c r="M623">
        <f t="shared" si="104"/>
        <v>1</v>
      </c>
      <c r="N623">
        <f t="shared" si="105"/>
        <v>0</v>
      </c>
    </row>
    <row r="624" spans="4:14" x14ac:dyDescent="0.2">
      <c r="D624">
        <f t="shared" si="107"/>
        <v>601</v>
      </c>
      <c r="E624" s="1">
        <f t="shared" si="108"/>
        <v>-3.9261276061128809</v>
      </c>
      <c r="F624" s="1">
        <f t="shared" si="109"/>
        <v>-6.261837320642611</v>
      </c>
      <c r="G624" s="1">
        <f t="shared" si="106"/>
        <v>1.9077374492438611E-3</v>
      </c>
      <c r="H624" s="1">
        <f t="shared" si="99"/>
        <v>1.9619344615284242E-5</v>
      </c>
      <c r="I624">
        <f t="shared" si="100"/>
        <v>10</v>
      </c>
      <c r="J624">
        <f t="shared" si="101"/>
        <v>587</v>
      </c>
      <c r="K624" s="5">
        <f t="shared" si="102"/>
        <v>0</v>
      </c>
      <c r="L624">
        <f t="shared" si="103"/>
        <v>95</v>
      </c>
      <c r="M624">
        <f t="shared" si="104"/>
        <v>1</v>
      </c>
      <c r="N624">
        <f t="shared" si="105"/>
        <v>0</v>
      </c>
    </row>
    <row r="625" spans="4:14" x14ac:dyDescent="0.2">
      <c r="D625">
        <f t="shared" si="107"/>
        <v>602</v>
      </c>
      <c r="E625" s="1">
        <f t="shared" si="108"/>
        <v>-3.9365989059801763</v>
      </c>
      <c r="F625" s="1">
        <f t="shared" si="109"/>
        <v>-6.2723086205099063</v>
      </c>
      <c r="G625" s="1">
        <f t="shared" si="106"/>
        <v>1.8878651841475712E-3</v>
      </c>
      <c r="H625" s="1">
        <f t="shared" si="99"/>
        <v>1.9414976442208367E-5</v>
      </c>
      <c r="I625">
        <f t="shared" si="100"/>
        <v>10</v>
      </c>
      <c r="J625">
        <f t="shared" si="101"/>
        <v>588</v>
      </c>
      <c r="K625" s="5">
        <f t="shared" si="102"/>
        <v>0</v>
      </c>
      <c r="L625">
        <f t="shared" si="103"/>
        <v>95</v>
      </c>
      <c r="M625">
        <f t="shared" si="104"/>
        <v>1</v>
      </c>
      <c r="N625">
        <f t="shared" si="105"/>
        <v>0</v>
      </c>
    </row>
    <row r="626" spans="4:14" x14ac:dyDescent="0.2">
      <c r="D626">
        <f t="shared" si="107"/>
        <v>603</v>
      </c>
      <c r="E626" s="1">
        <f t="shared" si="108"/>
        <v>-3.9470702058474716</v>
      </c>
      <c r="F626" s="1">
        <f t="shared" si="109"/>
        <v>-6.2827799203772017</v>
      </c>
      <c r="G626" s="1">
        <f t="shared" si="106"/>
        <v>1.8681999218127007E-3</v>
      </c>
      <c r="H626" s="1">
        <f t="shared" si="99"/>
        <v>1.9212737104268696E-5</v>
      </c>
      <c r="I626">
        <f t="shared" si="100"/>
        <v>10</v>
      </c>
      <c r="J626">
        <f t="shared" si="101"/>
        <v>589</v>
      </c>
      <c r="K626" s="5">
        <f t="shared" si="102"/>
        <v>0</v>
      </c>
      <c r="L626">
        <f t="shared" si="103"/>
        <v>95</v>
      </c>
      <c r="M626">
        <f t="shared" si="104"/>
        <v>1</v>
      </c>
      <c r="N626">
        <f t="shared" si="105"/>
        <v>0</v>
      </c>
    </row>
    <row r="627" spans="4:14" x14ac:dyDescent="0.2">
      <c r="D627">
        <f t="shared" si="107"/>
        <v>604</v>
      </c>
      <c r="E627" s="1">
        <f t="shared" si="108"/>
        <v>-3.9575415057147669</v>
      </c>
      <c r="F627" s="1">
        <f t="shared" si="109"/>
        <v>-6.293251220244497</v>
      </c>
      <c r="G627" s="1">
        <f t="shared" si="106"/>
        <v>1.8487395059604852E-3</v>
      </c>
      <c r="H627" s="1">
        <f t="shared" si="99"/>
        <v>1.9012604426099232E-5</v>
      </c>
      <c r="I627">
        <f t="shared" si="100"/>
        <v>10</v>
      </c>
      <c r="J627">
        <f t="shared" si="101"/>
        <v>590</v>
      </c>
      <c r="K627" s="5">
        <f t="shared" si="102"/>
        <v>0</v>
      </c>
      <c r="L627">
        <f t="shared" si="103"/>
        <v>95</v>
      </c>
      <c r="M627">
        <f t="shared" si="104"/>
        <v>1</v>
      </c>
      <c r="N627">
        <f t="shared" si="105"/>
        <v>0</v>
      </c>
    </row>
    <row r="628" spans="4:14" x14ac:dyDescent="0.2">
      <c r="D628">
        <f t="shared" si="107"/>
        <v>605</v>
      </c>
      <c r="E628" s="1">
        <f t="shared" si="108"/>
        <v>-3.9680128055820623</v>
      </c>
      <c r="F628" s="1">
        <f t="shared" si="109"/>
        <v>-6.3037225201117923</v>
      </c>
      <c r="G628" s="1">
        <f t="shared" si="106"/>
        <v>1.829481802773397E-3</v>
      </c>
      <c r="H628" s="1">
        <f t="shared" si="99"/>
        <v>1.8814556463327368E-5</v>
      </c>
      <c r="I628">
        <f t="shared" si="100"/>
        <v>10</v>
      </c>
      <c r="J628">
        <f t="shared" si="101"/>
        <v>591</v>
      </c>
      <c r="K628" s="5">
        <f t="shared" si="102"/>
        <v>0</v>
      </c>
      <c r="L628">
        <f t="shared" si="103"/>
        <v>95</v>
      </c>
      <c r="M628">
        <f t="shared" si="104"/>
        <v>1</v>
      </c>
      <c r="N628">
        <f t="shared" si="105"/>
        <v>0</v>
      </c>
    </row>
    <row r="629" spans="4:14" x14ac:dyDescent="0.2">
      <c r="D629">
        <f t="shared" si="107"/>
        <v>606</v>
      </c>
      <c r="E629" s="1">
        <f t="shared" si="108"/>
        <v>-3.9784841054493576</v>
      </c>
      <c r="F629" s="1">
        <f t="shared" si="109"/>
        <v>-6.3141938199790877</v>
      </c>
      <c r="G629" s="1">
        <f t="shared" si="106"/>
        <v>1.8104247006611742E-3</v>
      </c>
      <c r="H629" s="1">
        <f t="shared" si="99"/>
        <v>1.8618571500167709E-5</v>
      </c>
      <c r="I629">
        <f t="shared" si="100"/>
        <v>10</v>
      </c>
      <c r="J629">
        <f t="shared" si="101"/>
        <v>592</v>
      </c>
      <c r="K629" s="5">
        <f t="shared" si="102"/>
        <v>0</v>
      </c>
      <c r="L629">
        <f t="shared" si="103"/>
        <v>95</v>
      </c>
      <c r="M629">
        <f t="shared" si="104"/>
        <v>1</v>
      </c>
      <c r="N629">
        <f t="shared" si="105"/>
        <v>0</v>
      </c>
    </row>
    <row r="630" spans="4:14" x14ac:dyDescent="0.2">
      <c r="D630">
        <f t="shared" si="107"/>
        <v>607</v>
      </c>
      <c r="E630" s="1">
        <f t="shared" si="108"/>
        <v>-3.9889554053166529</v>
      </c>
      <c r="F630" s="1">
        <f t="shared" si="109"/>
        <v>-6.324665119846383</v>
      </c>
      <c r="G630" s="1">
        <f t="shared" si="106"/>
        <v>1.791566110029287E-3</v>
      </c>
      <c r="H630" s="1">
        <f t="shared" si="99"/>
        <v>1.842462804704096E-5</v>
      </c>
      <c r="I630">
        <f t="shared" si="100"/>
        <v>10</v>
      </c>
      <c r="J630">
        <f t="shared" si="101"/>
        <v>593</v>
      </c>
      <c r="K630" s="5">
        <f t="shared" si="102"/>
        <v>0</v>
      </c>
      <c r="L630">
        <f t="shared" si="103"/>
        <v>95</v>
      </c>
      <c r="M630">
        <f t="shared" si="104"/>
        <v>1</v>
      </c>
      <c r="N630">
        <f t="shared" si="105"/>
        <v>0</v>
      </c>
    </row>
    <row r="631" spans="4:14" x14ac:dyDescent="0.2">
      <c r="D631">
        <f t="shared" si="107"/>
        <v>608</v>
      </c>
      <c r="E631" s="1">
        <f t="shared" si="108"/>
        <v>-3.9994267051839483</v>
      </c>
      <c r="F631" s="1">
        <f t="shared" si="109"/>
        <v>-6.3351364197136784</v>
      </c>
      <c r="G631" s="1">
        <f t="shared" si="106"/>
        <v>1.7729039630498154E-3</v>
      </c>
      <c r="H631" s="1">
        <f t="shared" si="99"/>
        <v>1.8232704838217618E-5</v>
      </c>
      <c r="I631">
        <f t="shared" si="100"/>
        <v>10</v>
      </c>
      <c r="J631">
        <f t="shared" si="101"/>
        <v>594</v>
      </c>
      <c r="K631" s="5">
        <f t="shared" si="102"/>
        <v>0</v>
      </c>
      <c r="L631">
        <f t="shared" si="103"/>
        <v>95</v>
      </c>
      <c r="M631">
        <f t="shared" si="104"/>
        <v>1</v>
      </c>
      <c r="N631">
        <f t="shared" si="105"/>
        <v>0</v>
      </c>
    </row>
    <row r="632" spans="4:14" x14ac:dyDescent="0.2">
      <c r="D632">
        <f t="shared" si="107"/>
        <v>609</v>
      </c>
      <c r="E632" s="1">
        <f t="shared" si="108"/>
        <v>-4.0098980050512436</v>
      </c>
      <c r="F632" s="1">
        <f t="shared" si="109"/>
        <v>-6.3456077195809737</v>
      </c>
      <c r="G632" s="1">
        <f t="shared" si="106"/>
        <v>1.7544362134347133E-3</v>
      </c>
      <c r="H632" s="1">
        <f t="shared" si="99"/>
        <v>1.8042780829486187E-5</v>
      </c>
      <c r="I632">
        <f t="shared" si="100"/>
        <v>10</v>
      </c>
      <c r="J632">
        <f t="shared" si="101"/>
        <v>595</v>
      </c>
      <c r="K632" s="5">
        <f t="shared" si="102"/>
        <v>0</v>
      </c>
      <c r="L632">
        <f t="shared" si="103"/>
        <v>95</v>
      </c>
      <c r="M632">
        <f t="shared" si="104"/>
        <v>1</v>
      </c>
      <c r="N632">
        <f t="shared" si="105"/>
        <v>0</v>
      </c>
    </row>
    <row r="633" spans="4:14" x14ac:dyDescent="0.2">
      <c r="D633">
        <f t="shared" si="107"/>
        <v>610</v>
      </c>
      <c r="E633" s="1">
        <f t="shared" si="108"/>
        <v>-4.0203693049185389</v>
      </c>
      <c r="F633" s="1">
        <f t="shared" si="109"/>
        <v>-6.356079019448269</v>
      </c>
      <c r="G633" s="1">
        <f t="shared" si="106"/>
        <v>1.7361608362114352E-3</v>
      </c>
      <c r="H633" s="1">
        <f t="shared" si="99"/>
        <v>1.7854835195845709E-5</v>
      </c>
      <c r="I633">
        <f t="shared" si="100"/>
        <v>10</v>
      </c>
      <c r="J633">
        <f t="shared" si="101"/>
        <v>596</v>
      </c>
      <c r="K633" s="5">
        <f t="shared" si="102"/>
        <v>0</v>
      </c>
      <c r="L633">
        <f t="shared" si="103"/>
        <v>95</v>
      </c>
      <c r="M633">
        <f t="shared" si="104"/>
        <v>1</v>
      </c>
      <c r="N633">
        <f t="shared" si="105"/>
        <v>0</v>
      </c>
    </row>
    <row r="634" spans="4:14" x14ac:dyDescent="0.2">
      <c r="D634">
        <f t="shared" si="107"/>
        <v>611</v>
      </c>
      <c r="E634" s="1">
        <f t="shared" si="108"/>
        <v>-4.0308406047858343</v>
      </c>
      <c r="F634" s="1">
        <f t="shared" si="109"/>
        <v>-6.3665503193155644</v>
      </c>
      <c r="G634" s="1">
        <f t="shared" si="106"/>
        <v>1.7180758275008995E-3</v>
      </c>
      <c r="H634" s="1">
        <f t="shared" si="99"/>
        <v>1.7668847329222318E-5</v>
      </c>
      <c r="I634">
        <f t="shared" si="100"/>
        <v>10</v>
      </c>
      <c r="J634">
        <f t="shared" si="101"/>
        <v>597</v>
      </c>
      <c r="K634" s="5">
        <f t="shared" si="102"/>
        <v>0</v>
      </c>
      <c r="L634">
        <f t="shared" si="103"/>
        <v>95</v>
      </c>
      <c r="M634">
        <f t="shared" si="104"/>
        <v>1</v>
      </c>
      <c r="N634">
        <f t="shared" si="105"/>
        <v>0</v>
      </c>
    </row>
    <row r="635" spans="4:14" x14ac:dyDescent="0.2">
      <c r="D635">
        <f t="shared" si="107"/>
        <v>612</v>
      </c>
      <c r="E635" s="1">
        <f t="shared" si="108"/>
        <v>-4.0413119046531296</v>
      </c>
      <c r="F635" s="1">
        <f t="shared" si="109"/>
        <v>-6.3770216191828597</v>
      </c>
      <c r="G635" s="1">
        <f t="shared" si="106"/>
        <v>1.7001792042977654E-3</v>
      </c>
      <c r="H635" s="1">
        <f t="shared" si="99"/>
        <v>1.7484796836209585E-5</v>
      </c>
      <c r="I635">
        <f t="shared" si="100"/>
        <v>10</v>
      </c>
      <c r="J635">
        <f t="shared" si="101"/>
        <v>598</v>
      </c>
      <c r="K635" s="5">
        <f t="shared" si="102"/>
        <v>0</v>
      </c>
      <c r="L635">
        <f t="shared" si="103"/>
        <v>95</v>
      </c>
      <c r="M635">
        <f t="shared" si="104"/>
        <v>1</v>
      </c>
      <c r="N635">
        <f t="shared" si="105"/>
        <v>0</v>
      </c>
    </row>
    <row r="636" spans="4:14" x14ac:dyDescent="0.2">
      <c r="D636">
        <f t="shared" si="107"/>
        <v>613</v>
      </c>
      <c r="E636" s="1">
        <f t="shared" si="108"/>
        <v>-4.051783204520425</v>
      </c>
      <c r="F636" s="1">
        <f t="shared" si="109"/>
        <v>-6.387492919050155</v>
      </c>
      <c r="G636" s="1">
        <f t="shared" si="106"/>
        <v>1.6824690042529971E-3</v>
      </c>
      <c r="H636" s="1">
        <f t="shared" si="99"/>
        <v>1.7302663535832404E-5</v>
      </c>
      <c r="I636">
        <f t="shared" si="100"/>
        <v>10</v>
      </c>
      <c r="J636">
        <f t="shared" si="101"/>
        <v>599</v>
      </c>
      <c r="K636" s="5">
        <f t="shared" si="102"/>
        <v>0</v>
      </c>
      <c r="L636">
        <f t="shared" si="103"/>
        <v>95</v>
      </c>
      <c r="M636">
        <f t="shared" si="104"/>
        <v>1</v>
      </c>
      <c r="N636">
        <f t="shared" si="105"/>
        <v>0</v>
      </c>
    </row>
    <row r="637" spans="4:14" x14ac:dyDescent="0.2">
      <c r="D637">
        <f t="shared" si="107"/>
        <v>614</v>
      </c>
      <c r="E637" s="1">
        <f t="shared" si="108"/>
        <v>-4.0622545043877203</v>
      </c>
      <c r="F637" s="1">
        <f t="shared" si="109"/>
        <v>-6.3979642189174504</v>
      </c>
      <c r="G637" s="1">
        <f t="shared" si="106"/>
        <v>1.664943285458695E-3</v>
      </c>
      <c r="H637" s="1">
        <f t="shared" si="99"/>
        <v>1.712242745733415E-5</v>
      </c>
      <c r="I637">
        <f t="shared" si="100"/>
        <v>10</v>
      </c>
      <c r="J637">
        <f t="shared" si="101"/>
        <v>600</v>
      </c>
      <c r="K637" s="5">
        <f t="shared" si="102"/>
        <v>0</v>
      </c>
      <c r="L637">
        <f t="shared" si="103"/>
        <v>95</v>
      </c>
      <c r="M637">
        <f t="shared" si="104"/>
        <v>1</v>
      </c>
      <c r="N637">
        <f t="shared" si="105"/>
        <v>0</v>
      </c>
    </row>
    <row r="638" spans="4:14" x14ac:dyDescent="0.2">
      <c r="D638">
        <f t="shared" si="107"/>
        <v>615</v>
      </c>
      <c r="E638" s="1">
        <f t="shared" si="108"/>
        <v>-4.0727258042550156</v>
      </c>
      <c r="F638" s="1">
        <f t="shared" si="109"/>
        <v>-6.4084355187847457</v>
      </c>
      <c r="G638" s="1">
        <f t="shared" si="106"/>
        <v>1.647600126235167E-3</v>
      </c>
      <c r="H638" s="1">
        <f t="shared" si="99"/>
        <v>1.6944068837986918E-5</v>
      </c>
      <c r="I638">
        <f t="shared" si="100"/>
        <v>10</v>
      </c>
      <c r="J638">
        <f t="shared" si="101"/>
        <v>601</v>
      </c>
      <c r="K638" s="5">
        <f t="shared" si="102"/>
        <v>0</v>
      </c>
      <c r="L638">
        <f t="shared" si="103"/>
        <v>95</v>
      </c>
      <c r="M638">
        <f t="shared" si="104"/>
        <v>1</v>
      </c>
      <c r="N638">
        <f t="shared" si="105"/>
        <v>0</v>
      </c>
    </row>
    <row r="639" spans="4:14" x14ac:dyDescent="0.2">
      <c r="D639">
        <f t="shared" si="107"/>
        <v>616</v>
      </c>
      <c r="E639" s="1">
        <f t="shared" si="108"/>
        <v>-4.083197104122311</v>
      </c>
      <c r="F639" s="1">
        <f t="shared" si="109"/>
        <v>-6.418906818652041</v>
      </c>
      <c r="G639" s="1">
        <f t="shared" si="106"/>
        <v>1.6304376249202176E-3</v>
      </c>
      <c r="H639" s="1">
        <f t="shared" si="99"/>
        <v>1.6767568120924559E-5</v>
      </c>
      <c r="I639">
        <f t="shared" si="100"/>
        <v>10</v>
      </c>
      <c r="J639">
        <f t="shared" si="101"/>
        <v>602</v>
      </c>
      <c r="K639" s="5">
        <f t="shared" si="102"/>
        <v>0</v>
      </c>
      <c r="L639">
        <f t="shared" si="103"/>
        <v>95</v>
      </c>
      <c r="M639">
        <f t="shared" si="104"/>
        <v>1</v>
      </c>
      <c r="N639">
        <f t="shared" si="105"/>
        <v>0</v>
      </c>
    </row>
    <row r="640" spans="4:14" x14ac:dyDescent="0.2">
      <c r="D640">
        <f t="shared" si="107"/>
        <v>617</v>
      </c>
      <c r="E640" s="1">
        <f t="shared" si="108"/>
        <v>-4.0936684039896063</v>
      </c>
      <c r="F640" s="1">
        <f t="shared" si="109"/>
        <v>-6.4293781185193364</v>
      </c>
      <c r="G640" s="1">
        <f t="shared" si="106"/>
        <v>1.613453899660632E-3</v>
      </c>
      <c r="H640" s="1">
        <f t="shared" si="99"/>
        <v>1.6592905952998262E-5</v>
      </c>
      <c r="I640">
        <f t="shared" si="100"/>
        <v>10</v>
      </c>
      <c r="J640">
        <f t="shared" si="101"/>
        <v>603</v>
      </c>
      <c r="K640" s="5">
        <f t="shared" si="102"/>
        <v>0</v>
      </c>
      <c r="L640">
        <f t="shared" si="103"/>
        <v>95</v>
      </c>
      <c r="M640">
        <f t="shared" si="104"/>
        <v>1</v>
      </c>
      <c r="N640">
        <f t="shared" si="105"/>
        <v>0</v>
      </c>
    </row>
    <row r="641" spans="4:14" x14ac:dyDescent="0.2">
      <c r="D641">
        <f t="shared" si="107"/>
        <v>618</v>
      </c>
      <c r="E641" s="1">
        <f t="shared" si="108"/>
        <v>-4.1041397038569016</v>
      </c>
      <c r="F641" s="1">
        <f t="shared" si="109"/>
        <v>-6.4398494183866317</v>
      </c>
      <c r="G641" s="1">
        <f t="shared" si="106"/>
        <v>1.596647088205834E-3</v>
      </c>
      <c r="H641" s="1">
        <f t="shared" si="99"/>
        <v>1.6420063182654531E-5</v>
      </c>
      <c r="I641">
        <f t="shared" si="100"/>
        <v>10</v>
      </c>
      <c r="J641">
        <f t="shared" si="101"/>
        <v>604</v>
      </c>
      <c r="K641" s="5">
        <f t="shared" si="102"/>
        <v>0</v>
      </c>
      <c r="L641">
        <f t="shared" si="103"/>
        <v>95</v>
      </c>
      <c r="M641">
        <f t="shared" si="104"/>
        <v>1</v>
      </c>
      <c r="N641">
        <f t="shared" si="105"/>
        <v>0</v>
      </c>
    </row>
    <row r="642" spans="4:14" x14ac:dyDescent="0.2">
      <c r="D642">
        <f t="shared" si="107"/>
        <v>619</v>
      </c>
      <c r="E642" s="1">
        <f t="shared" si="108"/>
        <v>-4.114611003724197</v>
      </c>
      <c r="F642" s="1">
        <f t="shared" si="109"/>
        <v>-6.4503207182539271</v>
      </c>
      <c r="G642" s="1">
        <f t="shared" si="106"/>
        <v>1.58001534770369E-3</v>
      </c>
      <c r="H642" s="1">
        <f t="shared" si="99"/>
        <v>1.6249020857835214E-5</v>
      </c>
      <c r="I642">
        <f t="shared" si="100"/>
        <v>10</v>
      </c>
      <c r="J642">
        <f t="shared" si="101"/>
        <v>605</v>
      </c>
      <c r="K642" s="5">
        <f t="shared" si="102"/>
        <v>0</v>
      </c>
      <c r="L642">
        <f t="shared" si="103"/>
        <v>95</v>
      </c>
      <c r="M642">
        <f t="shared" si="104"/>
        <v>1</v>
      </c>
      <c r="N642">
        <f t="shared" si="105"/>
        <v>0</v>
      </c>
    </row>
    <row r="643" spans="4:14" x14ac:dyDescent="0.2">
      <c r="D643">
        <f t="shared" si="107"/>
        <v>620</v>
      </c>
      <c r="E643" s="1">
        <f t="shared" si="108"/>
        <v>-4.1250823035914923</v>
      </c>
      <c r="F643" s="1">
        <f t="shared" si="109"/>
        <v>-6.4607920181212224</v>
      </c>
      <c r="G643" s="1">
        <f t="shared" si="106"/>
        <v>1.5635568544984432E-3</v>
      </c>
      <c r="H643" s="1">
        <f t="shared" si="99"/>
        <v>1.607976022389943E-5</v>
      </c>
      <c r="I643">
        <f t="shared" si="100"/>
        <v>10</v>
      </c>
      <c r="J643">
        <f t="shared" si="101"/>
        <v>606</v>
      </c>
      <c r="K643" s="5">
        <f t="shared" si="102"/>
        <v>0</v>
      </c>
      <c r="L643">
        <f t="shared" si="103"/>
        <v>95</v>
      </c>
      <c r="M643">
        <f t="shared" si="104"/>
        <v>1</v>
      </c>
      <c r="N643">
        <f t="shared" si="105"/>
        <v>0</v>
      </c>
    </row>
    <row r="644" spans="4:14" x14ac:dyDescent="0.2">
      <c r="D644">
        <f t="shared" si="107"/>
        <v>621</v>
      </c>
      <c r="E644" s="1">
        <f t="shared" si="108"/>
        <v>-4.1355536034587876</v>
      </c>
      <c r="F644" s="1">
        <f t="shared" si="109"/>
        <v>-6.4712633179885177</v>
      </c>
      <c r="G644" s="1">
        <f t="shared" si="106"/>
        <v>1.5472698039307512E-3</v>
      </c>
      <c r="H644" s="1">
        <f t="shared" si="99"/>
        <v>1.5912262721567147E-5</v>
      </c>
      <c r="I644">
        <f t="shared" si="100"/>
        <v>10</v>
      </c>
      <c r="J644">
        <f t="shared" si="101"/>
        <v>607</v>
      </c>
      <c r="K644" s="5">
        <f t="shared" si="102"/>
        <v>0</v>
      </c>
      <c r="L644">
        <f t="shared" si="103"/>
        <v>95</v>
      </c>
      <c r="M644">
        <f t="shared" si="104"/>
        <v>1</v>
      </c>
      <c r="N644">
        <f t="shared" si="105"/>
        <v>0</v>
      </c>
    </row>
    <row r="645" spans="4:14" x14ac:dyDescent="0.2">
      <c r="D645">
        <f t="shared" si="107"/>
        <v>622</v>
      </c>
      <c r="E645" s="1">
        <f t="shared" si="108"/>
        <v>-4.146024903326083</v>
      </c>
      <c r="F645" s="1">
        <f t="shared" si="109"/>
        <v>-6.4817346178558131</v>
      </c>
      <c r="G645" s="1">
        <f t="shared" si="106"/>
        <v>1.531152410139806E-3</v>
      </c>
      <c r="H645" s="1">
        <f t="shared" si="99"/>
        <v>1.5746509984884158E-5</v>
      </c>
      <c r="I645">
        <f t="shared" si="100"/>
        <v>10</v>
      </c>
      <c r="J645">
        <f t="shared" si="101"/>
        <v>608</v>
      </c>
      <c r="K645" s="5">
        <f t="shared" si="102"/>
        <v>0</v>
      </c>
      <c r="L645">
        <f t="shared" si="103"/>
        <v>95</v>
      </c>
      <c r="M645">
        <f t="shared" si="104"/>
        <v>1</v>
      </c>
      <c r="N645">
        <f t="shared" si="105"/>
        <v>0</v>
      </c>
    </row>
    <row r="646" spans="4:14" x14ac:dyDescent="0.2">
      <c r="D646">
        <f t="shared" si="107"/>
        <v>623</v>
      </c>
      <c r="E646" s="1">
        <f t="shared" si="108"/>
        <v>-4.1564962031933783</v>
      </c>
      <c r="F646" s="1">
        <f t="shared" si="109"/>
        <v>-6.4922059177231084</v>
      </c>
      <c r="G646" s="1">
        <f t="shared" si="106"/>
        <v>1.5152029058675164E-3</v>
      </c>
      <c r="H646" s="1">
        <f t="shared" si="99"/>
        <v>1.5582483839208279E-5</v>
      </c>
      <c r="I646">
        <f t="shared" si="100"/>
        <v>10</v>
      </c>
      <c r="J646">
        <f t="shared" si="101"/>
        <v>609</v>
      </c>
      <c r="K646" s="5">
        <f t="shared" si="102"/>
        <v>0</v>
      </c>
      <c r="L646">
        <f t="shared" si="103"/>
        <v>95</v>
      </c>
      <c r="M646">
        <f t="shared" si="104"/>
        <v>1</v>
      </c>
      <c r="N646">
        <f t="shared" si="105"/>
        <v>0</v>
      </c>
    </row>
    <row r="647" spans="4:14" x14ac:dyDescent="0.2">
      <c r="D647">
        <f t="shared" si="107"/>
        <v>624</v>
      </c>
      <c r="E647" s="1">
        <f t="shared" si="108"/>
        <v>-4.1669675030606736</v>
      </c>
      <c r="F647" s="1">
        <f t="shared" si="109"/>
        <v>-6.5026772175904037</v>
      </c>
      <c r="G647" s="1">
        <f t="shared" si="106"/>
        <v>1.49941954226473E-3</v>
      </c>
      <c r="H647" s="1">
        <f t="shared" si="99"/>
        <v>1.5420166299216529E-5</v>
      </c>
      <c r="I647">
        <f t="shared" si="100"/>
        <v>10</v>
      </c>
      <c r="J647">
        <f t="shared" si="101"/>
        <v>610</v>
      </c>
      <c r="K647" s="5">
        <f t="shared" si="102"/>
        <v>0</v>
      </c>
      <c r="L647">
        <f t="shared" si="103"/>
        <v>95</v>
      </c>
      <c r="M647">
        <f t="shared" si="104"/>
        <v>1</v>
      </c>
      <c r="N647">
        <f t="shared" si="105"/>
        <v>0</v>
      </c>
    </row>
    <row r="648" spans="4:14" x14ac:dyDescent="0.2">
      <c r="D648">
        <f t="shared" si="107"/>
        <v>625</v>
      </c>
      <c r="E648" s="1">
        <f t="shared" si="108"/>
        <v>-4.177438802927969</v>
      </c>
      <c r="F648" s="1">
        <f t="shared" si="109"/>
        <v>-6.5131485174576991</v>
      </c>
      <c r="G648" s="1">
        <f t="shared" si="106"/>
        <v>1.4838005886994724E-3</v>
      </c>
      <c r="H648" s="1">
        <f t="shared" si="99"/>
        <v>1.5259539566933025E-5</v>
      </c>
      <c r="I648">
        <f t="shared" si="100"/>
        <v>10</v>
      </c>
      <c r="J648">
        <f t="shared" si="101"/>
        <v>611</v>
      </c>
      <c r="K648" s="5">
        <f t="shared" si="102"/>
        <v>0</v>
      </c>
      <c r="L648">
        <f t="shared" si="103"/>
        <v>95</v>
      </c>
      <c r="M648">
        <f t="shared" si="104"/>
        <v>1</v>
      </c>
      <c r="N648">
        <f t="shared" si="105"/>
        <v>0</v>
      </c>
    </row>
    <row r="649" spans="4:14" x14ac:dyDescent="0.2">
      <c r="D649">
        <f t="shared" si="107"/>
        <v>626</v>
      </c>
      <c r="E649" s="1">
        <f t="shared" si="108"/>
        <v>-4.1879101027952643</v>
      </c>
      <c r="F649" s="1">
        <f t="shared" si="109"/>
        <v>-6.5236198173249944</v>
      </c>
      <c r="G649" s="1">
        <f t="shared" si="106"/>
        <v>1.4683443325671864E-3</v>
      </c>
      <c r="H649" s="1">
        <f t="shared" si="99"/>
        <v>1.5100586029777473E-5</v>
      </c>
      <c r="I649">
        <f t="shared" si="100"/>
        <v>10</v>
      </c>
      <c r="J649">
        <f t="shared" si="101"/>
        <v>612</v>
      </c>
      <c r="K649" s="5">
        <f t="shared" si="102"/>
        <v>0</v>
      </c>
      <c r="L649">
        <f t="shared" si="103"/>
        <v>95</v>
      </c>
      <c r="M649">
        <f t="shared" si="104"/>
        <v>1</v>
      </c>
      <c r="N649">
        <f t="shared" si="105"/>
        <v>0</v>
      </c>
    </row>
    <row r="650" spans="4:14" x14ac:dyDescent="0.2">
      <c r="D650">
        <f t="shared" si="107"/>
        <v>627</v>
      </c>
      <c r="E650" s="1">
        <f t="shared" si="108"/>
        <v>-4.1983814026625597</v>
      </c>
      <c r="F650" s="1">
        <f t="shared" si="109"/>
        <v>-6.5340911171922897</v>
      </c>
      <c r="G650" s="1">
        <f t="shared" si="106"/>
        <v>1.453049079102945E-3</v>
      </c>
      <c r="H650" s="1">
        <f t="shared" si="99"/>
        <v>1.4943288258633959E-5</v>
      </c>
      <c r="I650">
        <f t="shared" si="100"/>
        <v>10</v>
      </c>
      <c r="J650">
        <f t="shared" si="101"/>
        <v>613</v>
      </c>
      <c r="K650" s="5">
        <f t="shared" si="102"/>
        <v>0</v>
      </c>
      <c r="L650">
        <f t="shared" si="103"/>
        <v>95</v>
      </c>
      <c r="M650">
        <f t="shared" si="104"/>
        <v>1</v>
      </c>
      <c r="N650">
        <f t="shared" si="105"/>
        <v>0</v>
      </c>
    </row>
    <row r="651" spans="4:14" x14ac:dyDescent="0.2">
      <c r="D651">
        <f t="shared" si="107"/>
        <v>628</v>
      </c>
      <c r="E651" s="1">
        <f t="shared" si="108"/>
        <v>-4.208852702529855</v>
      </c>
      <c r="F651" s="1">
        <f t="shared" si="109"/>
        <v>-6.5445624170595851</v>
      </c>
      <c r="G651" s="1">
        <f t="shared" si="106"/>
        <v>1.4379131511956227E-3</v>
      </c>
      <c r="H651" s="1">
        <f t="shared" si="99"/>
        <v>1.4787629005939856E-5</v>
      </c>
      <c r="I651">
        <f t="shared" si="100"/>
        <v>10</v>
      </c>
      <c r="J651">
        <f t="shared" si="101"/>
        <v>614</v>
      </c>
      <c r="K651" s="5">
        <f t="shared" si="102"/>
        <v>0</v>
      </c>
      <c r="L651">
        <f t="shared" si="103"/>
        <v>95</v>
      </c>
      <c r="M651">
        <f t="shared" si="104"/>
        <v>1</v>
      </c>
      <c r="N651">
        <f t="shared" si="105"/>
        <v>0</v>
      </c>
    </row>
    <row r="652" spans="4:14" x14ac:dyDescent="0.2">
      <c r="D652">
        <f t="shared" si="107"/>
        <v>629</v>
      </c>
      <c r="E652" s="1">
        <f t="shared" si="108"/>
        <v>-4.2193240023971503</v>
      </c>
      <c r="F652" s="1">
        <f t="shared" si="109"/>
        <v>-6.5550337169268804</v>
      </c>
      <c r="G652" s="1">
        <f t="shared" si="106"/>
        <v>1.4229348892040017E-3</v>
      </c>
      <c r="H652" s="1">
        <f t="shared" si="99"/>
        <v>1.463359120379465E-5</v>
      </c>
      <c r="I652">
        <f t="shared" si="100"/>
        <v>10</v>
      </c>
      <c r="J652">
        <f t="shared" si="101"/>
        <v>615</v>
      </c>
      <c r="K652" s="5">
        <f t="shared" si="102"/>
        <v>0</v>
      </c>
      <c r="L652">
        <f t="shared" si="103"/>
        <v>95</v>
      </c>
      <c r="M652">
        <f t="shared" si="104"/>
        <v>1</v>
      </c>
      <c r="N652">
        <f t="shared" si="105"/>
        <v>0</v>
      </c>
    </row>
    <row r="653" spans="4:14" x14ac:dyDescent="0.2">
      <c r="D653">
        <f t="shared" si="107"/>
        <v>630</v>
      </c>
      <c r="E653" s="1">
        <f t="shared" si="108"/>
        <v>-4.2297953022644457</v>
      </c>
      <c r="F653" s="1">
        <f t="shared" si="109"/>
        <v>-6.5655050167941758</v>
      </c>
      <c r="G653" s="1">
        <f t="shared" si="106"/>
        <v>1.4081126507747934E-3</v>
      </c>
      <c r="H653" s="1">
        <f t="shared" si="99"/>
        <v>1.4481157962088457E-5</v>
      </c>
      <c r="I653">
        <f t="shared" si="100"/>
        <v>10</v>
      </c>
      <c r="J653">
        <f t="shared" si="101"/>
        <v>616</v>
      </c>
      <c r="K653" s="5">
        <f t="shared" si="102"/>
        <v>0</v>
      </c>
      <c r="L653">
        <f t="shared" si="103"/>
        <v>95</v>
      </c>
      <c r="M653">
        <f t="shared" si="104"/>
        <v>1</v>
      </c>
      <c r="N653">
        <f t="shared" si="105"/>
        <v>0</v>
      </c>
    </row>
    <row r="654" spans="4:14" x14ac:dyDescent="0.2">
      <c r="D654">
        <f t="shared" si="107"/>
        <v>631</v>
      </c>
      <c r="E654" s="1">
        <f t="shared" si="108"/>
        <v>-4.240266602131741</v>
      </c>
      <c r="F654" s="1">
        <f t="shared" si="109"/>
        <v>-6.5759763166614711</v>
      </c>
      <c r="G654" s="1">
        <f t="shared" si="106"/>
        <v>1.3934448106625562E-3</v>
      </c>
      <c r="H654" s="1">
        <f t="shared" si="99"/>
        <v>1.4330312566650038E-5</v>
      </c>
      <c r="I654">
        <f t="shared" si="100"/>
        <v>10</v>
      </c>
      <c r="J654">
        <f t="shared" si="101"/>
        <v>617</v>
      </c>
      <c r="K654" s="5">
        <f t="shared" si="102"/>
        <v>0</v>
      </c>
      <c r="L654">
        <f t="shared" si="103"/>
        <v>95</v>
      </c>
      <c r="M654">
        <f t="shared" si="104"/>
        <v>1</v>
      </c>
      <c r="N654">
        <f t="shared" si="105"/>
        <v>0</v>
      </c>
    </row>
    <row r="655" spans="4:14" x14ac:dyDescent="0.2">
      <c r="D655">
        <f t="shared" si="107"/>
        <v>632</v>
      </c>
      <c r="E655" s="1">
        <f t="shared" si="108"/>
        <v>-4.2507379019990363</v>
      </c>
      <c r="F655" s="1">
        <f t="shared" si="109"/>
        <v>-6.5864476165287664</v>
      </c>
      <c r="G655" s="1">
        <f t="shared" si="106"/>
        <v>1.378929760551488E-3</v>
      </c>
      <c r="H655" s="1">
        <f t="shared" si="99"/>
        <v>1.4181038477414101E-5</v>
      </c>
      <c r="I655">
        <f t="shared" si="100"/>
        <v>10</v>
      </c>
      <c r="J655">
        <f t="shared" si="101"/>
        <v>618</v>
      </c>
      <c r="K655" s="5">
        <f t="shared" si="102"/>
        <v>0</v>
      </c>
      <c r="L655">
        <f t="shared" si="103"/>
        <v>95</v>
      </c>
      <c r="M655">
        <f t="shared" si="104"/>
        <v>1</v>
      </c>
      <c r="N655">
        <f t="shared" si="105"/>
        <v>0</v>
      </c>
    </row>
    <row r="656" spans="4:14" x14ac:dyDescent="0.2">
      <c r="D656">
        <f t="shared" si="107"/>
        <v>633</v>
      </c>
      <c r="E656" s="1">
        <f t="shared" si="108"/>
        <v>-4.2612092018663317</v>
      </c>
      <c r="F656" s="1">
        <f t="shared" si="109"/>
        <v>-6.5969189163960618</v>
      </c>
      <c r="G656" s="1">
        <f t="shared" si="106"/>
        <v>1.3645659088790767E-3</v>
      </c>
      <c r="H656" s="1">
        <f t="shared" si="99"/>
        <v>1.4033319326607704E-5</v>
      </c>
      <c r="I656">
        <f t="shared" si="100"/>
        <v>10</v>
      </c>
      <c r="J656">
        <f t="shared" si="101"/>
        <v>619</v>
      </c>
      <c r="K656" s="5">
        <f t="shared" si="102"/>
        <v>0</v>
      </c>
      <c r="L656">
        <f t="shared" si="103"/>
        <v>95</v>
      </c>
      <c r="M656">
        <f t="shared" si="104"/>
        <v>1</v>
      </c>
      <c r="N656">
        <f t="shared" si="105"/>
        <v>0</v>
      </c>
    </row>
    <row r="657" spans="4:14" x14ac:dyDescent="0.2">
      <c r="D657">
        <f t="shared" si="107"/>
        <v>634</v>
      </c>
      <c r="E657" s="1">
        <f t="shared" si="108"/>
        <v>-4.271680501733627</v>
      </c>
      <c r="F657" s="1">
        <f t="shared" si="109"/>
        <v>-6.6073902162633571</v>
      </c>
      <c r="G657" s="1">
        <f t="shared" si="106"/>
        <v>1.3503516806615864E-3</v>
      </c>
      <c r="H657" s="1">
        <f t="shared" si="99"/>
        <v>1.3887138916955541E-5</v>
      </c>
      <c r="I657">
        <f t="shared" si="100"/>
        <v>10</v>
      </c>
      <c r="J657">
        <f t="shared" si="101"/>
        <v>620</v>
      </c>
      <c r="K657" s="5">
        <f t="shared" si="102"/>
        <v>0</v>
      </c>
      <c r="L657">
        <f t="shared" si="103"/>
        <v>95</v>
      </c>
      <c r="M657">
        <f t="shared" si="104"/>
        <v>1</v>
      </c>
      <c r="N657">
        <f t="shared" si="105"/>
        <v>0</v>
      </c>
    </row>
    <row r="658" spans="4:14" x14ac:dyDescent="0.2">
      <c r="D658">
        <f t="shared" si="107"/>
        <v>635</v>
      </c>
      <c r="E658" s="1">
        <f t="shared" si="108"/>
        <v>-4.2821518016009223</v>
      </c>
      <c r="F658" s="1">
        <f t="shared" si="109"/>
        <v>-6.6178615161306524</v>
      </c>
      <c r="G658" s="1">
        <f t="shared" si="106"/>
        <v>1.3362855173213615E-3</v>
      </c>
      <c r="H658" s="1">
        <f t="shared" si="99"/>
        <v>1.3742481219903921E-5</v>
      </c>
      <c r="I658">
        <f t="shared" si="100"/>
        <v>10</v>
      </c>
      <c r="J658">
        <f t="shared" si="101"/>
        <v>621</v>
      </c>
      <c r="K658" s="5">
        <f t="shared" si="102"/>
        <v>0</v>
      </c>
      <c r="L658">
        <f t="shared" si="103"/>
        <v>95</v>
      </c>
      <c r="M658">
        <f t="shared" si="104"/>
        <v>1</v>
      </c>
      <c r="N658">
        <f t="shared" si="105"/>
        <v>0</v>
      </c>
    </row>
    <row r="659" spans="4:14" x14ac:dyDescent="0.2">
      <c r="D659">
        <f t="shared" si="107"/>
        <v>636</v>
      </c>
      <c r="E659" s="1">
        <f t="shared" si="108"/>
        <v>-4.2926231014682177</v>
      </c>
      <c r="F659" s="1">
        <f t="shared" si="109"/>
        <v>-6.6283328159979478</v>
      </c>
      <c r="G659" s="1">
        <f t="shared" si="106"/>
        <v>1.3223658765159308E-3</v>
      </c>
      <c r="H659" s="1">
        <f t="shared" si="99"/>
        <v>1.3599330373863257E-5</v>
      </c>
      <c r="I659">
        <f t="shared" si="100"/>
        <v>10</v>
      </c>
      <c r="J659">
        <f t="shared" si="101"/>
        <v>622</v>
      </c>
      <c r="K659" s="5">
        <f t="shared" si="102"/>
        <v>0</v>
      </c>
      <c r="L659">
        <f t="shared" si="103"/>
        <v>95</v>
      </c>
      <c r="M659">
        <f t="shared" si="104"/>
        <v>1</v>
      </c>
      <c r="N659">
        <f t="shared" si="105"/>
        <v>0</v>
      </c>
    </row>
    <row r="660" spans="4:14" x14ac:dyDescent="0.2">
      <c r="D660">
        <f t="shared" si="107"/>
        <v>637</v>
      </c>
      <c r="E660" s="1">
        <f t="shared" si="108"/>
        <v>-4.303094401335513</v>
      </c>
      <c r="F660" s="1">
        <f t="shared" si="109"/>
        <v>-6.6388041158652431</v>
      </c>
      <c r="G660" s="1">
        <f t="shared" si="106"/>
        <v>1.3085912319688901E-3</v>
      </c>
      <c r="H660" s="1">
        <f t="shared" si="99"/>
        <v>1.345767068246885E-5</v>
      </c>
      <c r="I660">
        <f t="shared" si="100"/>
        <v>10</v>
      </c>
      <c r="J660">
        <f t="shared" si="101"/>
        <v>623</v>
      </c>
      <c r="K660" s="5">
        <f t="shared" si="102"/>
        <v>0</v>
      </c>
      <c r="L660">
        <f t="shared" si="103"/>
        <v>95</v>
      </c>
      <c r="M660">
        <f t="shared" si="104"/>
        <v>1</v>
      </c>
      <c r="N660">
        <f t="shared" si="105"/>
        <v>0</v>
      </c>
    </row>
    <row r="661" spans="4:14" x14ac:dyDescent="0.2">
      <c r="D661">
        <f t="shared" si="107"/>
        <v>638</v>
      </c>
      <c r="E661" s="1">
        <f t="shared" si="108"/>
        <v>-4.3135657012028084</v>
      </c>
      <c r="F661" s="1">
        <f t="shared" si="109"/>
        <v>-6.6492754157325384</v>
      </c>
      <c r="G661" s="1">
        <f t="shared" si="106"/>
        <v>1.2949600733025476E-3</v>
      </c>
      <c r="H661" s="1">
        <f t="shared" si="99"/>
        <v>1.33174866128598E-5</v>
      </c>
      <c r="I661">
        <f t="shared" si="100"/>
        <v>10</v>
      </c>
      <c r="J661">
        <f t="shared" si="101"/>
        <v>624</v>
      </c>
      <c r="K661" s="5">
        <f t="shared" si="102"/>
        <v>0</v>
      </c>
      <c r="L661">
        <f t="shared" si="103"/>
        <v>95</v>
      </c>
      <c r="M661">
        <f t="shared" si="104"/>
        <v>1</v>
      </c>
      <c r="N661">
        <f t="shared" si="105"/>
        <v>0</v>
      </c>
    </row>
    <row r="662" spans="4:14" x14ac:dyDescent="0.2">
      <c r="D662">
        <f t="shared" si="107"/>
        <v>639</v>
      </c>
      <c r="E662" s="1">
        <f t="shared" si="108"/>
        <v>-4.3240370010701037</v>
      </c>
      <c r="F662" s="1">
        <f t="shared" si="109"/>
        <v>-6.6597467155998338</v>
      </c>
      <c r="G662" s="1">
        <f t="shared" si="106"/>
        <v>1.2814709058723128E-3</v>
      </c>
      <c r="H662" s="1">
        <f t="shared" si="99"/>
        <v>1.3178762793975845E-5</v>
      </c>
      <c r="I662">
        <f t="shared" si="100"/>
        <v>10</v>
      </c>
      <c r="J662">
        <f t="shared" si="101"/>
        <v>625</v>
      </c>
      <c r="K662" s="5">
        <f t="shared" si="102"/>
        <v>0</v>
      </c>
      <c r="L662">
        <f t="shared" si="103"/>
        <v>95</v>
      </c>
      <c r="M662">
        <f t="shared" si="104"/>
        <v>1</v>
      </c>
      <c r="N662">
        <f t="shared" si="105"/>
        <v>0</v>
      </c>
    </row>
    <row r="663" spans="4:14" x14ac:dyDescent="0.2">
      <c r="D663">
        <f t="shared" si="107"/>
        <v>640</v>
      </c>
      <c r="E663" s="1">
        <f t="shared" si="108"/>
        <v>-4.334508300937399</v>
      </c>
      <c r="F663" s="1">
        <f t="shared" si="109"/>
        <v>-6.6702180154671291</v>
      </c>
      <c r="G663" s="1">
        <f t="shared" si="106"/>
        <v>1.2681222506028096E-3</v>
      </c>
      <c r="H663" s="1">
        <f t="shared" ref="H663:H726" si="110">G663/$G$21</f>
        <v>1.304148401487193E-5</v>
      </c>
      <c r="I663">
        <f t="shared" ref="I663:I726" si="111">IF($F$11&lt;=D663, IF(D663&lt;=$A$15,D663-$F$11,$C$11),0)</f>
        <v>10</v>
      </c>
      <c r="J663">
        <f t="shared" ref="J663:J726" si="112">IF(D663&lt;=$A$15,0,D663-$A$15)</f>
        <v>626</v>
      </c>
      <c r="K663" s="5">
        <f t="shared" ref="K663:K726" si="113">IF(D663&lt;$F$11,H663,0)</f>
        <v>0</v>
      </c>
      <c r="L663">
        <f t="shared" ref="L663:L726" si="114">IF(D663&lt;$A$15,$D$11,$D$11*(1-$H$11))</f>
        <v>95</v>
      </c>
      <c r="M663">
        <f t="shared" ref="M663:M726" si="115">IF(D663&lt;$A$15,0,1)</f>
        <v>1</v>
      </c>
      <c r="N663">
        <f t="shared" ref="N663:N726" si="116">IF(SUM(I663:J663)&lt;=($G$11/60*$F$11/($E$11/60)),1,0)</f>
        <v>0</v>
      </c>
    </row>
    <row r="664" spans="4:14" x14ac:dyDescent="0.2">
      <c r="D664">
        <f t="shared" si="107"/>
        <v>641</v>
      </c>
      <c r="E664" s="1">
        <f t="shared" si="108"/>
        <v>-4.3449796008046944</v>
      </c>
      <c r="F664" s="1">
        <f t="shared" si="109"/>
        <v>-6.6806893153344244</v>
      </c>
      <c r="G664" s="1">
        <f t="shared" ref="G664:G727" si="117">EXP(F664)</f>
        <v>1.2549126438256969E-3</v>
      </c>
      <c r="H664" s="1">
        <f t="shared" si="110"/>
        <v>1.2905635223050346E-5</v>
      </c>
      <c r="I664">
        <f t="shared" si="111"/>
        <v>10</v>
      </c>
      <c r="J664">
        <f t="shared" si="112"/>
        <v>627</v>
      </c>
      <c r="K664" s="5">
        <f t="shared" si="113"/>
        <v>0</v>
      </c>
      <c r="L664">
        <f t="shared" si="114"/>
        <v>95</v>
      </c>
      <c r="M664">
        <f t="shared" si="115"/>
        <v>1</v>
      </c>
      <c r="N664">
        <f t="shared" si="116"/>
        <v>0</v>
      </c>
    </row>
    <row r="665" spans="4:14" x14ac:dyDescent="0.2">
      <c r="D665">
        <f t="shared" ref="D665:D728" si="118">1+D664</f>
        <v>642</v>
      </c>
      <c r="E665" s="1">
        <f t="shared" ref="E665:E728" si="119">IF($H$11=1,IF(D665&lt;=$A$15, E664+LN($D$11)-LN(60/$E$11)-LN(MIN(D665,$F$11)), E664-LN(60/$E$11)-LN(MIN(D665,$F$11))), IF(D665&lt;=$A$15, E664+LN($D$11)-LN(60/$E$11)-LN(MIN(D665,$F$11)), E664+LN($D$11)+LN(1-$H$11)-LN(60/$E$11)-LN(MIN(D665,$F$11))))</f>
        <v>-4.3554509006719897</v>
      </c>
      <c r="F665" s="1">
        <f t="shared" ref="F665:F728" si="120">E665-$E$21</f>
        <v>-6.6911606152017198</v>
      </c>
      <c r="G665" s="1">
        <f t="shared" si="117"/>
        <v>1.2418406371191794E-3</v>
      </c>
      <c r="H665" s="1">
        <f t="shared" si="110"/>
        <v>1.2771201522810241E-5</v>
      </c>
      <c r="I665">
        <f t="shared" si="111"/>
        <v>10</v>
      </c>
      <c r="J665">
        <f t="shared" si="112"/>
        <v>628</v>
      </c>
      <c r="K665" s="5">
        <f t="shared" si="113"/>
        <v>0</v>
      </c>
      <c r="L665">
        <f t="shared" si="114"/>
        <v>95</v>
      </c>
      <c r="M665">
        <f t="shared" si="115"/>
        <v>1</v>
      </c>
      <c r="N665">
        <f t="shared" si="116"/>
        <v>0</v>
      </c>
    </row>
    <row r="666" spans="4:14" x14ac:dyDescent="0.2">
      <c r="D666">
        <f t="shared" si="118"/>
        <v>643</v>
      </c>
      <c r="E666" s="1">
        <f t="shared" si="119"/>
        <v>-4.365922200539285</v>
      </c>
      <c r="F666" s="1">
        <f t="shared" si="120"/>
        <v>-6.7016319150690151</v>
      </c>
      <c r="G666" s="1">
        <f t="shared" si="117"/>
        <v>1.2289047971491881E-3</v>
      </c>
      <c r="H666" s="1">
        <f t="shared" si="110"/>
        <v>1.2638168173614301E-5</v>
      </c>
      <c r="I666">
        <f t="shared" si="111"/>
        <v>10</v>
      </c>
      <c r="J666">
        <f t="shared" si="112"/>
        <v>629</v>
      </c>
      <c r="K666" s="5">
        <f t="shared" si="113"/>
        <v>0</v>
      </c>
      <c r="L666">
        <f t="shared" si="114"/>
        <v>95</v>
      </c>
      <c r="M666">
        <f t="shared" si="115"/>
        <v>1</v>
      </c>
      <c r="N666">
        <f t="shared" si="116"/>
        <v>0</v>
      </c>
    </row>
    <row r="667" spans="4:14" x14ac:dyDescent="0.2">
      <c r="D667">
        <f t="shared" si="118"/>
        <v>644</v>
      </c>
      <c r="E667" s="1">
        <f t="shared" si="119"/>
        <v>-4.3763935004065804</v>
      </c>
      <c r="F667" s="1">
        <f t="shared" si="120"/>
        <v>-6.7121032149363105</v>
      </c>
      <c r="G667" s="1">
        <f t="shared" si="117"/>
        <v>1.2161037055122175E-3</v>
      </c>
      <c r="H667" s="1">
        <f t="shared" si="110"/>
        <v>1.2506520588472487E-5</v>
      </c>
      <c r="I667">
        <f t="shared" si="111"/>
        <v>10</v>
      </c>
      <c r="J667">
        <f t="shared" si="112"/>
        <v>630</v>
      </c>
      <c r="K667" s="5">
        <f t="shared" si="113"/>
        <v>0</v>
      </c>
      <c r="L667">
        <f t="shared" si="114"/>
        <v>95</v>
      </c>
      <c r="M667">
        <f t="shared" si="115"/>
        <v>1</v>
      </c>
      <c r="N667">
        <f t="shared" si="116"/>
        <v>0</v>
      </c>
    </row>
    <row r="668" spans="4:14" x14ac:dyDescent="0.2">
      <c r="D668">
        <f t="shared" si="118"/>
        <v>645</v>
      </c>
      <c r="E668" s="1">
        <f t="shared" si="119"/>
        <v>-4.3868648002738757</v>
      </c>
      <c r="F668" s="1">
        <f t="shared" si="120"/>
        <v>-6.7225745148036058</v>
      </c>
      <c r="G668" s="1">
        <f t="shared" si="117"/>
        <v>1.2034359585797985E-3</v>
      </c>
      <c r="H668" s="1">
        <f t="shared" si="110"/>
        <v>1.2376244332342566E-5</v>
      </c>
      <c r="I668">
        <f t="shared" si="111"/>
        <v>10</v>
      </c>
      <c r="J668">
        <f t="shared" si="112"/>
        <v>631</v>
      </c>
      <c r="K668" s="5">
        <f t="shared" si="113"/>
        <v>0</v>
      </c>
      <c r="L668">
        <f t="shared" si="114"/>
        <v>95</v>
      </c>
      <c r="M668">
        <f t="shared" si="115"/>
        <v>1</v>
      </c>
      <c r="N668">
        <f t="shared" si="116"/>
        <v>0</v>
      </c>
    </row>
    <row r="669" spans="4:14" x14ac:dyDescent="0.2">
      <c r="D669">
        <f t="shared" si="118"/>
        <v>646</v>
      </c>
      <c r="E669" s="1">
        <f t="shared" si="119"/>
        <v>-4.397336100141171</v>
      </c>
      <c r="F669" s="1">
        <f t="shared" si="120"/>
        <v>-6.7330458146709011</v>
      </c>
      <c r="G669" s="1">
        <f t="shared" si="117"/>
        <v>1.1909001673445923E-3</v>
      </c>
      <c r="H669" s="1">
        <f t="shared" si="110"/>
        <v>1.2247325120547331E-5</v>
      </c>
      <c r="I669">
        <f t="shared" si="111"/>
        <v>10</v>
      </c>
      <c r="J669">
        <f t="shared" si="112"/>
        <v>632</v>
      </c>
      <c r="K669" s="5">
        <f t="shared" si="113"/>
        <v>0</v>
      </c>
      <c r="L669">
        <f t="shared" si="114"/>
        <v>95</v>
      </c>
      <c r="M669">
        <f t="shared" si="115"/>
        <v>1</v>
      </c>
      <c r="N669">
        <f t="shared" si="116"/>
        <v>0</v>
      </c>
    </row>
    <row r="670" spans="4:14" x14ac:dyDescent="0.2">
      <c r="D670">
        <f t="shared" si="118"/>
        <v>647</v>
      </c>
      <c r="E670" s="1">
        <f t="shared" si="119"/>
        <v>-4.4078074000084664</v>
      </c>
      <c r="F670" s="1">
        <f t="shared" si="120"/>
        <v>-6.7435171145381965</v>
      </c>
      <c r="G670" s="1">
        <f t="shared" si="117"/>
        <v>1.1784949572680864E-3</v>
      </c>
      <c r="H670" s="1">
        <f t="shared" si="110"/>
        <v>1.2119748817208299E-5</v>
      </c>
      <c r="I670">
        <f t="shared" si="111"/>
        <v>10</v>
      </c>
      <c r="J670">
        <f t="shared" si="112"/>
        <v>633</v>
      </c>
      <c r="K670" s="5">
        <f t="shared" si="113"/>
        <v>0</v>
      </c>
      <c r="L670">
        <f t="shared" si="114"/>
        <v>95</v>
      </c>
      <c r="M670">
        <f t="shared" si="115"/>
        <v>1</v>
      </c>
      <c r="N670">
        <f t="shared" si="116"/>
        <v>0</v>
      </c>
    </row>
    <row r="671" spans="4:14" x14ac:dyDescent="0.2">
      <c r="D671">
        <f t="shared" si="118"/>
        <v>648</v>
      </c>
      <c r="E671" s="1">
        <f t="shared" si="119"/>
        <v>-4.4182786998757617</v>
      </c>
      <c r="F671" s="1">
        <f t="shared" si="120"/>
        <v>-6.7539884144054918</v>
      </c>
      <c r="G671" s="1">
        <f t="shared" si="117"/>
        <v>1.1662189681298772E-3</v>
      </c>
      <c r="H671" s="1">
        <f t="shared" si="110"/>
        <v>1.1993501433695711E-5</v>
      </c>
      <c r="I671">
        <f t="shared" si="111"/>
        <v>10</v>
      </c>
      <c r="J671">
        <f t="shared" si="112"/>
        <v>634</v>
      </c>
      <c r="K671" s="5">
        <f t="shared" si="113"/>
        <v>0</v>
      </c>
      <c r="L671">
        <f t="shared" si="114"/>
        <v>95</v>
      </c>
      <c r="M671">
        <f t="shared" si="115"/>
        <v>1</v>
      </c>
      <c r="N671">
        <f t="shared" si="116"/>
        <v>0</v>
      </c>
    </row>
    <row r="672" spans="4:14" x14ac:dyDescent="0.2">
      <c r="D672">
        <f t="shared" si="118"/>
        <v>649</v>
      </c>
      <c r="E672" s="1">
        <f t="shared" si="119"/>
        <v>-4.4287499997430571</v>
      </c>
      <c r="F672" s="1">
        <f t="shared" si="120"/>
        <v>-6.7644597142727871</v>
      </c>
      <c r="G672" s="1">
        <f t="shared" si="117"/>
        <v>1.1540708538785244E-3</v>
      </c>
      <c r="H672" s="1">
        <f t="shared" si="110"/>
        <v>1.1868569127094716E-5</v>
      </c>
      <c r="I672">
        <f t="shared" si="111"/>
        <v>10</v>
      </c>
      <c r="J672">
        <f t="shared" si="112"/>
        <v>635</v>
      </c>
      <c r="K672" s="5">
        <f t="shared" si="113"/>
        <v>0</v>
      </c>
      <c r="L672">
        <f t="shared" si="114"/>
        <v>95</v>
      </c>
      <c r="M672">
        <f t="shared" si="115"/>
        <v>1</v>
      </c>
      <c r="N672">
        <f t="shared" si="116"/>
        <v>0</v>
      </c>
    </row>
    <row r="673" spans="4:14" x14ac:dyDescent="0.2">
      <c r="D673">
        <f t="shared" si="118"/>
        <v>650</v>
      </c>
      <c r="E673" s="1">
        <f t="shared" si="119"/>
        <v>-4.4392212996103524</v>
      </c>
      <c r="F673" s="1">
        <f t="shared" si="120"/>
        <v>-6.7749310141400825</v>
      </c>
      <c r="G673" s="1">
        <f t="shared" si="117"/>
        <v>1.1420492824839564E-3</v>
      </c>
      <c r="H673" s="1">
        <f t="shared" si="110"/>
        <v>1.1744938198687479E-5</v>
      </c>
      <c r="I673">
        <f t="shared" si="111"/>
        <v>10</v>
      </c>
      <c r="J673">
        <f t="shared" si="112"/>
        <v>636</v>
      </c>
      <c r="K673" s="5">
        <f t="shared" si="113"/>
        <v>0</v>
      </c>
      <c r="L673">
        <f t="shared" si="114"/>
        <v>95</v>
      </c>
      <c r="M673">
        <f t="shared" si="115"/>
        <v>1</v>
      </c>
      <c r="N673">
        <f t="shared" si="116"/>
        <v>0</v>
      </c>
    </row>
    <row r="674" spans="4:14" x14ac:dyDescent="0.2">
      <c r="D674">
        <f t="shared" si="118"/>
        <v>651</v>
      </c>
      <c r="E674" s="1">
        <f t="shared" si="119"/>
        <v>-4.4496925994776477</v>
      </c>
      <c r="F674" s="1">
        <f t="shared" si="120"/>
        <v>-6.7854023140073778</v>
      </c>
      <c r="G674" s="1">
        <f t="shared" si="117"/>
        <v>1.1301529357914154E-3</v>
      </c>
      <c r="H674" s="1">
        <f t="shared" si="110"/>
        <v>1.1622595092451153E-5</v>
      </c>
      <c r="I674">
        <f t="shared" si="111"/>
        <v>10</v>
      </c>
      <c r="J674">
        <f t="shared" si="112"/>
        <v>637</v>
      </c>
      <c r="K674" s="5">
        <f t="shared" si="113"/>
        <v>0</v>
      </c>
      <c r="L674">
        <f t="shared" si="114"/>
        <v>95</v>
      </c>
      <c r="M674">
        <f t="shared" si="115"/>
        <v>1</v>
      </c>
      <c r="N674">
        <f t="shared" si="116"/>
        <v>0</v>
      </c>
    </row>
    <row r="675" spans="4:14" x14ac:dyDescent="0.2">
      <c r="D675">
        <f t="shared" si="118"/>
        <v>652</v>
      </c>
      <c r="E675" s="1">
        <f t="shared" si="119"/>
        <v>-4.4601638993449431</v>
      </c>
      <c r="F675" s="1">
        <f t="shared" si="120"/>
        <v>-6.7958736138746731</v>
      </c>
      <c r="G675" s="1">
        <f t="shared" si="117"/>
        <v>1.1183805093769215E-3</v>
      </c>
      <c r="H675" s="1">
        <f t="shared" si="110"/>
        <v>1.1501526393571454E-5</v>
      </c>
      <c r="I675">
        <f t="shared" si="111"/>
        <v>10</v>
      </c>
      <c r="J675">
        <f t="shared" si="112"/>
        <v>638</v>
      </c>
      <c r="K675" s="5">
        <f t="shared" si="113"/>
        <v>0</v>
      </c>
      <c r="L675">
        <f t="shared" si="114"/>
        <v>95</v>
      </c>
      <c r="M675">
        <f t="shared" si="115"/>
        <v>1</v>
      </c>
      <c r="N675">
        <f t="shared" si="116"/>
        <v>0</v>
      </c>
    </row>
    <row r="676" spans="4:14" x14ac:dyDescent="0.2">
      <c r="D676">
        <f t="shared" si="118"/>
        <v>653</v>
      </c>
      <c r="E676" s="1">
        <f t="shared" si="119"/>
        <v>-4.4706351992122384</v>
      </c>
      <c r="F676" s="1">
        <f t="shared" si="120"/>
        <v>-6.8063449137419685</v>
      </c>
      <c r="G676" s="1">
        <f t="shared" si="117"/>
        <v>1.1067307124042454E-3</v>
      </c>
      <c r="H676" s="1">
        <f t="shared" si="110"/>
        <v>1.1381718826971754E-5</v>
      </c>
      <c r="I676">
        <f t="shared" si="111"/>
        <v>10</v>
      </c>
      <c r="J676">
        <f t="shared" si="112"/>
        <v>639</v>
      </c>
      <c r="K676" s="5">
        <f t="shared" si="113"/>
        <v>0</v>
      </c>
      <c r="L676">
        <f t="shared" si="114"/>
        <v>95</v>
      </c>
      <c r="M676">
        <f t="shared" si="115"/>
        <v>1</v>
      </c>
      <c r="N676">
        <f t="shared" si="116"/>
        <v>0</v>
      </c>
    </row>
    <row r="677" spans="4:14" x14ac:dyDescent="0.2">
      <c r="D677">
        <f t="shared" si="118"/>
        <v>654</v>
      </c>
      <c r="E677" s="1">
        <f t="shared" si="119"/>
        <v>-4.4811064990795337</v>
      </c>
      <c r="F677" s="1">
        <f t="shared" si="120"/>
        <v>-6.8168162136092638</v>
      </c>
      <c r="G677" s="1">
        <f t="shared" si="117"/>
        <v>1.0952022674833679E-3</v>
      </c>
      <c r="H677" s="1">
        <f t="shared" si="110"/>
        <v>1.1263159255857464E-5</v>
      </c>
      <c r="I677">
        <f t="shared" si="111"/>
        <v>10</v>
      </c>
      <c r="J677">
        <f t="shared" si="112"/>
        <v>640</v>
      </c>
      <c r="K677" s="5">
        <f t="shared" si="113"/>
        <v>0</v>
      </c>
      <c r="L677">
        <f t="shared" si="114"/>
        <v>95</v>
      </c>
      <c r="M677">
        <f t="shared" si="115"/>
        <v>1</v>
      </c>
      <c r="N677">
        <f t="shared" si="116"/>
        <v>0</v>
      </c>
    </row>
    <row r="678" spans="4:14" x14ac:dyDescent="0.2">
      <c r="D678">
        <f t="shared" si="118"/>
        <v>655</v>
      </c>
      <c r="E678" s="1">
        <f t="shared" si="119"/>
        <v>-4.4915777989468291</v>
      </c>
      <c r="F678" s="1">
        <f t="shared" si="120"/>
        <v>-6.8272875134765592</v>
      </c>
      <c r="G678" s="1">
        <f t="shared" si="117"/>
        <v>1.0837939105304163E-3</v>
      </c>
      <c r="H678" s="1">
        <f t="shared" si="110"/>
        <v>1.1145834680275617E-5</v>
      </c>
      <c r="I678">
        <f t="shared" si="111"/>
        <v>10</v>
      </c>
      <c r="J678">
        <f t="shared" si="112"/>
        <v>641</v>
      </c>
      <c r="K678" s="5">
        <f t="shared" si="113"/>
        <v>0</v>
      </c>
      <c r="L678">
        <f t="shared" si="114"/>
        <v>95</v>
      </c>
      <c r="M678">
        <f t="shared" si="115"/>
        <v>1</v>
      </c>
      <c r="N678">
        <f t="shared" si="116"/>
        <v>0</v>
      </c>
    </row>
    <row r="679" spans="4:14" x14ac:dyDescent="0.2">
      <c r="D679">
        <f t="shared" si="118"/>
        <v>656</v>
      </c>
      <c r="E679" s="1">
        <f t="shared" si="119"/>
        <v>-4.5020490988141244</v>
      </c>
      <c r="F679" s="1">
        <f t="shared" si="120"/>
        <v>-6.8377588133438545</v>
      </c>
      <c r="G679" s="1">
        <f t="shared" si="117"/>
        <v>1.0725043906290577E-3</v>
      </c>
      <c r="H679" s="1">
        <f t="shared" si="110"/>
        <v>1.1029732235689413E-5</v>
      </c>
      <c r="I679">
        <f t="shared" si="111"/>
        <v>10</v>
      </c>
      <c r="J679">
        <f t="shared" si="112"/>
        <v>642</v>
      </c>
      <c r="K679" s="5">
        <f t="shared" si="113"/>
        <v>0</v>
      </c>
      <c r="L679">
        <f t="shared" si="114"/>
        <v>95</v>
      </c>
      <c r="M679">
        <f t="shared" si="115"/>
        <v>1</v>
      </c>
      <c r="N679">
        <f t="shared" si="116"/>
        <v>0</v>
      </c>
    </row>
    <row r="680" spans="4:14" x14ac:dyDescent="0.2">
      <c r="D680">
        <f t="shared" si="118"/>
        <v>657</v>
      </c>
      <c r="E680" s="1">
        <f t="shared" si="119"/>
        <v>-4.5125203986814197</v>
      </c>
      <c r="F680" s="1">
        <f t="shared" si="120"/>
        <v>-6.8482301132111498</v>
      </c>
      <c r="G680" s="1">
        <f t="shared" si="117"/>
        <v>1.0613324698933385E-3</v>
      </c>
      <c r="H680" s="1">
        <f t="shared" si="110"/>
        <v>1.0914839191567651E-5</v>
      </c>
      <c r="I680">
        <f t="shared" si="111"/>
        <v>10</v>
      </c>
      <c r="J680">
        <f t="shared" si="112"/>
        <v>643</v>
      </c>
      <c r="K680" s="5">
        <f t="shared" si="113"/>
        <v>0</v>
      </c>
      <c r="L680">
        <f t="shared" si="114"/>
        <v>95</v>
      </c>
      <c r="M680">
        <f t="shared" si="115"/>
        <v>1</v>
      </c>
      <c r="N680">
        <f t="shared" si="116"/>
        <v>0</v>
      </c>
    </row>
    <row r="681" spans="4:14" x14ac:dyDescent="0.2">
      <c r="D681">
        <f t="shared" si="118"/>
        <v>658</v>
      </c>
      <c r="E681" s="1">
        <f t="shared" si="119"/>
        <v>-4.5229916985487151</v>
      </c>
      <c r="F681" s="1">
        <f t="shared" si="120"/>
        <v>-6.8587014130784452</v>
      </c>
      <c r="G681" s="1">
        <f t="shared" si="117"/>
        <v>1.0502769233319497E-3</v>
      </c>
      <c r="H681" s="1">
        <f t="shared" si="110"/>
        <v>1.0801142949988822E-5</v>
      </c>
      <c r="I681">
        <f t="shared" si="111"/>
        <v>10</v>
      </c>
      <c r="J681">
        <f t="shared" si="112"/>
        <v>644</v>
      </c>
      <c r="K681" s="5">
        <f t="shared" si="113"/>
        <v>0</v>
      </c>
      <c r="L681">
        <f t="shared" si="114"/>
        <v>95</v>
      </c>
      <c r="M681">
        <f t="shared" si="115"/>
        <v>1</v>
      </c>
      <c r="N681">
        <f t="shared" si="116"/>
        <v>0</v>
      </c>
    </row>
    <row r="682" spans="4:14" x14ac:dyDescent="0.2">
      <c r="D682">
        <f t="shared" si="118"/>
        <v>659</v>
      </c>
      <c r="E682" s="1">
        <f t="shared" si="119"/>
        <v>-4.5334629984160104</v>
      </c>
      <c r="F682" s="1">
        <f t="shared" si="120"/>
        <v>-6.8691727129457405</v>
      </c>
      <c r="G682" s="1">
        <f t="shared" si="117"/>
        <v>1.0393365387139084E-3</v>
      </c>
      <c r="H682" s="1">
        <f t="shared" si="110"/>
        <v>1.068863104425977E-5</v>
      </c>
      <c r="I682">
        <f t="shared" si="111"/>
        <v>10</v>
      </c>
      <c r="J682">
        <f t="shared" si="112"/>
        <v>645</v>
      </c>
      <c r="K682" s="5">
        <f t="shared" si="113"/>
        <v>0</v>
      </c>
      <c r="L682">
        <f t="shared" si="114"/>
        <v>95</v>
      </c>
      <c r="M682">
        <f t="shared" si="115"/>
        <v>1</v>
      </c>
      <c r="N682">
        <f t="shared" si="116"/>
        <v>0</v>
      </c>
    </row>
    <row r="683" spans="4:14" x14ac:dyDescent="0.2">
      <c r="D683">
        <f t="shared" si="118"/>
        <v>660</v>
      </c>
      <c r="E683" s="1">
        <f t="shared" si="119"/>
        <v>-4.5439342982833058</v>
      </c>
      <c r="F683" s="1">
        <f t="shared" si="120"/>
        <v>-6.8796440128130358</v>
      </c>
      <c r="G683" s="1">
        <f t="shared" si="117"/>
        <v>1.0285101164356387E-3</v>
      </c>
      <c r="H683" s="1">
        <f t="shared" si="110"/>
        <v>1.0577291137548732E-5</v>
      </c>
      <c r="I683">
        <f t="shared" si="111"/>
        <v>10</v>
      </c>
      <c r="J683">
        <f t="shared" si="112"/>
        <v>646</v>
      </c>
      <c r="K683" s="5">
        <f t="shared" si="113"/>
        <v>0</v>
      </c>
      <c r="L683">
        <f t="shared" si="114"/>
        <v>95</v>
      </c>
      <c r="M683">
        <f t="shared" si="115"/>
        <v>1</v>
      </c>
      <c r="N683">
        <f t="shared" si="116"/>
        <v>0</v>
      </c>
    </row>
    <row r="684" spans="4:14" x14ac:dyDescent="0.2">
      <c r="D684">
        <f t="shared" si="118"/>
        <v>661</v>
      </c>
      <c r="E684" s="1">
        <f t="shared" si="119"/>
        <v>-4.5544055981506011</v>
      </c>
      <c r="F684" s="1">
        <f t="shared" si="120"/>
        <v>-6.8901153126803312</v>
      </c>
      <c r="G684" s="1">
        <f t="shared" si="117"/>
        <v>1.0177964693894343E-3</v>
      </c>
      <c r="H684" s="1">
        <f t="shared" si="110"/>
        <v>1.0467111021532601E-5</v>
      </c>
      <c r="I684">
        <f t="shared" si="111"/>
        <v>10</v>
      </c>
      <c r="J684">
        <f t="shared" si="112"/>
        <v>647</v>
      </c>
      <c r="K684" s="5">
        <f t="shared" si="113"/>
        <v>0</v>
      </c>
      <c r="L684">
        <f t="shared" si="114"/>
        <v>95</v>
      </c>
      <c r="M684">
        <f t="shared" si="115"/>
        <v>1</v>
      </c>
      <c r="N684">
        <f t="shared" si="116"/>
        <v>0</v>
      </c>
    </row>
    <row r="685" spans="4:14" x14ac:dyDescent="0.2">
      <c r="D685">
        <f t="shared" si="118"/>
        <v>662</v>
      </c>
      <c r="E685" s="1">
        <f t="shared" si="119"/>
        <v>-4.5648768980178964</v>
      </c>
      <c r="F685" s="1">
        <f t="shared" si="120"/>
        <v>-6.9005866125476265</v>
      </c>
      <c r="G685" s="1">
        <f t="shared" si="117"/>
        <v>1.0071944228332943E-3</v>
      </c>
      <c r="H685" s="1">
        <f t="shared" si="110"/>
        <v>1.0358078615058302E-5</v>
      </c>
      <c r="I685">
        <f t="shared" si="111"/>
        <v>10</v>
      </c>
      <c r="J685">
        <f t="shared" si="112"/>
        <v>648</v>
      </c>
      <c r="K685" s="5">
        <f t="shared" si="113"/>
        <v>0</v>
      </c>
      <c r="L685">
        <f t="shared" si="114"/>
        <v>95</v>
      </c>
      <c r="M685">
        <f t="shared" si="115"/>
        <v>1</v>
      </c>
      <c r="N685">
        <f t="shared" si="116"/>
        <v>0</v>
      </c>
    </row>
    <row r="686" spans="4:14" x14ac:dyDescent="0.2">
      <c r="D686">
        <f t="shared" si="118"/>
        <v>663</v>
      </c>
      <c r="E686" s="1">
        <f t="shared" si="119"/>
        <v>-4.5753481978851918</v>
      </c>
      <c r="F686" s="1">
        <f t="shared" si="120"/>
        <v>-6.9110579124149218</v>
      </c>
      <c r="G686" s="1">
        <f t="shared" si="117"/>
        <v>9.9670281426211425E-4</v>
      </c>
      <c r="H686" s="1">
        <f t="shared" si="110"/>
        <v>1.0250181962818113E-5</v>
      </c>
      <c r="I686">
        <f t="shared" si="111"/>
        <v>10</v>
      </c>
      <c r="J686">
        <f t="shared" si="112"/>
        <v>649</v>
      </c>
      <c r="K686" s="5">
        <f t="shared" si="113"/>
        <v>0</v>
      </c>
      <c r="L686">
        <f t="shared" si="114"/>
        <v>95</v>
      </c>
      <c r="M686">
        <f t="shared" si="115"/>
        <v>1</v>
      </c>
      <c r="N686">
        <f t="shared" si="116"/>
        <v>0</v>
      </c>
    </row>
    <row r="687" spans="4:14" x14ac:dyDescent="0.2">
      <c r="D687">
        <f t="shared" si="118"/>
        <v>664</v>
      </c>
      <c r="E687" s="1">
        <f t="shared" si="119"/>
        <v>-4.5858194977524871</v>
      </c>
      <c r="F687" s="1">
        <f t="shared" si="120"/>
        <v>-6.9215292122822172</v>
      </c>
      <c r="G687" s="1">
        <f t="shared" si="117"/>
        <v>9.8632049328021719E-4</v>
      </c>
      <c r="H687" s="1">
        <f t="shared" si="110"/>
        <v>1.0143409234038757E-5</v>
      </c>
      <c r="I687">
        <f t="shared" si="111"/>
        <v>10</v>
      </c>
      <c r="J687">
        <f t="shared" si="112"/>
        <v>650</v>
      </c>
      <c r="K687" s="5">
        <f t="shared" si="113"/>
        <v>0</v>
      </c>
      <c r="L687">
        <f t="shared" si="114"/>
        <v>95</v>
      </c>
      <c r="M687">
        <f t="shared" si="115"/>
        <v>1</v>
      </c>
      <c r="N687">
        <f t="shared" si="116"/>
        <v>0</v>
      </c>
    </row>
    <row r="688" spans="4:14" x14ac:dyDescent="0.2">
      <c r="D688">
        <f t="shared" si="118"/>
        <v>665</v>
      </c>
      <c r="E688" s="1">
        <f t="shared" si="119"/>
        <v>-4.5962907976197824</v>
      </c>
      <c r="F688" s="1">
        <f t="shared" si="120"/>
        <v>-6.9320005121495125</v>
      </c>
      <c r="G688" s="1">
        <f t="shared" si="117"/>
        <v>9.760463214752151E-4</v>
      </c>
      <c r="H688" s="1">
        <f t="shared" si="110"/>
        <v>1.0037748721184189E-5</v>
      </c>
      <c r="I688">
        <f t="shared" si="111"/>
        <v>10</v>
      </c>
      <c r="J688">
        <f t="shared" si="112"/>
        <v>651</v>
      </c>
      <c r="K688" s="5">
        <f t="shared" si="113"/>
        <v>0</v>
      </c>
      <c r="L688">
        <f t="shared" si="114"/>
        <v>95</v>
      </c>
      <c r="M688">
        <f t="shared" si="115"/>
        <v>1</v>
      </c>
      <c r="N688">
        <f t="shared" si="116"/>
        <v>0</v>
      </c>
    </row>
    <row r="689" spans="4:14" x14ac:dyDescent="0.2">
      <c r="D689">
        <f t="shared" si="118"/>
        <v>666</v>
      </c>
      <c r="E689" s="1">
        <f t="shared" si="119"/>
        <v>-4.6067620974870778</v>
      </c>
      <c r="F689" s="1">
        <f t="shared" si="120"/>
        <v>-6.9424718120168079</v>
      </c>
      <c r="G689" s="1">
        <f t="shared" si="117"/>
        <v>9.6587917229318167E-4</v>
      </c>
      <c r="H689" s="1">
        <f t="shared" si="110"/>
        <v>9.9331888386718534E-6</v>
      </c>
      <c r="I689">
        <f t="shared" si="111"/>
        <v>10</v>
      </c>
      <c r="J689">
        <f t="shared" si="112"/>
        <v>652</v>
      </c>
      <c r="K689" s="5">
        <f t="shared" si="113"/>
        <v>0</v>
      </c>
      <c r="L689">
        <f t="shared" si="114"/>
        <v>95</v>
      </c>
      <c r="M689">
        <f t="shared" si="115"/>
        <v>1</v>
      </c>
      <c r="N689">
        <f t="shared" si="116"/>
        <v>0</v>
      </c>
    </row>
    <row r="690" spans="4:14" x14ac:dyDescent="0.2">
      <c r="D690">
        <f t="shared" si="118"/>
        <v>667</v>
      </c>
      <c r="E690" s="1">
        <f t="shared" si="119"/>
        <v>-4.6172333973543731</v>
      </c>
      <c r="F690" s="1">
        <f t="shared" si="120"/>
        <v>-6.9529431118841032</v>
      </c>
      <c r="G690" s="1">
        <f t="shared" si="117"/>
        <v>9.5581793091512773E-4</v>
      </c>
      <c r="H690" s="1">
        <f t="shared" si="110"/>
        <v>9.8297181216023549E-6</v>
      </c>
      <c r="I690">
        <f t="shared" si="111"/>
        <v>10</v>
      </c>
      <c r="J690">
        <f t="shared" si="112"/>
        <v>653</v>
      </c>
      <c r="K690" s="5">
        <f t="shared" si="113"/>
        <v>0</v>
      </c>
      <c r="L690">
        <f t="shared" si="114"/>
        <v>95</v>
      </c>
      <c r="M690">
        <f t="shared" si="115"/>
        <v>1</v>
      </c>
      <c r="N690">
        <f t="shared" si="116"/>
        <v>0</v>
      </c>
    </row>
    <row r="691" spans="4:14" x14ac:dyDescent="0.2">
      <c r="D691">
        <f t="shared" si="118"/>
        <v>668</v>
      </c>
      <c r="E691" s="1">
        <f t="shared" si="119"/>
        <v>-4.6277046972216684</v>
      </c>
      <c r="F691" s="1">
        <f t="shared" si="120"/>
        <v>-6.9634144117513985</v>
      </c>
      <c r="G691" s="1">
        <f t="shared" si="117"/>
        <v>9.4586149413476196E-4</v>
      </c>
      <c r="H691" s="1">
        <f t="shared" si="110"/>
        <v>9.7273252245023329E-6</v>
      </c>
      <c r="I691">
        <f t="shared" si="111"/>
        <v>10</v>
      </c>
      <c r="J691">
        <f t="shared" si="112"/>
        <v>654</v>
      </c>
      <c r="K691" s="5">
        <f t="shared" si="113"/>
        <v>0</v>
      </c>
      <c r="L691">
        <f t="shared" si="114"/>
        <v>95</v>
      </c>
      <c r="M691">
        <f t="shared" si="115"/>
        <v>1</v>
      </c>
      <c r="N691">
        <f t="shared" si="116"/>
        <v>0</v>
      </c>
    </row>
    <row r="692" spans="4:14" x14ac:dyDescent="0.2">
      <c r="D692">
        <f t="shared" si="118"/>
        <v>669</v>
      </c>
      <c r="E692" s="1">
        <f t="shared" si="119"/>
        <v>-4.6381759970889638</v>
      </c>
      <c r="F692" s="1">
        <f t="shared" si="120"/>
        <v>-6.9738857116186939</v>
      </c>
      <c r="G692" s="1">
        <f t="shared" si="117"/>
        <v>9.3600877023752491E-4</v>
      </c>
      <c r="H692" s="1">
        <f t="shared" si="110"/>
        <v>9.6259989200804335E-6</v>
      </c>
      <c r="I692">
        <f t="shared" si="111"/>
        <v>10</v>
      </c>
      <c r="J692">
        <f t="shared" si="112"/>
        <v>655</v>
      </c>
      <c r="K692" s="5">
        <f t="shared" si="113"/>
        <v>0</v>
      </c>
      <c r="L692">
        <f t="shared" si="114"/>
        <v>95</v>
      </c>
      <c r="M692">
        <f t="shared" si="115"/>
        <v>1</v>
      </c>
      <c r="N692">
        <f t="shared" si="116"/>
        <v>0</v>
      </c>
    </row>
    <row r="693" spans="4:14" x14ac:dyDescent="0.2">
      <c r="D693">
        <f t="shared" si="118"/>
        <v>670</v>
      </c>
      <c r="E693" s="1">
        <f t="shared" si="119"/>
        <v>-4.6486472969562591</v>
      </c>
      <c r="F693" s="1">
        <f t="shared" si="120"/>
        <v>-6.9843570114859892</v>
      </c>
      <c r="G693" s="1">
        <f t="shared" si="117"/>
        <v>9.2625867888088402E-4</v>
      </c>
      <c r="H693" s="1">
        <f t="shared" si="110"/>
        <v>9.5257280979962631E-6</v>
      </c>
      <c r="I693">
        <f t="shared" si="111"/>
        <v>10</v>
      </c>
      <c r="J693">
        <f t="shared" si="112"/>
        <v>656</v>
      </c>
      <c r="K693" s="5">
        <f t="shared" si="113"/>
        <v>0</v>
      </c>
      <c r="L693">
        <f t="shared" si="114"/>
        <v>95</v>
      </c>
      <c r="M693">
        <f t="shared" si="115"/>
        <v>1</v>
      </c>
      <c r="N693">
        <f t="shared" si="116"/>
        <v>0</v>
      </c>
    </row>
    <row r="694" spans="4:14" x14ac:dyDescent="0.2">
      <c r="D694">
        <f t="shared" si="118"/>
        <v>671</v>
      </c>
      <c r="E694" s="1">
        <f t="shared" si="119"/>
        <v>-4.6591185968235544</v>
      </c>
      <c r="F694" s="1">
        <f t="shared" si="120"/>
        <v>-6.9948283113532845</v>
      </c>
      <c r="G694" s="1">
        <f t="shared" si="117"/>
        <v>9.1661015097587492E-4</v>
      </c>
      <c r="H694" s="1">
        <f t="shared" si="110"/>
        <v>9.4265017636421365E-6</v>
      </c>
      <c r="I694">
        <f t="shared" si="111"/>
        <v>10</v>
      </c>
      <c r="J694">
        <f t="shared" si="112"/>
        <v>657</v>
      </c>
      <c r="K694" s="5">
        <f t="shared" si="113"/>
        <v>0</v>
      </c>
      <c r="L694">
        <f t="shared" si="114"/>
        <v>95</v>
      </c>
      <c r="M694">
        <f t="shared" si="115"/>
        <v>1</v>
      </c>
      <c r="N694">
        <f t="shared" si="116"/>
        <v>0</v>
      </c>
    </row>
    <row r="695" spans="4:14" x14ac:dyDescent="0.2">
      <c r="D695">
        <f t="shared" si="118"/>
        <v>672</v>
      </c>
      <c r="E695" s="1">
        <f t="shared" si="119"/>
        <v>-4.6695898966908498</v>
      </c>
      <c r="F695" s="1">
        <f t="shared" si="120"/>
        <v>-7.0052996112205799</v>
      </c>
      <c r="G695" s="1">
        <f t="shared" si="117"/>
        <v>9.0706212856987625E-4</v>
      </c>
      <c r="H695" s="1">
        <f t="shared" si="110"/>
        <v>9.3283090369375311E-6</v>
      </c>
      <c r="I695">
        <f t="shared" si="111"/>
        <v>10</v>
      </c>
      <c r="J695">
        <f t="shared" si="112"/>
        <v>658</v>
      </c>
      <c r="K695" s="5">
        <f t="shared" si="113"/>
        <v>0</v>
      </c>
      <c r="L695">
        <f t="shared" si="114"/>
        <v>95</v>
      </c>
      <c r="M695">
        <f t="shared" si="115"/>
        <v>1</v>
      </c>
      <c r="N695">
        <f t="shared" si="116"/>
        <v>0</v>
      </c>
    </row>
    <row r="696" spans="4:14" x14ac:dyDescent="0.2">
      <c r="D696">
        <f t="shared" si="118"/>
        <v>673</v>
      </c>
      <c r="E696" s="1">
        <f t="shared" si="119"/>
        <v>-4.6800611965581451</v>
      </c>
      <c r="F696" s="1">
        <f t="shared" si="120"/>
        <v>-7.0157709110878752</v>
      </c>
      <c r="G696" s="1">
        <f t="shared" si="117"/>
        <v>8.976135647306068E-4</v>
      </c>
      <c r="H696" s="1">
        <f t="shared" si="110"/>
        <v>9.2311391511360994E-6</v>
      </c>
      <c r="I696">
        <f t="shared" si="111"/>
        <v>10</v>
      </c>
      <c r="J696">
        <f t="shared" si="112"/>
        <v>659</v>
      </c>
      <c r="K696" s="5">
        <f t="shared" si="113"/>
        <v>0</v>
      </c>
      <c r="L696">
        <f t="shared" si="114"/>
        <v>95</v>
      </c>
      <c r="M696">
        <f t="shared" si="115"/>
        <v>1</v>
      </c>
      <c r="N696">
        <f t="shared" si="116"/>
        <v>0</v>
      </c>
    </row>
    <row r="697" spans="4:14" x14ac:dyDescent="0.2">
      <c r="D697">
        <f t="shared" si="118"/>
        <v>674</v>
      </c>
      <c r="E697" s="1">
        <f t="shared" si="119"/>
        <v>-4.6905324964254405</v>
      </c>
      <c r="F697" s="1">
        <f t="shared" si="120"/>
        <v>-7.0262422109551705</v>
      </c>
      <c r="G697" s="1">
        <f t="shared" si="117"/>
        <v>8.8826342343132974E-4</v>
      </c>
      <c r="H697" s="1">
        <f t="shared" si="110"/>
        <v>9.134981451645099E-6</v>
      </c>
      <c r="I697">
        <f t="shared" si="111"/>
        <v>10</v>
      </c>
      <c r="J697">
        <f t="shared" si="112"/>
        <v>660</v>
      </c>
      <c r="K697" s="5">
        <f t="shared" si="113"/>
        <v>0</v>
      </c>
      <c r="L697">
        <f t="shared" si="114"/>
        <v>95</v>
      </c>
      <c r="M697">
        <f t="shared" si="115"/>
        <v>1</v>
      </c>
      <c r="N697">
        <f t="shared" si="116"/>
        <v>0</v>
      </c>
    </row>
    <row r="698" spans="4:14" x14ac:dyDescent="0.2">
      <c r="D698">
        <f t="shared" si="118"/>
        <v>675</v>
      </c>
      <c r="E698" s="1">
        <f t="shared" si="119"/>
        <v>-4.7010037962927358</v>
      </c>
      <c r="F698" s="1">
        <f t="shared" si="120"/>
        <v>-7.0367135108224659</v>
      </c>
      <c r="G698" s="1">
        <f t="shared" si="117"/>
        <v>8.7901067943725337E-4</v>
      </c>
      <c r="H698" s="1">
        <f t="shared" si="110"/>
        <v>9.0398253948571286E-6</v>
      </c>
      <c r="I698">
        <f t="shared" si="111"/>
        <v>10</v>
      </c>
      <c r="J698">
        <f t="shared" si="112"/>
        <v>661</v>
      </c>
      <c r="K698" s="5">
        <f t="shared" si="113"/>
        <v>0</v>
      </c>
      <c r="L698">
        <f t="shared" si="114"/>
        <v>95</v>
      </c>
      <c r="M698">
        <f t="shared" si="115"/>
        <v>1</v>
      </c>
      <c r="N698">
        <f t="shared" si="116"/>
        <v>0</v>
      </c>
    </row>
    <row r="699" spans="4:14" x14ac:dyDescent="0.2">
      <c r="D699">
        <f t="shared" si="118"/>
        <v>676</v>
      </c>
      <c r="E699" s="1">
        <f t="shared" si="119"/>
        <v>-4.7114750961600311</v>
      </c>
      <c r="F699" s="1">
        <f t="shared" si="120"/>
        <v>-7.0471848106897612</v>
      </c>
      <c r="G699" s="1">
        <f t="shared" si="117"/>
        <v>8.6985431819311539E-4</v>
      </c>
      <c r="H699" s="1">
        <f t="shared" si="110"/>
        <v>8.9456605469940351E-6</v>
      </c>
      <c r="I699">
        <f t="shared" si="111"/>
        <v>10</v>
      </c>
      <c r="J699">
        <f t="shared" si="112"/>
        <v>662</v>
      </c>
      <c r="K699" s="5">
        <f t="shared" si="113"/>
        <v>0</v>
      </c>
      <c r="L699">
        <f t="shared" si="114"/>
        <v>95</v>
      </c>
      <c r="M699">
        <f t="shared" si="115"/>
        <v>1</v>
      </c>
      <c r="N699">
        <f t="shared" si="116"/>
        <v>0</v>
      </c>
    </row>
    <row r="700" spans="4:14" x14ac:dyDescent="0.2">
      <c r="D700">
        <f t="shared" si="118"/>
        <v>677</v>
      </c>
      <c r="E700" s="1">
        <f t="shared" si="119"/>
        <v>-4.7219463960273265</v>
      </c>
      <c r="F700" s="1">
        <f t="shared" si="120"/>
        <v>-7.0576561105570566</v>
      </c>
      <c r="G700" s="1">
        <f t="shared" si="117"/>
        <v>8.607933357119372E-4</v>
      </c>
      <c r="H700" s="1">
        <f t="shared" si="110"/>
        <v>8.8524765829628481E-6</v>
      </c>
      <c r="I700">
        <f t="shared" si="111"/>
        <v>10</v>
      </c>
      <c r="J700">
        <f t="shared" si="112"/>
        <v>663</v>
      </c>
      <c r="K700" s="5">
        <f t="shared" si="113"/>
        <v>0</v>
      </c>
      <c r="L700">
        <f t="shared" si="114"/>
        <v>95</v>
      </c>
      <c r="M700">
        <f t="shared" si="115"/>
        <v>1</v>
      </c>
      <c r="N700">
        <f t="shared" si="116"/>
        <v>0</v>
      </c>
    </row>
    <row r="701" spans="4:14" x14ac:dyDescent="0.2">
      <c r="D701">
        <f t="shared" si="118"/>
        <v>678</v>
      </c>
      <c r="E701" s="1">
        <f t="shared" si="119"/>
        <v>-4.7324176958946218</v>
      </c>
      <c r="F701" s="1">
        <f t="shared" si="120"/>
        <v>-7.0681274104243519</v>
      </c>
      <c r="G701" s="1">
        <f t="shared" si="117"/>
        <v>8.5182673846493793E-4</v>
      </c>
      <c r="H701" s="1">
        <f t="shared" si="110"/>
        <v>8.7602632852236526E-6</v>
      </c>
      <c r="I701">
        <f t="shared" si="111"/>
        <v>10</v>
      </c>
      <c r="J701">
        <f t="shared" si="112"/>
        <v>664</v>
      </c>
      <c r="K701" s="5">
        <f t="shared" si="113"/>
        <v>0</v>
      </c>
      <c r="L701">
        <f t="shared" si="114"/>
        <v>95</v>
      </c>
      <c r="M701">
        <f t="shared" si="115"/>
        <v>1</v>
      </c>
      <c r="N701">
        <f t="shared" si="116"/>
        <v>0</v>
      </c>
    </row>
    <row r="702" spans="4:14" x14ac:dyDescent="0.2">
      <c r="D702">
        <f t="shared" si="118"/>
        <v>679</v>
      </c>
      <c r="E702" s="1">
        <f t="shared" si="119"/>
        <v>-4.7428889957619171</v>
      </c>
      <c r="F702" s="1">
        <f t="shared" si="120"/>
        <v>-7.0785987102916472</v>
      </c>
      <c r="G702" s="1">
        <f t="shared" si="117"/>
        <v>8.4295354327259479E-4</v>
      </c>
      <c r="H702" s="1">
        <f t="shared" si="110"/>
        <v>8.6690105426692389E-6</v>
      </c>
      <c r="I702">
        <f t="shared" si="111"/>
        <v>10</v>
      </c>
      <c r="J702">
        <f t="shared" si="112"/>
        <v>665</v>
      </c>
      <c r="K702" s="5">
        <f t="shared" si="113"/>
        <v>0</v>
      </c>
      <c r="L702">
        <f t="shared" si="114"/>
        <v>95</v>
      </c>
      <c r="M702">
        <f t="shared" si="115"/>
        <v>1</v>
      </c>
      <c r="N702">
        <f t="shared" si="116"/>
        <v>0</v>
      </c>
    </row>
    <row r="703" spans="4:14" x14ac:dyDescent="0.2">
      <c r="D703">
        <f t="shared" si="118"/>
        <v>680</v>
      </c>
      <c r="E703" s="1">
        <f t="shared" si="119"/>
        <v>-4.7533602956292125</v>
      </c>
      <c r="F703" s="1">
        <f t="shared" si="120"/>
        <v>-7.0890700101589426</v>
      </c>
      <c r="G703" s="1">
        <f t="shared" si="117"/>
        <v>8.3417277719683867E-4</v>
      </c>
      <c r="H703" s="1">
        <f t="shared" si="110"/>
        <v>8.5787083495164345E-6</v>
      </c>
      <c r="I703">
        <f t="shared" si="111"/>
        <v>10</v>
      </c>
      <c r="J703">
        <f t="shared" si="112"/>
        <v>666</v>
      </c>
      <c r="K703" s="5">
        <f t="shared" si="113"/>
        <v>0</v>
      </c>
      <c r="L703">
        <f t="shared" si="114"/>
        <v>95</v>
      </c>
      <c r="M703">
        <f t="shared" si="115"/>
        <v>1</v>
      </c>
      <c r="N703">
        <f t="shared" si="116"/>
        <v>0</v>
      </c>
    </row>
    <row r="704" spans="4:14" x14ac:dyDescent="0.2">
      <c r="D704">
        <f t="shared" si="118"/>
        <v>681</v>
      </c>
      <c r="E704" s="1">
        <f t="shared" si="119"/>
        <v>-4.7638315954965078</v>
      </c>
      <c r="F704" s="1">
        <f t="shared" si="120"/>
        <v>-7.0995413100262379</v>
      </c>
      <c r="G704" s="1">
        <f t="shared" si="117"/>
        <v>8.2548347743437167E-4</v>
      </c>
      <c r="H704" s="1">
        <f t="shared" si="110"/>
        <v>8.4893468042089733E-6</v>
      </c>
      <c r="I704">
        <f t="shared" si="111"/>
        <v>10</v>
      </c>
      <c r="J704">
        <f t="shared" si="112"/>
        <v>667</v>
      </c>
      <c r="K704" s="5">
        <f t="shared" si="113"/>
        <v>0</v>
      </c>
      <c r="L704">
        <f t="shared" si="114"/>
        <v>95</v>
      </c>
      <c r="M704">
        <f t="shared" si="115"/>
        <v>1</v>
      </c>
      <c r="N704">
        <f t="shared" si="116"/>
        <v>0</v>
      </c>
    </row>
    <row r="705" spans="4:14" x14ac:dyDescent="0.2">
      <c r="D705">
        <f t="shared" si="118"/>
        <v>682</v>
      </c>
      <c r="E705" s="1">
        <f t="shared" si="119"/>
        <v>-4.7743028953638031</v>
      </c>
      <c r="F705" s="1">
        <f t="shared" si="120"/>
        <v>-7.1100126098935332</v>
      </c>
      <c r="G705" s="1">
        <f t="shared" si="117"/>
        <v>8.1688469121109707E-4</v>
      </c>
      <c r="H705" s="1">
        <f t="shared" si="110"/>
        <v>8.4009161083317971E-6</v>
      </c>
      <c r="I705">
        <f t="shared" si="111"/>
        <v>10</v>
      </c>
      <c r="J705">
        <f t="shared" si="112"/>
        <v>668</v>
      </c>
      <c r="K705" s="5">
        <f t="shared" si="113"/>
        <v>0</v>
      </c>
      <c r="L705">
        <f t="shared" si="114"/>
        <v>95</v>
      </c>
      <c r="M705">
        <f t="shared" si="115"/>
        <v>1</v>
      </c>
      <c r="N705">
        <f t="shared" si="116"/>
        <v>0</v>
      </c>
    </row>
    <row r="706" spans="4:14" x14ac:dyDescent="0.2">
      <c r="D706">
        <f t="shared" si="118"/>
        <v>683</v>
      </c>
      <c r="E706" s="1">
        <f t="shared" si="119"/>
        <v>-4.7847741952310985</v>
      </c>
      <c r="F706" s="1">
        <f t="shared" si="120"/>
        <v>-7.1204839097608286</v>
      </c>
      <c r="G706" s="1">
        <f t="shared" si="117"/>
        <v>8.0837547567764816E-4</v>
      </c>
      <c r="H706" s="1">
        <f t="shared" si="110"/>
        <v>8.313406565536674E-6</v>
      </c>
      <c r="I706">
        <f t="shared" si="111"/>
        <v>10</v>
      </c>
      <c r="J706">
        <f t="shared" si="112"/>
        <v>669</v>
      </c>
      <c r="K706" s="5">
        <f t="shared" si="113"/>
        <v>0</v>
      </c>
      <c r="L706">
        <f t="shared" si="114"/>
        <v>95</v>
      </c>
      <c r="M706">
        <f t="shared" si="115"/>
        <v>1</v>
      </c>
      <c r="N706">
        <f t="shared" si="116"/>
        <v>0</v>
      </c>
    </row>
    <row r="707" spans="4:14" x14ac:dyDescent="0.2">
      <c r="D707">
        <f t="shared" si="118"/>
        <v>684</v>
      </c>
      <c r="E707" s="1">
        <f t="shared" si="119"/>
        <v>-4.7952454950983938</v>
      </c>
      <c r="F707" s="1">
        <f t="shared" si="120"/>
        <v>-7.1309552096281239</v>
      </c>
      <c r="G707" s="1">
        <f t="shared" si="117"/>
        <v>7.9995489780600604E-4</v>
      </c>
      <c r="H707" s="1">
        <f t="shared" si="110"/>
        <v>8.2268085804790013E-6</v>
      </c>
      <c r="I707">
        <f t="shared" si="111"/>
        <v>10</v>
      </c>
      <c r="J707">
        <f t="shared" si="112"/>
        <v>670</v>
      </c>
      <c r="K707" s="5">
        <f t="shared" si="113"/>
        <v>0</v>
      </c>
      <c r="L707">
        <f t="shared" si="114"/>
        <v>95</v>
      </c>
      <c r="M707">
        <f t="shared" si="115"/>
        <v>1</v>
      </c>
      <c r="N707">
        <f t="shared" si="116"/>
        <v>0</v>
      </c>
    </row>
    <row r="708" spans="4:14" x14ac:dyDescent="0.2">
      <c r="D708">
        <f t="shared" si="118"/>
        <v>685</v>
      </c>
      <c r="E708" s="1">
        <f t="shared" si="119"/>
        <v>-4.8057167949656892</v>
      </c>
      <c r="F708" s="1">
        <f t="shared" si="120"/>
        <v>-7.1414265094954192</v>
      </c>
      <c r="G708" s="1">
        <f t="shared" si="117"/>
        <v>7.9162203428719349E-4</v>
      </c>
      <c r="H708" s="1">
        <f t="shared" si="110"/>
        <v>8.1411126577656783E-6</v>
      </c>
      <c r="I708">
        <f t="shared" si="111"/>
        <v>10</v>
      </c>
      <c r="J708">
        <f t="shared" si="112"/>
        <v>671</v>
      </c>
      <c r="K708" s="5">
        <f t="shared" si="113"/>
        <v>0</v>
      </c>
      <c r="L708">
        <f t="shared" si="114"/>
        <v>95</v>
      </c>
      <c r="M708">
        <f t="shared" si="115"/>
        <v>1</v>
      </c>
      <c r="N708">
        <f t="shared" si="116"/>
        <v>0</v>
      </c>
    </row>
    <row r="709" spans="4:14" x14ac:dyDescent="0.2">
      <c r="D709">
        <f t="shared" si="118"/>
        <v>686</v>
      </c>
      <c r="E709" s="1">
        <f t="shared" si="119"/>
        <v>-4.8161880948329845</v>
      </c>
      <c r="F709" s="1">
        <f t="shared" si="120"/>
        <v>-7.1518978093627146</v>
      </c>
      <c r="G709" s="1">
        <f t="shared" si="117"/>
        <v>7.8337597143003537E-4</v>
      </c>
      <c r="H709" s="1">
        <f t="shared" si="110"/>
        <v>8.0563094009139541E-6</v>
      </c>
      <c r="I709">
        <f t="shared" si="111"/>
        <v>10</v>
      </c>
      <c r="J709">
        <f t="shared" si="112"/>
        <v>672</v>
      </c>
      <c r="K709" s="5">
        <f t="shared" si="113"/>
        <v>0</v>
      </c>
      <c r="L709">
        <f t="shared" si="114"/>
        <v>95</v>
      </c>
      <c r="M709">
        <f t="shared" si="115"/>
        <v>1</v>
      </c>
      <c r="N709">
        <f t="shared" si="116"/>
        <v>0</v>
      </c>
    </row>
    <row r="710" spans="4:14" x14ac:dyDescent="0.2">
      <c r="D710">
        <f t="shared" si="118"/>
        <v>687</v>
      </c>
      <c r="E710" s="1">
        <f t="shared" si="119"/>
        <v>-4.8266593947002798</v>
      </c>
      <c r="F710" s="1">
        <f t="shared" si="120"/>
        <v>-7.1623691092300099</v>
      </c>
      <c r="G710" s="1">
        <f t="shared" si="117"/>
        <v>7.7521580506097253E-4</v>
      </c>
      <c r="H710" s="1">
        <f t="shared" si="110"/>
        <v>7.9723895113211016E-6</v>
      </c>
      <c r="I710">
        <f t="shared" si="111"/>
        <v>10</v>
      </c>
      <c r="J710">
        <f t="shared" si="112"/>
        <v>673</v>
      </c>
      <c r="K710" s="5">
        <f t="shared" si="113"/>
        <v>0</v>
      </c>
      <c r="L710">
        <f t="shared" si="114"/>
        <v>95</v>
      </c>
      <c r="M710">
        <f t="shared" si="115"/>
        <v>1</v>
      </c>
      <c r="N710">
        <f t="shared" si="116"/>
        <v>0</v>
      </c>
    </row>
    <row r="711" spans="4:14" x14ac:dyDescent="0.2">
      <c r="D711">
        <f t="shared" si="118"/>
        <v>688</v>
      </c>
      <c r="E711" s="1">
        <f t="shared" si="119"/>
        <v>-4.8371306945675752</v>
      </c>
      <c r="F711" s="1">
        <f t="shared" si="120"/>
        <v>-7.1728404090973052</v>
      </c>
      <c r="G711" s="1">
        <f t="shared" si="117"/>
        <v>7.6714064042492081E-4</v>
      </c>
      <c r="H711" s="1">
        <f t="shared" si="110"/>
        <v>7.8893437872448405E-6</v>
      </c>
      <c r="I711">
        <f t="shared" si="111"/>
        <v>10</v>
      </c>
      <c r="J711">
        <f t="shared" si="112"/>
        <v>674</v>
      </c>
      <c r="K711" s="5">
        <f t="shared" si="113"/>
        <v>0</v>
      </c>
      <c r="L711">
        <f t="shared" si="114"/>
        <v>95</v>
      </c>
      <c r="M711">
        <f t="shared" si="115"/>
        <v>1</v>
      </c>
      <c r="N711">
        <f t="shared" si="116"/>
        <v>0</v>
      </c>
    </row>
    <row r="712" spans="4:14" x14ac:dyDescent="0.2">
      <c r="D712">
        <f t="shared" si="118"/>
        <v>689</v>
      </c>
      <c r="E712" s="1">
        <f t="shared" si="119"/>
        <v>-4.8476019944348705</v>
      </c>
      <c r="F712" s="1">
        <f t="shared" si="120"/>
        <v>-7.1833117089646006</v>
      </c>
      <c r="G712" s="1">
        <f t="shared" si="117"/>
        <v>7.5914959208716118E-4</v>
      </c>
      <c r="H712" s="1">
        <f t="shared" si="110"/>
        <v>7.8071631227943723E-6</v>
      </c>
      <c r="I712">
        <f t="shared" si="111"/>
        <v>10</v>
      </c>
      <c r="J712">
        <f t="shared" si="112"/>
        <v>675</v>
      </c>
      <c r="K712" s="5">
        <f t="shared" si="113"/>
        <v>0</v>
      </c>
      <c r="L712">
        <f t="shared" si="114"/>
        <v>95</v>
      </c>
      <c r="M712">
        <f t="shared" si="115"/>
        <v>1</v>
      </c>
      <c r="N712">
        <f t="shared" si="116"/>
        <v>0</v>
      </c>
    </row>
    <row r="713" spans="4:14" x14ac:dyDescent="0.2">
      <c r="D713">
        <f t="shared" si="118"/>
        <v>690</v>
      </c>
      <c r="E713" s="1">
        <f t="shared" si="119"/>
        <v>-4.8580732943021658</v>
      </c>
      <c r="F713" s="1">
        <f t="shared" si="120"/>
        <v>-7.1937830088318959</v>
      </c>
      <c r="G713" s="1">
        <f t="shared" si="117"/>
        <v>7.5124178383625332E-4</v>
      </c>
      <c r="H713" s="1">
        <f t="shared" si="110"/>
        <v>7.7258385069319314E-6</v>
      </c>
      <c r="I713">
        <f t="shared" si="111"/>
        <v>10</v>
      </c>
      <c r="J713">
        <f t="shared" si="112"/>
        <v>676</v>
      </c>
      <c r="K713" s="5">
        <f t="shared" si="113"/>
        <v>0</v>
      </c>
      <c r="L713">
        <f t="shared" si="114"/>
        <v>95</v>
      </c>
      <c r="M713">
        <f t="shared" si="115"/>
        <v>1</v>
      </c>
      <c r="N713">
        <f t="shared" si="116"/>
        <v>0</v>
      </c>
    </row>
    <row r="714" spans="4:14" x14ac:dyDescent="0.2">
      <c r="D714">
        <f t="shared" si="118"/>
        <v>691</v>
      </c>
      <c r="E714" s="1">
        <f t="shared" si="119"/>
        <v>-4.8685445941694612</v>
      </c>
      <c r="F714" s="1">
        <f t="shared" si="120"/>
        <v>-7.2042543086991913</v>
      </c>
      <c r="G714" s="1">
        <f t="shared" si="117"/>
        <v>7.4341634858795906E-4</v>
      </c>
      <c r="H714" s="1">
        <f t="shared" si="110"/>
        <v>7.6453610224847247E-6</v>
      </c>
      <c r="I714">
        <f t="shared" si="111"/>
        <v>10</v>
      </c>
      <c r="J714">
        <f t="shared" si="112"/>
        <v>677</v>
      </c>
      <c r="K714" s="5">
        <f t="shared" si="113"/>
        <v>0</v>
      </c>
      <c r="L714">
        <f t="shared" si="114"/>
        <v>95</v>
      </c>
      <c r="M714">
        <f t="shared" si="115"/>
        <v>1</v>
      </c>
      <c r="N714">
        <f t="shared" si="116"/>
        <v>0</v>
      </c>
    </row>
    <row r="715" spans="4:14" x14ac:dyDescent="0.2">
      <c r="D715">
        <f t="shared" si="118"/>
        <v>692</v>
      </c>
      <c r="E715" s="1">
        <f t="shared" si="119"/>
        <v>-4.8790158940367565</v>
      </c>
      <c r="F715" s="1">
        <f t="shared" si="120"/>
        <v>-7.2147256085664866</v>
      </c>
      <c r="G715" s="1">
        <f t="shared" si="117"/>
        <v>7.3567242829016791E-4</v>
      </c>
      <c r="H715" s="1">
        <f t="shared" si="110"/>
        <v>7.5657218451671761E-6</v>
      </c>
      <c r="I715">
        <f t="shared" si="111"/>
        <v>10</v>
      </c>
      <c r="J715">
        <f t="shared" si="112"/>
        <v>678</v>
      </c>
      <c r="K715" s="5">
        <f t="shared" si="113"/>
        <v>0</v>
      </c>
      <c r="L715">
        <f t="shared" si="114"/>
        <v>95</v>
      </c>
      <c r="M715">
        <f t="shared" si="115"/>
        <v>1</v>
      </c>
      <c r="N715">
        <f t="shared" si="116"/>
        <v>0</v>
      </c>
    </row>
    <row r="716" spans="4:14" x14ac:dyDescent="0.2">
      <c r="D716">
        <f t="shared" si="118"/>
        <v>693</v>
      </c>
      <c r="E716" s="1">
        <f t="shared" si="119"/>
        <v>-4.8894871939040518</v>
      </c>
      <c r="F716" s="1">
        <f t="shared" si="120"/>
        <v>-7.2251969084337819</v>
      </c>
      <c r="G716" s="1">
        <f t="shared" si="117"/>
        <v>7.2800917382881208E-4</v>
      </c>
      <c r="H716" s="1">
        <f t="shared" si="110"/>
        <v>7.4869122426133522E-6</v>
      </c>
      <c r="I716">
        <f t="shared" si="111"/>
        <v>10</v>
      </c>
      <c r="J716">
        <f t="shared" si="112"/>
        <v>679</v>
      </c>
      <c r="K716" s="5">
        <f t="shared" si="113"/>
        <v>0</v>
      </c>
      <c r="L716">
        <f t="shared" si="114"/>
        <v>95</v>
      </c>
      <c r="M716">
        <f t="shared" si="115"/>
        <v>1</v>
      </c>
      <c r="N716">
        <f t="shared" si="116"/>
        <v>0</v>
      </c>
    </row>
    <row r="717" spans="4:14" x14ac:dyDescent="0.2">
      <c r="D717">
        <f t="shared" si="118"/>
        <v>694</v>
      </c>
      <c r="E717" s="1">
        <f t="shared" si="119"/>
        <v>-4.8999584937713472</v>
      </c>
      <c r="F717" s="1">
        <f t="shared" si="120"/>
        <v>-7.2356682083010773</v>
      </c>
      <c r="G717" s="1">
        <f t="shared" si="117"/>
        <v>7.20425744934762E-4</v>
      </c>
      <c r="H717" s="1">
        <f t="shared" si="110"/>
        <v>7.4089235734194645E-6</v>
      </c>
      <c r="I717">
        <f t="shared" si="111"/>
        <v>10</v>
      </c>
      <c r="J717">
        <f t="shared" si="112"/>
        <v>680</v>
      </c>
      <c r="K717" s="5">
        <f t="shared" si="113"/>
        <v>0</v>
      </c>
      <c r="L717">
        <f t="shared" si="114"/>
        <v>95</v>
      </c>
      <c r="M717">
        <f t="shared" si="115"/>
        <v>1</v>
      </c>
      <c r="N717">
        <f t="shared" si="116"/>
        <v>0</v>
      </c>
    </row>
    <row r="718" spans="4:14" x14ac:dyDescent="0.2">
      <c r="D718">
        <f t="shared" si="118"/>
        <v>695</v>
      </c>
      <c r="E718" s="1">
        <f t="shared" si="119"/>
        <v>-4.9104297936386425</v>
      </c>
      <c r="F718" s="1">
        <f t="shared" si="120"/>
        <v>-7.2461395081683726</v>
      </c>
      <c r="G718" s="1">
        <f t="shared" si="117"/>
        <v>7.1292131009169162E-4</v>
      </c>
      <c r="H718" s="1">
        <f t="shared" si="110"/>
        <v>7.331747286196345E-6</v>
      </c>
      <c r="I718">
        <f t="shared" si="111"/>
        <v>10</v>
      </c>
      <c r="J718">
        <f t="shared" si="112"/>
        <v>681</v>
      </c>
      <c r="K718" s="5">
        <f t="shared" si="113"/>
        <v>0</v>
      </c>
      <c r="L718">
        <f t="shared" si="114"/>
        <v>95</v>
      </c>
      <c r="M718">
        <f t="shared" si="115"/>
        <v>1</v>
      </c>
      <c r="N718">
        <f t="shared" si="116"/>
        <v>0</v>
      </c>
    </row>
    <row r="719" spans="4:14" x14ac:dyDescent="0.2">
      <c r="D719">
        <f t="shared" si="118"/>
        <v>696</v>
      </c>
      <c r="E719" s="1">
        <f t="shared" si="119"/>
        <v>-4.9209010935059379</v>
      </c>
      <c r="F719" s="1">
        <f t="shared" si="120"/>
        <v>-7.2566108080356679</v>
      </c>
      <c r="G719" s="1">
        <f t="shared" si="117"/>
        <v>7.0549504644490315E-4</v>
      </c>
      <c r="H719" s="1">
        <f t="shared" si="110"/>
        <v>7.2553749186318001E-6</v>
      </c>
      <c r="I719">
        <f t="shared" si="111"/>
        <v>10</v>
      </c>
      <c r="J719">
        <f t="shared" si="112"/>
        <v>682</v>
      </c>
      <c r="K719" s="5">
        <f t="shared" si="113"/>
        <v>0</v>
      </c>
      <c r="L719">
        <f t="shared" si="114"/>
        <v>95</v>
      </c>
      <c r="M719">
        <f t="shared" si="115"/>
        <v>1</v>
      </c>
      <c r="N719">
        <f t="shared" si="116"/>
        <v>0</v>
      </c>
    </row>
    <row r="720" spans="4:14" x14ac:dyDescent="0.2">
      <c r="D720">
        <f t="shared" si="118"/>
        <v>697</v>
      </c>
      <c r="E720" s="1">
        <f t="shared" si="119"/>
        <v>-4.9313723933732332</v>
      </c>
      <c r="F720" s="1">
        <f t="shared" si="120"/>
        <v>-7.2670821079029633</v>
      </c>
      <c r="G720" s="1">
        <f t="shared" si="117"/>
        <v>6.9814613971110214E-4</v>
      </c>
      <c r="H720" s="1">
        <f t="shared" si="110"/>
        <v>7.1797980965627189E-6</v>
      </c>
      <c r="I720">
        <f t="shared" si="111"/>
        <v>10</v>
      </c>
      <c r="J720">
        <f t="shared" si="112"/>
        <v>683</v>
      </c>
      <c r="K720" s="5">
        <f t="shared" si="113"/>
        <v>0</v>
      </c>
      <c r="L720">
        <f t="shared" si="114"/>
        <v>95</v>
      </c>
      <c r="M720">
        <f t="shared" si="115"/>
        <v>1</v>
      </c>
      <c r="N720">
        <f t="shared" si="116"/>
        <v>0</v>
      </c>
    </row>
    <row r="721" spans="4:14" x14ac:dyDescent="0.2">
      <c r="D721">
        <f t="shared" si="118"/>
        <v>698</v>
      </c>
      <c r="E721" s="1">
        <f t="shared" si="119"/>
        <v>-4.9418436932405285</v>
      </c>
      <c r="F721" s="1">
        <f t="shared" si="120"/>
        <v>-7.2775534077702586</v>
      </c>
      <c r="G721" s="1">
        <f t="shared" si="117"/>
        <v>6.9087378408911151E-4</v>
      </c>
      <c r="H721" s="1">
        <f t="shared" si="110"/>
        <v>7.105008533056858E-6</v>
      </c>
      <c r="I721">
        <f t="shared" si="111"/>
        <v>10</v>
      </c>
      <c r="J721">
        <f t="shared" si="112"/>
        <v>684</v>
      </c>
      <c r="K721" s="5">
        <f t="shared" si="113"/>
        <v>0</v>
      </c>
      <c r="L721">
        <f t="shared" si="114"/>
        <v>95</v>
      </c>
      <c r="M721">
        <f t="shared" si="115"/>
        <v>1</v>
      </c>
      <c r="N721">
        <f t="shared" si="116"/>
        <v>0</v>
      </c>
    </row>
    <row r="722" spans="4:14" x14ac:dyDescent="0.2">
      <c r="D722">
        <f t="shared" si="118"/>
        <v>699</v>
      </c>
      <c r="E722" s="1">
        <f t="shared" si="119"/>
        <v>-4.9523149931078239</v>
      </c>
      <c r="F722" s="1">
        <f t="shared" si="120"/>
        <v>-7.2880247076375539</v>
      </c>
      <c r="G722" s="1">
        <f t="shared" si="117"/>
        <v>6.8367718217151663E-4</v>
      </c>
      <c r="H722" s="1">
        <f t="shared" si="110"/>
        <v>7.0309980275041826E-6</v>
      </c>
      <c r="I722">
        <f t="shared" si="111"/>
        <v>10</v>
      </c>
      <c r="J722">
        <f t="shared" si="112"/>
        <v>685</v>
      </c>
      <c r="K722" s="5">
        <f t="shared" si="113"/>
        <v>0</v>
      </c>
      <c r="L722">
        <f t="shared" si="114"/>
        <v>95</v>
      </c>
      <c r="M722">
        <f t="shared" si="115"/>
        <v>1</v>
      </c>
      <c r="N722">
        <f t="shared" si="116"/>
        <v>0</v>
      </c>
    </row>
    <row r="723" spans="4:14" x14ac:dyDescent="0.2">
      <c r="D723">
        <f t="shared" si="118"/>
        <v>700</v>
      </c>
      <c r="E723" s="1">
        <f t="shared" si="119"/>
        <v>-4.9627862929751192</v>
      </c>
      <c r="F723" s="1">
        <f t="shared" si="120"/>
        <v>-7.2984960075048493</v>
      </c>
      <c r="G723" s="1">
        <f t="shared" si="117"/>
        <v>6.765555448572301E-4</v>
      </c>
      <c r="H723" s="1">
        <f t="shared" si="110"/>
        <v>6.9577584647176815E-6</v>
      </c>
      <c r="I723">
        <f t="shared" si="111"/>
        <v>10</v>
      </c>
      <c r="J723">
        <f t="shared" si="112"/>
        <v>686</v>
      </c>
      <c r="K723" s="5">
        <f t="shared" si="113"/>
        <v>0</v>
      </c>
      <c r="L723">
        <f t="shared" si="114"/>
        <v>95</v>
      </c>
      <c r="M723">
        <f t="shared" si="115"/>
        <v>1</v>
      </c>
      <c r="N723">
        <f t="shared" si="116"/>
        <v>0</v>
      </c>
    </row>
    <row r="724" spans="4:14" x14ac:dyDescent="0.2">
      <c r="D724">
        <f t="shared" si="118"/>
        <v>701</v>
      </c>
      <c r="E724" s="1">
        <f t="shared" si="119"/>
        <v>-4.9732575928424145</v>
      </c>
      <c r="F724" s="1">
        <f t="shared" si="120"/>
        <v>-7.3089673073721446</v>
      </c>
      <c r="G724" s="1">
        <f t="shared" si="117"/>
        <v>6.6950809126496735E-4</v>
      </c>
      <c r="H724" s="1">
        <f t="shared" si="110"/>
        <v>6.8852818140435395E-6</v>
      </c>
      <c r="I724">
        <f t="shared" si="111"/>
        <v>10</v>
      </c>
      <c r="J724">
        <f t="shared" si="112"/>
        <v>687</v>
      </c>
      <c r="K724" s="5">
        <f t="shared" si="113"/>
        <v>0</v>
      </c>
      <c r="L724">
        <f t="shared" si="114"/>
        <v>95</v>
      </c>
      <c r="M724">
        <f t="shared" si="115"/>
        <v>1</v>
      </c>
      <c r="N724">
        <f t="shared" si="116"/>
        <v>0</v>
      </c>
    </row>
    <row r="725" spans="4:14" x14ac:dyDescent="0.2">
      <c r="D725">
        <f t="shared" si="118"/>
        <v>702</v>
      </c>
      <c r="E725" s="1">
        <f t="shared" si="119"/>
        <v>-4.9837288927097099</v>
      </c>
      <c r="F725" s="1">
        <f t="shared" si="120"/>
        <v>-7.31943860723944</v>
      </c>
      <c r="G725" s="1">
        <f t="shared" si="117"/>
        <v>6.625340486476239E-4</v>
      </c>
      <c r="H725" s="1">
        <f t="shared" si="110"/>
        <v>6.8135601284805858E-6</v>
      </c>
      <c r="I725">
        <f t="shared" si="111"/>
        <v>10</v>
      </c>
      <c r="J725">
        <f t="shared" si="112"/>
        <v>688</v>
      </c>
      <c r="K725" s="5">
        <f t="shared" si="113"/>
        <v>0</v>
      </c>
      <c r="L725">
        <f t="shared" si="114"/>
        <v>95</v>
      </c>
      <c r="M725">
        <f t="shared" si="115"/>
        <v>1</v>
      </c>
      <c r="N725">
        <f t="shared" si="116"/>
        <v>0</v>
      </c>
    </row>
    <row r="726" spans="4:14" x14ac:dyDescent="0.2">
      <c r="D726">
        <f t="shared" si="118"/>
        <v>703</v>
      </c>
      <c r="E726" s="1">
        <f t="shared" si="119"/>
        <v>-4.9942001925770052</v>
      </c>
      <c r="F726" s="1">
        <f t="shared" si="120"/>
        <v>-7.3299099071067353</v>
      </c>
      <c r="G726" s="1">
        <f t="shared" si="117"/>
        <v>6.5563265230754453E-4</v>
      </c>
      <c r="H726" s="1">
        <f t="shared" si="110"/>
        <v>6.7425855438089133E-6</v>
      </c>
      <c r="I726">
        <f t="shared" si="111"/>
        <v>10</v>
      </c>
      <c r="J726">
        <f t="shared" si="112"/>
        <v>689</v>
      </c>
      <c r="K726" s="5">
        <f t="shared" si="113"/>
        <v>0</v>
      </c>
      <c r="L726">
        <f t="shared" si="114"/>
        <v>95</v>
      </c>
      <c r="M726">
        <f t="shared" si="115"/>
        <v>1</v>
      </c>
      <c r="N726">
        <f t="shared" si="116"/>
        <v>0</v>
      </c>
    </row>
    <row r="727" spans="4:14" x14ac:dyDescent="0.2">
      <c r="D727">
        <f t="shared" si="118"/>
        <v>704</v>
      </c>
      <c r="E727" s="1">
        <f t="shared" si="119"/>
        <v>-5.0046714924443005</v>
      </c>
      <c r="F727" s="1">
        <f t="shared" si="120"/>
        <v>-7.3403812069740306</v>
      </c>
      <c r="G727" s="1">
        <f t="shared" si="117"/>
        <v>6.4880314551267438E-4</v>
      </c>
      <c r="H727" s="1">
        <f t="shared" ref="H727:H790" si="121">G727/$G$21</f>
        <v>6.6723502777275714E-6</v>
      </c>
      <c r="I727">
        <f t="shared" ref="I727:I790" si="122">IF($F$11&lt;=D727, IF(D727&lt;=$A$15,D727-$F$11,$C$11),0)</f>
        <v>10</v>
      </c>
      <c r="J727">
        <f t="shared" ref="J727:J790" si="123">IF(D727&lt;=$A$15,0,D727-$A$15)</f>
        <v>690</v>
      </c>
      <c r="K727" s="5">
        <f t="shared" ref="K727:K790" si="124">IF(D727&lt;$F$11,H727,0)</f>
        <v>0</v>
      </c>
      <c r="L727">
        <f t="shared" ref="L727:L790" si="125">IF(D727&lt;$A$15,$D$11,$D$11*(1-$H$11))</f>
        <v>95</v>
      </c>
      <c r="M727">
        <f t="shared" ref="M727:M790" si="126">IF(D727&lt;$A$15,0,1)</f>
        <v>1</v>
      </c>
      <c r="N727">
        <f t="shared" ref="N727:N790" si="127">IF(SUM(I727:J727)&lt;=($G$11/60*$F$11/($E$11/60)),1,0)</f>
        <v>0</v>
      </c>
    </row>
    <row r="728" spans="4:14" x14ac:dyDescent="0.2">
      <c r="D728">
        <f t="shared" si="118"/>
        <v>705</v>
      </c>
      <c r="E728" s="1">
        <f t="shared" si="119"/>
        <v>-5.0151427923115959</v>
      </c>
      <c r="F728" s="1">
        <f t="shared" si="120"/>
        <v>-7.350852506841326</v>
      </c>
      <c r="G728" s="1">
        <f t="shared" ref="G728:G791" si="128">EXP(F728)</f>
        <v>6.4204477941358406E-4</v>
      </c>
      <c r="H728" s="1">
        <f t="shared" si="121"/>
        <v>6.6028466290012428E-6</v>
      </c>
      <c r="I728">
        <f t="shared" si="122"/>
        <v>10</v>
      </c>
      <c r="J728">
        <f t="shared" si="123"/>
        <v>691</v>
      </c>
      <c r="K728" s="5">
        <f t="shared" si="124"/>
        <v>0</v>
      </c>
      <c r="L728">
        <f t="shared" si="125"/>
        <v>95</v>
      </c>
      <c r="M728">
        <f t="shared" si="126"/>
        <v>1</v>
      </c>
      <c r="N728">
        <f t="shared" si="127"/>
        <v>0</v>
      </c>
    </row>
    <row r="729" spans="4:14" x14ac:dyDescent="0.2">
      <c r="D729">
        <f t="shared" ref="D729:D792" si="129">1+D728</f>
        <v>706</v>
      </c>
      <c r="E729" s="1">
        <f t="shared" ref="E729:E792" si="130">IF($H$11=1,IF(D729&lt;=$A$15, E728+LN($D$11)-LN(60/$E$11)-LN(MIN(D729,$F$11)), E728-LN(60/$E$11)-LN(MIN(D729,$F$11))), IF(D729&lt;=$A$15, E728+LN($D$11)-LN(60/$E$11)-LN(MIN(D729,$F$11)), E728+LN($D$11)+LN(1-$H$11)-LN(60/$E$11)-LN(MIN(D729,$F$11))))</f>
        <v>-5.0256140921788912</v>
      </c>
      <c r="F729" s="1">
        <f t="shared" ref="F729:F792" si="131">E729-$E$21</f>
        <v>-7.3613238067086213</v>
      </c>
      <c r="G729" s="1">
        <f t="shared" si="128"/>
        <v>6.3535681296135926E-4</v>
      </c>
      <c r="H729" s="1">
        <f t="shared" si="121"/>
        <v>6.5340669766158136E-6</v>
      </c>
      <c r="I729">
        <f t="shared" si="122"/>
        <v>10</v>
      </c>
      <c r="J729">
        <f t="shared" si="123"/>
        <v>692</v>
      </c>
      <c r="K729" s="5">
        <f t="shared" si="124"/>
        <v>0</v>
      </c>
      <c r="L729">
        <f t="shared" si="125"/>
        <v>95</v>
      </c>
      <c r="M729">
        <f t="shared" si="126"/>
        <v>1</v>
      </c>
      <c r="N729">
        <f t="shared" si="127"/>
        <v>0</v>
      </c>
    </row>
    <row r="730" spans="4:14" x14ac:dyDescent="0.2">
      <c r="D730">
        <f t="shared" si="129"/>
        <v>707</v>
      </c>
      <c r="E730" s="1">
        <f t="shared" si="130"/>
        <v>-5.0360853920461865</v>
      </c>
      <c r="F730" s="1">
        <f t="shared" si="131"/>
        <v>-7.3717951065759166</v>
      </c>
      <c r="G730" s="1">
        <f t="shared" si="128"/>
        <v>6.2873851282634519E-4</v>
      </c>
      <c r="H730" s="1">
        <f t="shared" si="121"/>
        <v>6.4660037789427336E-6</v>
      </c>
      <c r="I730">
        <f t="shared" si="122"/>
        <v>10</v>
      </c>
      <c r="J730">
        <f t="shared" si="123"/>
        <v>693</v>
      </c>
      <c r="K730" s="5">
        <f t="shared" si="124"/>
        <v>0</v>
      </c>
      <c r="L730">
        <f t="shared" si="125"/>
        <v>95</v>
      </c>
      <c r="M730">
        <f t="shared" si="126"/>
        <v>1</v>
      </c>
      <c r="N730">
        <f t="shared" si="127"/>
        <v>0</v>
      </c>
    </row>
    <row r="731" spans="4:14" x14ac:dyDescent="0.2">
      <c r="D731">
        <f t="shared" si="129"/>
        <v>708</v>
      </c>
      <c r="E731" s="1">
        <f t="shared" si="130"/>
        <v>-5.0465566919134819</v>
      </c>
      <c r="F731" s="1">
        <f t="shared" si="131"/>
        <v>-7.382266406443212</v>
      </c>
      <c r="G731" s="1">
        <f t="shared" si="128"/>
        <v>6.221891533177374E-4</v>
      </c>
      <c r="H731" s="1">
        <f t="shared" si="121"/>
        <v>6.3986495729120799E-6</v>
      </c>
      <c r="I731">
        <f t="shared" si="122"/>
        <v>10</v>
      </c>
      <c r="J731">
        <f t="shared" si="123"/>
        <v>694</v>
      </c>
      <c r="K731" s="5">
        <f t="shared" si="124"/>
        <v>0</v>
      </c>
      <c r="L731">
        <f t="shared" si="125"/>
        <v>95</v>
      </c>
      <c r="M731">
        <f t="shared" si="126"/>
        <v>1</v>
      </c>
      <c r="N731">
        <f t="shared" si="127"/>
        <v>0</v>
      </c>
    </row>
    <row r="732" spans="4:14" x14ac:dyDescent="0.2">
      <c r="D732">
        <f t="shared" si="129"/>
        <v>709</v>
      </c>
      <c r="E732" s="1">
        <f t="shared" si="130"/>
        <v>-5.0570279917807772</v>
      </c>
      <c r="F732" s="1">
        <f t="shared" si="131"/>
        <v>-7.3927377063105073</v>
      </c>
      <c r="G732" s="1">
        <f t="shared" si="128"/>
        <v>6.1570801630401106E-4</v>
      </c>
      <c r="H732" s="1">
        <f t="shared" si="121"/>
        <v>6.3319969731942463E-6</v>
      </c>
      <c r="I732">
        <f t="shared" si="122"/>
        <v>10</v>
      </c>
      <c r="J732">
        <f t="shared" si="123"/>
        <v>695</v>
      </c>
      <c r="K732" s="5">
        <f t="shared" si="124"/>
        <v>0</v>
      </c>
      <c r="L732">
        <f t="shared" si="125"/>
        <v>95</v>
      </c>
      <c r="M732">
        <f t="shared" si="126"/>
        <v>1</v>
      </c>
      <c r="N732">
        <f t="shared" si="127"/>
        <v>0</v>
      </c>
    </row>
    <row r="733" spans="4:14" x14ac:dyDescent="0.2">
      <c r="D733">
        <f t="shared" si="129"/>
        <v>710</v>
      </c>
      <c r="E733" s="1">
        <f t="shared" si="130"/>
        <v>-5.0674992916480726</v>
      </c>
      <c r="F733" s="1">
        <f t="shared" si="131"/>
        <v>-7.4032090061778026</v>
      </c>
      <c r="G733" s="1">
        <f t="shared" si="128"/>
        <v>6.0929439113417759E-4</v>
      </c>
      <c r="H733" s="1">
        <f t="shared" si="121"/>
        <v>6.2660386713901391E-6</v>
      </c>
      <c r="I733">
        <f t="shared" si="122"/>
        <v>10</v>
      </c>
      <c r="J733">
        <f t="shared" si="123"/>
        <v>696</v>
      </c>
      <c r="K733" s="5">
        <f t="shared" si="124"/>
        <v>0</v>
      </c>
      <c r="L733">
        <f t="shared" si="125"/>
        <v>95</v>
      </c>
      <c r="M733">
        <f t="shared" si="126"/>
        <v>1</v>
      </c>
      <c r="N733">
        <f t="shared" si="127"/>
        <v>0</v>
      </c>
    </row>
    <row r="734" spans="4:14" x14ac:dyDescent="0.2">
      <c r="D734">
        <f t="shared" si="129"/>
        <v>711</v>
      </c>
      <c r="E734" s="1">
        <f t="shared" si="130"/>
        <v>-5.0779705915153679</v>
      </c>
      <c r="F734" s="1">
        <f t="shared" si="131"/>
        <v>-7.413680306045098</v>
      </c>
      <c r="G734" s="1">
        <f t="shared" si="128"/>
        <v>6.0294757455986328E-4</v>
      </c>
      <c r="H734" s="1">
        <f t="shared" si="121"/>
        <v>6.200767435229826E-6</v>
      </c>
      <c r="I734">
        <f t="shared" si="122"/>
        <v>10</v>
      </c>
      <c r="J734">
        <f t="shared" si="123"/>
        <v>697</v>
      </c>
      <c r="K734" s="5">
        <f t="shared" si="124"/>
        <v>0</v>
      </c>
      <c r="L734">
        <f t="shared" si="125"/>
        <v>95</v>
      </c>
      <c r="M734">
        <f t="shared" si="126"/>
        <v>1</v>
      </c>
      <c r="N734">
        <f t="shared" si="127"/>
        <v>0</v>
      </c>
    </row>
    <row r="735" spans="4:14" x14ac:dyDescent="0.2">
      <c r="D735">
        <f t="shared" si="129"/>
        <v>712</v>
      </c>
      <c r="E735" s="1">
        <f t="shared" si="130"/>
        <v>-5.0884418913826632</v>
      </c>
      <c r="F735" s="1">
        <f t="shared" si="131"/>
        <v>-7.4241516059123933</v>
      </c>
      <c r="G735" s="1">
        <f t="shared" si="128"/>
        <v>5.9666687065819814E-4</v>
      </c>
      <c r="H735" s="1">
        <f t="shared" si="121"/>
        <v>6.1361761077795164E-6</v>
      </c>
      <c r="I735">
        <f t="shared" si="122"/>
        <v>10</v>
      </c>
      <c r="J735">
        <f t="shared" si="123"/>
        <v>698</v>
      </c>
      <c r="K735" s="5">
        <f t="shared" si="124"/>
        <v>0</v>
      </c>
      <c r="L735">
        <f t="shared" si="125"/>
        <v>95</v>
      </c>
      <c r="M735">
        <f t="shared" si="126"/>
        <v>1</v>
      </c>
      <c r="N735">
        <f t="shared" si="127"/>
        <v>0</v>
      </c>
    </row>
    <row r="736" spans="4:14" x14ac:dyDescent="0.2">
      <c r="D736">
        <f t="shared" si="129"/>
        <v>713</v>
      </c>
      <c r="E736" s="1">
        <f t="shared" si="130"/>
        <v>-5.0989131912499586</v>
      </c>
      <c r="F736" s="1">
        <f t="shared" si="131"/>
        <v>-7.4346229057796887</v>
      </c>
      <c r="G736" s="1">
        <f t="shared" si="128"/>
        <v>5.9045159075550861E-4</v>
      </c>
      <c r="H736" s="1">
        <f t="shared" si="121"/>
        <v>6.0722576066568131E-6</v>
      </c>
      <c r="I736">
        <f t="shared" si="122"/>
        <v>10</v>
      </c>
      <c r="J736">
        <f t="shared" si="123"/>
        <v>699</v>
      </c>
      <c r="K736" s="5">
        <f t="shared" si="124"/>
        <v>0</v>
      </c>
      <c r="L736">
        <f t="shared" si="125"/>
        <v>95</v>
      </c>
      <c r="M736">
        <f t="shared" si="126"/>
        <v>1</v>
      </c>
      <c r="N736">
        <f t="shared" si="127"/>
        <v>0</v>
      </c>
    </row>
    <row r="737" spans="4:14" x14ac:dyDescent="0.2">
      <c r="D737">
        <f t="shared" si="129"/>
        <v>714</v>
      </c>
      <c r="E737" s="1">
        <f t="shared" si="130"/>
        <v>-5.1093844911172539</v>
      </c>
      <c r="F737" s="1">
        <f t="shared" si="131"/>
        <v>-7.445094205646984</v>
      </c>
      <c r="G737" s="1">
        <f t="shared" si="128"/>
        <v>5.8430105335180546E-4</v>
      </c>
      <c r="H737" s="1">
        <f t="shared" si="121"/>
        <v>6.0090049232541393E-6</v>
      </c>
      <c r="I737">
        <f t="shared" si="122"/>
        <v>10</v>
      </c>
      <c r="J737">
        <f t="shared" si="123"/>
        <v>700</v>
      </c>
      <c r="K737" s="5">
        <f t="shared" si="124"/>
        <v>0</v>
      </c>
      <c r="L737">
        <f t="shared" si="125"/>
        <v>95</v>
      </c>
      <c r="M737">
        <f t="shared" si="126"/>
        <v>1</v>
      </c>
      <c r="N737">
        <f t="shared" si="127"/>
        <v>0</v>
      </c>
    </row>
    <row r="738" spans="4:14" x14ac:dyDescent="0.2">
      <c r="D738">
        <f t="shared" si="129"/>
        <v>715</v>
      </c>
      <c r="E738" s="1">
        <f t="shared" si="130"/>
        <v>-5.1198557909845492</v>
      </c>
      <c r="F738" s="1">
        <f t="shared" si="131"/>
        <v>-7.4555655055142793</v>
      </c>
      <c r="G738" s="1">
        <f t="shared" si="128"/>
        <v>5.7821458404605747E-4</v>
      </c>
      <c r="H738" s="1">
        <f t="shared" si="121"/>
        <v>5.946411121970241E-6</v>
      </c>
      <c r="I738">
        <f t="shared" si="122"/>
        <v>10</v>
      </c>
      <c r="J738">
        <f t="shared" si="123"/>
        <v>701</v>
      </c>
      <c r="K738" s="5">
        <f t="shared" si="124"/>
        <v>0</v>
      </c>
      <c r="L738">
        <f t="shared" si="125"/>
        <v>95</v>
      </c>
      <c r="M738">
        <f t="shared" si="126"/>
        <v>1</v>
      </c>
      <c r="N738">
        <f t="shared" si="127"/>
        <v>0</v>
      </c>
    </row>
    <row r="739" spans="4:14" x14ac:dyDescent="0.2">
      <c r="D739">
        <f t="shared" si="129"/>
        <v>716</v>
      </c>
      <c r="E739" s="1">
        <f t="shared" si="130"/>
        <v>-5.1303270908518446</v>
      </c>
      <c r="F739" s="1">
        <f t="shared" si="131"/>
        <v>-7.4660368053815747</v>
      </c>
      <c r="G739" s="1">
        <f t="shared" si="128"/>
        <v>5.7219151546224439E-4</v>
      </c>
      <c r="H739" s="1">
        <f t="shared" si="121"/>
        <v>5.8844693394497186E-6</v>
      </c>
      <c r="I739">
        <f t="shared" si="122"/>
        <v>10</v>
      </c>
      <c r="J739">
        <f t="shared" si="123"/>
        <v>702</v>
      </c>
      <c r="K739" s="5">
        <f t="shared" si="124"/>
        <v>0</v>
      </c>
      <c r="L739">
        <f t="shared" si="125"/>
        <v>95</v>
      </c>
      <c r="M739">
        <f t="shared" si="126"/>
        <v>1</v>
      </c>
      <c r="N739">
        <f t="shared" si="127"/>
        <v>0</v>
      </c>
    </row>
    <row r="740" spans="4:14" x14ac:dyDescent="0.2">
      <c r="D740">
        <f t="shared" si="129"/>
        <v>717</v>
      </c>
      <c r="E740" s="1">
        <f t="shared" si="130"/>
        <v>-5.1407983907191399</v>
      </c>
      <c r="F740" s="1">
        <f t="shared" si="131"/>
        <v>-7.47650810524887</v>
      </c>
      <c r="G740" s="1">
        <f t="shared" si="128"/>
        <v>5.6623118717617944E-4</v>
      </c>
      <c r="H740" s="1">
        <f t="shared" si="121"/>
        <v>5.8231727838304511E-6</v>
      </c>
      <c r="I740">
        <f t="shared" si="122"/>
        <v>10</v>
      </c>
      <c r="J740">
        <f t="shared" si="123"/>
        <v>703</v>
      </c>
      <c r="K740" s="5">
        <f t="shared" si="124"/>
        <v>0</v>
      </c>
      <c r="L740">
        <f t="shared" si="125"/>
        <v>95</v>
      </c>
      <c r="M740">
        <f t="shared" si="126"/>
        <v>1</v>
      </c>
      <c r="N740">
        <f t="shared" si="127"/>
        <v>0</v>
      </c>
    </row>
    <row r="741" spans="4:14" x14ac:dyDescent="0.2">
      <c r="D741">
        <f t="shared" si="129"/>
        <v>718</v>
      </c>
      <c r="E741" s="1">
        <f t="shared" si="130"/>
        <v>-5.1512696905864352</v>
      </c>
      <c r="F741" s="1">
        <f t="shared" si="131"/>
        <v>-7.4869794051161653</v>
      </c>
      <c r="G741" s="1">
        <f t="shared" si="128"/>
        <v>5.6033294564309429E-4</v>
      </c>
      <c r="H741" s="1">
        <f t="shared" si="121"/>
        <v>5.7625147339988851E-6</v>
      </c>
      <c r="I741">
        <f t="shared" si="122"/>
        <v>10</v>
      </c>
      <c r="J741">
        <f t="shared" si="123"/>
        <v>704</v>
      </c>
      <c r="K741" s="5">
        <f t="shared" si="124"/>
        <v>0</v>
      </c>
      <c r="L741">
        <f t="shared" si="125"/>
        <v>95</v>
      </c>
      <c r="M741">
        <f t="shared" si="126"/>
        <v>1</v>
      </c>
      <c r="N741">
        <f t="shared" si="127"/>
        <v>0</v>
      </c>
    </row>
    <row r="742" spans="4:14" x14ac:dyDescent="0.2">
      <c r="D742">
        <f t="shared" si="129"/>
        <v>719</v>
      </c>
      <c r="E742" s="1">
        <f t="shared" si="130"/>
        <v>-5.1617409904537306</v>
      </c>
      <c r="F742" s="1">
        <f t="shared" si="131"/>
        <v>-7.4974507049834607</v>
      </c>
      <c r="G742" s="1">
        <f t="shared" si="128"/>
        <v>5.5449614412597876E-4</v>
      </c>
      <c r="H742" s="1">
        <f t="shared" si="121"/>
        <v>5.7024885388530636E-6</v>
      </c>
      <c r="I742">
        <f t="shared" si="122"/>
        <v>10</v>
      </c>
      <c r="J742">
        <f t="shared" si="123"/>
        <v>705</v>
      </c>
      <c r="K742" s="5">
        <f t="shared" si="124"/>
        <v>0</v>
      </c>
      <c r="L742">
        <f t="shared" si="125"/>
        <v>95</v>
      </c>
      <c r="M742">
        <f t="shared" si="126"/>
        <v>1</v>
      </c>
      <c r="N742">
        <f t="shared" si="127"/>
        <v>0</v>
      </c>
    </row>
    <row r="743" spans="4:14" x14ac:dyDescent="0.2">
      <c r="D743">
        <f t="shared" si="129"/>
        <v>720</v>
      </c>
      <c r="E743" s="1">
        <f t="shared" si="130"/>
        <v>-5.1722122903210259</v>
      </c>
      <c r="F743" s="1">
        <f t="shared" si="131"/>
        <v>-7.507922004850756</v>
      </c>
      <c r="G743" s="1">
        <f t="shared" si="128"/>
        <v>5.4872014262466646E-4</v>
      </c>
      <c r="H743" s="1">
        <f t="shared" si="121"/>
        <v>5.6430876165733441E-6</v>
      </c>
      <c r="I743">
        <f t="shared" si="122"/>
        <v>10</v>
      </c>
      <c r="J743">
        <f t="shared" si="123"/>
        <v>706</v>
      </c>
      <c r="K743" s="5">
        <f t="shared" si="124"/>
        <v>0</v>
      </c>
      <c r="L743">
        <f t="shared" si="125"/>
        <v>95</v>
      </c>
      <c r="M743">
        <f t="shared" si="126"/>
        <v>1</v>
      </c>
      <c r="N743">
        <f t="shared" si="127"/>
        <v>0</v>
      </c>
    </row>
    <row r="744" spans="4:14" x14ac:dyDescent="0.2">
      <c r="D744">
        <f t="shared" si="129"/>
        <v>721</v>
      </c>
      <c r="E744" s="1">
        <f t="shared" si="130"/>
        <v>-5.1826835901883213</v>
      </c>
      <c r="F744" s="1">
        <f t="shared" si="131"/>
        <v>-7.5183933047180513</v>
      </c>
      <c r="G744" s="1">
        <f t="shared" si="128"/>
        <v>5.4300430780565958E-4</v>
      </c>
      <c r="H744" s="1">
        <f t="shared" si="121"/>
        <v>5.5843054539007054E-6</v>
      </c>
      <c r="I744">
        <f t="shared" si="122"/>
        <v>10</v>
      </c>
      <c r="J744">
        <f t="shared" si="123"/>
        <v>707</v>
      </c>
      <c r="K744" s="5">
        <f t="shared" si="124"/>
        <v>0</v>
      </c>
      <c r="L744">
        <f t="shared" si="125"/>
        <v>95</v>
      </c>
      <c r="M744">
        <f t="shared" si="126"/>
        <v>1</v>
      </c>
      <c r="N744">
        <f t="shared" si="127"/>
        <v>0</v>
      </c>
    </row>
    <row r="745" spans="4:14" x14ac:dyDescent="0.2">
      <c r="D745">
        <f t="shared" si="129"/>
        <v>722</v>
      </c>
      <c r="E745" s="1">
        <f t="shared" si="130"/>
        <v>-5.1931548900556166</v>
      </c>
      <c r="F745" s="1">
        <f t="shared" si="131"/>
        <v>-7.5288646045853467</v>
      </c>
      <c r="G745" s="1">
        <f t="shared" si="128"/>
        <v>5.37348012932684E-4</v>
      </c>
      <c r="H745" s="1">
        <f t="shared" si="121"/>
        <v>5.5261356054225735E-6</v>
      </c>
      <c r="I745">
        <f t="shared" si="122"/>
        <v>10</v>
      </c>
      <c r="J745">
        <f t="shared" si="123"/>
        <v>708</v>
      </c>
      <c r="K745" s="5">
        <f t="shared" si="124"/>
        <v>0</v>
      </c>
      <c r="L745">
        <f t="shared" si="125"/>
        <v>95</v>
      </c>
      <c r="M745">
        <f t="shared" si="126"/>
        <v>1</v>
      </c>
      <c r="N745">
        <f t="shared" si="127"/>
        <v>0</v>
      </c>
    </row>
    <row r="746" spans="4:14" x14ac:dyDescent="0.2">
      <c r="D746">
        <f t="shared" si="129"/>
        <v>723</v>
      </c>
      <c r="E746" s="1">
        <f t="shared" si="130"/>
        <v>-5.2036261899229119</v>
      </c>
      <c r="F746" s="1">
        <f t="shared" si="131"/>
        <v>-7.539335904452642</v>
      </c>
      <c r="G746" s="1">
        <f t="shared" si="128"/>
        <v>5.3175063779796862E-4</v>
      </c>
      <c r="H746" s="1">
        <f t="shared" si="121"/>
        <v>5.4685716928660893E-6</v>
      </c>
      <c r="I746">
        <f t="shared" si="122"/>
        <v>10</v>
      </c>
      <c r="J746">
        <f t="shared" si="123"/>
        <v>709</v>
      </c>
      <c r="K746" s="5">
        <f t="shared" si="124"/>
        <v>0</v>
      </c>
      <c r="L746">
        <f t="shared" si="125"/>
        <v>95</v>
      </c>
      <c r="M746">
        <f t="shared" si="126"/>
        <v>1</v>
      </c>
      <c r="N746">
        <f t="shared" si="127"/>
        <v>0</v>
      </c>
    </row>
    <row r="747" spans="4:14" x14ac:dyDescent="0.2">
      <c r="D747">
        <f t="shared" si="129"/>
        <v>724</v>
      </c>
      <c r="E747" s="1">
        <f t="shared" si="130"/>
        <v>-5.2140974897902073</v>
      </c>
      <c r="F747" s="1">
        <f t="shared" si="131"/>
        <v>-7.5498072043199373</v>
      </c>
      <c r="G747" s="1">
        <f t="shared" si="128"/>
        <v>5.2621156865423975E-4</v>
      </c>
      <c r="H747" s="1">
        <f t="shared" si="121"/>
        <v>5.4116074043987342E-6</v>
      </c>
      <c r="I747">
        <f t="shared" si="122"/>
        <v>10</v>
      </c>
      <c r="J747">
        <f t="shared" si="123"/>
        <v>710</v>
      </c>
      <c r="K747" s="5">
        <f t="shared" si="124"/>
        <v>0</v>
      </c>
      <c r="L747">
        <f t="shared" si="125"/>
        <v>95</v>
      </c>
      <c r="M747">
        <f t="shared" si="126"/>
        <v>1</v>
      </c>
      <c r="N747">
        <f t="shared" si="127"/>
        <v>0</v>
      </c>
    </row>
    <row r="748" spans="4:14" x14ac:dyDescent="0.2">
      <c r="D748">
        <f t="shared" si="129"/>
        <v>725</v>
      </c>
      <c r="E748" s="1">
        <f t="shared" si="130"/>
        <v>-5.2245687896575026</v>
      </c>
      <c r="F748" s="1">
        <f t="shared" si="131"/>
        <v>-7.5602785041872327</v>
      </c>
      <c r="G748" s="1">
        <f t="shared" si="128"/>
        <v>5.2073019814742486E-4</v>
      </c>
      <c r="H748" s="1">
        <f t="shared" si="121"/>
        <v>5.3552364939362477E-6</v>
      </c>
      <c r="I748">
        <f t="shared" si="122"/>
        <v>10</v>
      </c>
      <c r="J748">
        <f t="shared" si="123"/>
        <v>711</v>
      </c>
      <c r="K748" s="5">
        <f t="shared" si="124"/>
        <v>0</v>
      </c>
      <c r="L748">
        <f t="shared" si="125"/>
        <v>95</v>
      </c>
      <c r="M748">
        <f t="shared" si="126"/>
        <v>1</v>
      </c>
      <c r="N748">
        <f t="shared" si="127"/>
        <v>0</v>
      </c>
    </row>
    <row r="749" spans="4:14" x14ac:dyDescent="0.2">
      <c r="D749">
        <f t="shared" si="129"/>
        <v>726</v>
      </c>
      <c r="E749" s="1">
        <f t="shared" si="130"/>
        <v>-5.2350400895247979</v>
      </c>
      <c r="F749" s="1">
        <f t="shared" si="131"/>
        <v>-7.570749804054528</v>
      </c>
      <c r="G749" s="1">
        <f t="shared" si="128"/>
        <v>5.153059252500558E-4</v>
      </c>
      <c r="H749" s="1">
        <f t="shared" si="121"/>
        <v>5.2994527804577451E-6</v>
      </c>
      <c r="I749">
        <f t="shared" si="122"/>
        <v>10</v>
      </c>
      <c r="J749">
        <f t="shared" si="123"/>
        <v>712</v>
      </c>
      <c r="K749" s="5">
        <f t="shared" si="124"/>
        <v>0</v>
      </c>
      <c r="L749">
        <f t="shared" si="125"/>
        <v>95</v>
      </c>
      <c r="M749">
        <f t="shared" si="126"/>
        <v>1</v>
      </c>
      <c r="N749">
        <f t="shared" si="127"/>
        <v>0</v>
      </c>
    </row>
    <row r="750" spans="4:14" x14ac:dyDescent="0.2">
      <c r="D750">
        <f t="shared" si="129"/>
        <v>727</v>
      </c>
      <c r="E750" s="1">
        <f t="shared" si="130"/>
        <v>-5.2455113893920933</v>
      </c>
      <c r="F750" s="1">
        <f t="shared" si="131"/>
        <v>-7.5812211039218234</v>
      </c>
      <c r="G750" s="1">
        <f t="shared" si="128"/>
        <v>5.0993815519536777E-4</v>
      </c>
      <c r="H750" s="1">
        <f t="shared" si="121"/>
        <v>5.2442501473279775E-6</v>
      </c>
      <c r="I750">
        <f t="shared" si="122"/>
        <v>10</v>
      </c>
      <c r="J750">
        <f t="shared" si="123"/>
        <v>713</v>
      </c>
      <c r="K750" s="5">
        <f t="shared" si="124"/>
        <v>0</v>
      </c>
      <c r="L750">
        <f t="shared" si="125"/>
        <v>95</v>
      </c>
      <c r="M750">
        <f t="shared" si="126"/>
        <v>1</v>
      </c>
      <c r="N750">
        <f t="shared" si="127"/>
        <v>0</v>
      </c>
    </row>
    <row r="751" spans="4:14" x14ac:dyDescent="0.2">
      <c r="D751">
        <f t="shared" si="129"/>
        <v>728</v>
      </c>
      <c r="E751" s="1">
        <f t="shared" si="130"/>
        <v>-5.2559826892593886</v>
      </c>
      <c r="F751" s="1">
        <f t="shared" si="131"/>
        <v>-7.5916924037891187</v>
      </c>
      <c r="G751" s="1">
        <f t="shared" si="128"/>
        <v>5.0462629941208279E-4</v>
      </c>
      <c r="H751" s="1">
        <f t="shared" si="121"/>
        <v>5.1896225416266449E-6</v>
      </c>
      <c r="I751">
        <f t="shared" si="122"/>
        <v>10</v>
      </c>
      <c r="J751">
        <f t="shared" si="123"/>
        <v>714</v>
      </c>
      <c r="K751" s="5">
        <f t="shared" si="124"/>
        <v>0</v>
      </c>
      <c r="L751">
        <f t="shared" si="125"/>
        <v>95</v>
      </c>
      <c r="M751">
        <f t="shared" si="126"/>
        <v>1</v>
      </c>
      <c r="N751">
        <f t="shared" si="127"/>
        <v>0</v>
      </c>
    </row>
    <row r="752" spans="4:14" x14ac:dyDescent="0.2">
      <c r="D752">
        <f t="shared" si="129"/>
        <v>729</v>
      </c>
      <c r="E752" s="1">
        <f t="shared" si="130"/>
        <v>-5.2664539891266839</v>
      </c>
      <c r="F752" s="1">
        <f t="shared" si="131"/>
        <v>-7.602163703656414</v>
      </c>
      <c r="G752" s="1">
        <f t="shared" si="128"/>
        <v>4.9936977545987356E-4</v>
      </c>
      <c r="H752" s="1">
        <f t="shared" si="121"/>
        <v>5.1355639734847003E-6</v>
      </c>
      <c r="I752">
        <f t="shared" si="122"/>
        <v>10</v>
      </c>
      <c r="J752">
        <f t="shared" si="123"/>
        <v>715</v>
      </c>
      <c r="K752" s="5">
        <f t="shared" si="124"/>
        <v>0</v>
      </c>
      <c r="L752">
        <f t="shared" si="125"/>
        <v>95</v>
      </c>
      <c r="M752">
        <f t="shared" si="126"/>
        <v>1</v>
      </c>
      <c r="N752">
        <f t="shared" si="127"/>
        <v>0</v>
      </c>
    </row>
    <row r="753" spans="4:14" x14ac:dyDescent="0.2">
      <c r="D753">
        <f t="shared" si="129"/>
        <v>730</v>
      </c>
      <c r="E753" s="1">
        <f t="shared" si="130"/>
        <v>-5.2769252889939793</v>
      </c>
      <c r="F753" s="1">
        <f t="shared" si="131"/>
        <v>-7.6126350035237094</v>
      </c>
      <c r="G753" s="1">
        <f t="shared" si="128"/>
        <v>4.9416800696549992E-4</v>
      </c>
      <c r="H753" s="1">
        <f t="shared" si="121"/>
        <v>5.0820685154275689E-6</v>
      </c>
      <c r="I753">
        <f t="shared" si="122"/>
        <v>10</v>
      </c>
      <c r="J753">
        <f t="shared" si="123"/>
        <v>716</v>
      </c>
      <c r="K753" s="5">
        <f t="shared" si="124"/>
        <v>0</v>
      </c>
      <c r="L753">
        <f t="shared" si="125"/>
        <v>95</v>
      </c>
      <c r="M753">
        <f t="shared" si="126"/>
        <v>1</v>
      </c>
      <c r="N753">
        <f t="shared" si="127"/>
        <v>0</v>
      </c>
    </row>
    <row r="754" spans="4:14" x14ac:dyDescent="0.2">
      <c r="D754">
        <f t="shared" si="129"/>
        <v>731</v>
      </c>
      <c r="E754" s="1">
        <f t="shared" si="130"/>
        <v>-5.2873965888612746</v>
      </c>
      <c r="F754" s="1">
        <f t="shared" si="131"/>
        <v>-7.6231063033910047</v>
      </c>
      <c r="G754" s="1">
        <f t="shared" si="128"/>
        <v>4.8902042355960932E-4</v>
      </c>
      <c r="H754" s="1">
        <f t="shared" si="121"/>
        <v>5.0291303017251987E-6</v>
      </c>
      <c r="I754">
        <f t="shared" si="122"/>
        <v>10</v>
      </c>
      <c r="J754">
        <f t="shared" si="123"/>
        <v>717</v>
      </c>
      <c r="K754" s="5">
        <f t="shared" si="124"/>
        <v>0</v>
      </c>
      <c r="L754">
        <f t="shared" si="125"/>
        <v>95</v>
      </c>
      <c r="M754">
        <f t="shared" si="126"/>
        <v>1</v>
      </c>
      <c r="N754">
        <f t="shared" si="127"/>
        <v>0</v>
      </c>
    </row>
    <row r="755" spans="4:14" x14ac:dyDescent="0.2">
      <c r="D755">
        <f t="shared" si="129"/>
        <v>732</v>
      </c>
      <c r="E755" s="1">
        <f t="shared" si="130"/>
        <v>-5.29786788872857</v>
      </c>
      <c r="F755" s="1">
        <f t="shared" si="131"/>
        <v>-7.6335776032583</v>
      </c>
      <c r="G755" s="1">
        <f t="shared" si="128"/>
        <v>4.8392646081419678E-4</v>
      </c>
      <c r="H755" s="1">
        <f t="shared" si="121"/>
        <v>4.976743527748895E-6</v>
      </c>
      <c r="I755">
        <f t="shared" si="122"/>
        <v>10</v>
      </c>
      <c r="J755">
        <f t="shared" si="123"/>
        <v>718</v>
      </c>
      <c r="K755" s="5">
        <f t="shared" si="124"/>
        <v>0</v>
      </c>
      <c r="L755">
        <f t="shared" si="125"/>
        <v>95</v>
      </c>
      <c r="M755">
        <f t="shared" si="126"/>
        <v>1</v>
      </c>
      <c r="N755">
        <f t="shared" si="127"/>
        <v>0</v>
      </c>
    </row>
    <row r="756" spans="4:14" x14ac:dyDescent="0.2">
      <c r="D756">
        <f t="shared" si="129"/>
        <v>733</v>
      </c>
      <c r="E756" s="1">
        <f t="shared" si="130"/>
        <v>-5.3083391885958653</v>
      </c>
      <c r="F756" s="1">
        <f t="shared" si="131"/>
        <v>-7.6440489031255954</v>
      </c>
      <c r="G756" s="1">
        <f t="shared" si="128"/>
        <v>4.7888556018071558E-4</v>
      </c>
      <c r="H756" s="1">
        <f t="shared" si="121"/>
        <v>4.9249024493348439E-6</v>
      </c>
      <c r="I756">
        <f t="shared" si="122"/>
        <v>10</v>
      </c>
      <c r="J756">
        <f t="shared" si="123"/>
        <v>719</v>
      </c>
      <c r="K756" s="5">
        <f t="shared" si="124"/>
        <v>0</v>
      </c>
      <c r="L756">
        <f t="shared" si="125"/>
        <v>95</v>
      </c>
      <c r="M756">
        <f t="shared" si="126"/>
        <v>1</v>
      </c>
      <c r="N756">
        <f t="shared" si="127"/>
        <v>0</v>
      </c>
    </row>
    <row r="757" spans="4:14" x14ac:dyDescent="0.2">
      <c r="D757">
        <f t="shared" si="129"/>
        <v>734</v>
      </c>
      <c r="E757" s="1">
        <f t="shared" si="130"/>
        <v>-5.3188104884631606</v>
      </c>
      <c r="F757" s="1">
        <f t="shared" si="131"/>
        <v>-7.6545202029928907</v>
      </c>
      <c r="G757" s="1">
        <f t="shared" si="128"/>
        <v>4.7389716892883314E-4</v>
      </c>
      <c r="H757" s="1">
        <f t="shared" si="121"/>
        <v>4.873601382154273E-6</v>
      </c>
      <c r="I757">
        <f t="shared" si="122"/>
        <v>10</v>
      </c>
      <c r="J757">
        <f t="shared" si="123"/>
        <v>720</v>
      </c>
      <c r="K757" s="5">
        <f t="shared" si="124"/>
        <v>0</v>
      </c>
      <c r="L757">
        <f t="shared" si="125"/>
        <v>95</v>
      </c>
      <c r="M757">
        <f t="shared" si="126"/>
        <v>1</v>
      </c>
      <c r="N757">
        <f t="shared" si="127"/>
        <v>0</v>
      </c>
    </row>
    <row r="758" spans="4:14" x14ac:dyDescent="0.2">
      <c r="D758">
        <f t="shared" si="129"/>
        <v>735</v>
      </c>
      <c r="E758" s="1">
        <f t="shared" si="130"/>
        <v>-5.329281788330456</v>
      </c>
      <c r="F758" s="1">
        <f t="shared" si="131"/>
        <v>-7.664991502860186</v>
      </c>
      <c r="G758" s="1">
        <f t="shared" si="128"/>
        <v>4.6896074008582453E-4</v>
      </c>
      <c r="H758" s="1">
        <f t="shared" si="121"/>
        <v>4.8228347010901669E-6</v>
      </c>
      <c r="I758">
        <f t="shared" si="122"/>
        <v>10</v>
      </c>
      <c r="J758">
        <f t="shared" si="123"/>
        <v>721</v>
      </c>
      <c r="K758" s="5">
        <f t="shared" si="124"/>
        <v>0</v>
      </c>
      <c r="L758">
        <f t="shared" si="125"/>
        <v>95</v>
      </c>
      <c r="M758">
        <f t="shared" si="126"/>
        <v>1</v>
      </c>
      <c r="N758">
        <f t="shared" si="127"/>
        <v>0</v>
      </c>
    </row>
    <row r="759" spans="4:14" x14ac:dyDescent="0.2">
      <c r="D759">
        <f t="shared" si="129"/>
        <v>736</v>
      </c>
      <c r="E759" s="1">
        <f t="shared" si="130"/>
        <v>-5.3397530881977513</v>
      </c>
      <c r="F759" s="1">
        <f t="shared" si="131"/>
        <v>-7.6754628027274814</v>
      </c>
      <c r="G759" s="1">
        <f t="shared" si="128"/>
        <v>4.6407573237659724E-4</v>
      </c>
      <c r="H759" s="1">
        <f t="shared" si="121"/>
        <v>4.7725968396204778E-6</v>
      </c>
      <c r="I759">
        <f t="shared" si="122"/>
        <v>10</v>
      </c>
      <c r="J759">
        <f t="shared" si="123"/>
        <v>722</v>
      </c>
      <c r="K759" s="5">
        <f t="shared" si="124"/>
        <v>0</v>
      </c>
      <c r="L759">
        <f t="shared" si="125"/>
        <v>95</v>
      </c>
      <c r="M759">
        <f t="shared" si="126"/>
        <v>1</v>
      </c>
      <c r="N759">
        <f t="shared" si="127"/>
        <v>0</v>
      </c>
    </row>
    <row r="760" spans="4:14" x14ac:dyDescent="0.2">
      <c r="D760">
        <f t="shared" si="129"/>
        <v>737</v>
      </c>
      <c r="E760" s="1">
        <f t="shared" si="130"/>
        <v>-5.3502243880650466</v>
      </c>
      <c r="F760" s="1">
        <f t="shared" si="131"/>
        <v>-7.6859341025947767</v>
      </c>
      <c r="G760" s="1">
        <f t="shared" si="128"/>
        <v>4.5924161016434103E-4</v>
      </c>
      <c r="H760" s="1">
        <f t="shared" si="121"/>
        <v>4.7228822892077651E-6</v>
      </c>
      <c r="I760">
        <f t="shared" si="122"/>
        <v>10</v>
      </c>
      <c r="J760">
        <f t="shared" si="123"/>
        <v>723</v>
      </c>
      <c r="K760" s="5">
        <f t="shared" si="124"/>
        <v>0</v>
      </c>
      <c r="L760">
        <f t="shared" si="125"/>
        <v>95</v>
      </c>
      <c r="M760">
        <f t="shared" si="126"/>
        <v>1</v>
      </c>
      <c r="N760">
        <f t="shared" si="127"/>
        <v>0</v>
      </c>
    </row>
    <row r="761" spans="4:14" x14ac:dyDescent="0.2">
      <c r="D761">
        <f t="shared" si="129"/>
        <v>738</v>
      </c>
      <c r="E761" s="1">
        <f t="shared" si="130"/>
        <v>-5.360695687932342</v>
      </c>
      <c r="F761" s="1">
        <f t="shared" si="131"/>
        <v>-7.6964054024620721</v>
      </c>
      <c r="G761" s="1">
        <f t="shared" si="128"/>
        <v>4.5445784339179582E-4</v>
      </c>
      <c r="H761" s="1">
        <f t="shared" si="121"/>
        <v>4.673685598695184E-6</v>
      </c>
      <c r="I761">
        <f t="shared" si="122"/>
        <v>10</v>
      </c>
      <c r="J761">
        <f t="shared" si="123"/>
        <v>724</v>
      </c>
      <c r="K761" s="5">
        <f t="shared" si="124"/>
        <v>0</v>
      </c>
      <c r="L761">
        <f t="shared" si="125"/>
        <v>95</v>
      </c>
      <c r="M761">
        <f t="shared" si="126"/>
        <v>1</v>
      </c>
      <c r="N761">
        <f t="shared" si="127"/>
        <v>0</v>
      </c>
    </row>
    <row r="762" spans="4:14" x14ac:dyDescent="0.2">
      <c r="D762">
        <f t="shared" si="129"/>
        <v>739</v>
      </c>
      <c r="E762" s="1">
        <f t="shared" si="130"/>
        <v>-5.3711669877996373</v>
      </c>
      <c r="F762" s="1">
        <f t="shared" si="131"/>
        <v>-7.7068767023293674</v>
      </c>
      <c r="G762" s="1">
        <f t="shared" si="128"/>
        <v>4.4972390752313131E-4</v>
      </c>
      <c r="H762" s="1">
        <f t="shared" si="121"/>
        <v>4.6250013737087764E-6</v>
      </c>
      <c r="I762">
        <f t="shared" si="122"/>
        <v>10</v>
      </c>
      <c r="J762">
        <f t="shared" si="123"/>
        <v>725</v>
      </c>
      <c r="K762" s="5">
        <f t="shared" si="124"/>
        <v>0</v>
      </c>
      <c r="L762">
        <f t="shared" si="125"/>
        <v>95</v>
      </c>
      <c r="M762">
        <f t="shared" si="126"/>
        <v>1</v>
      </c>
      <c r="N762">
        <f t="shared" si="127"/>
        <v>0</v>
      </c>
    </row>
    <row r="763" spans="4:14" x14ac:dyDescent="0.2">
      <c r="D763">
        <f t="shared" si="129"/>
        <v>740</v>
      </c>
      <c r="E763" s="1">
        <f t="shared" si="130"/>
        <v>-5.3816382876669326</v>
      </c>
      <c r="F763" s="1">
        <f t="shared" si="131"/>
        <v>-7.7173480021966627</v>
      </c>
      <c r="G763" s="1">
        <f t="shared" si="128"/>
        <v>4.4503928348643208E-4</v>
      </c>
      <c r="H763" s="1">
        <f t="shared" si="121"/>
        <v>4.5768242760659766E-6</v>
      </c>
      <c r="I763">
        <f t="shared" si="122"/>
        <v>10</v>
      </c>
      <c r="J763">
        <f t="shared" si="123"/>
        <v>726</v>
      </c>
      <c r="K763" s="5">
        <f t="shared" si="124"/>
        <v>0</v>
      </c>
      <c r="L763">
        <f t="shared" si="125"/>
        <v>95</v>
      </c>
      <c r="M763">
        <f t="shared" si="126"/>
        <v>1</v>
      </c>
      <c r="N763">
        <f t="shared" si="127"/>
        <v>0</v>
      </c>
    </row>
    <row r="764" spans="4:14" x14ac:dyDescent="0.2">
      <c r="D764">
        <f t="shared" si="129"/>
        <v>741</v>
      </c>
      <c r="E764" s="1">
        <f t="shared" si="130"/>
        <v>-5.3921095875342289</v>
      </c>
      <c r="F764" s="1">
        <f t="shared" si="131"/>
        <v>-7.727819302063959</v>
      </c>
      <c r="G764" s="1">
        <f t="shared" si="128"/>
        <v>4.404034576167814E-4</v>
      </c>
      <c r="H764" s="1">
        <f t="shared" si="121"/>
        <v>4.529149023190286E-6</v>
      </c>
      <c r="I764">
        <f t="shared" si="122"/>
        <v>10</v>
      </c>
      <c r="J764">
        <f t="shared" si="123"/>
        <v>727</v>
      </c>
      <c r="K764" s="5">
        <f t="shared" si="124"/>
        <v>0</v>
      </c>
      <c r="L764">
        <f t="shared" si="125"/>
        <v>95</v>
      </c>
      <c r="M764">
        <f t="shared" si="126"/>
        <v>1</v>
      </c>
      <c r="N764">
        <f t="shared" si="127"/>
        <v>0</v>
      </c>
    </row>
    <row r="765" spans="4:14" x14ac:dyDescent="0.2">
      <c r="D765">
        <f t="shared" si="129"/>
        <v>742</v>
      </c>
      <c r="E765" s="1">
        <f t="shared" si="130"/>
        <v>-5.4025808874015251</v>
      </c>
      <c r="F765" s="1">
        <f t="shared" si="131"/>
        <v>-7.7382906019312552</v>
      </c>
      <c r="G765" s="1">
        <f t="shared" si="128"/>
        <v>4.3581592159993952E-4</v>
      </c>
      <c r="H765" s="1">
        <f t="shared" si="121"/>
        <v>4.4819703875320501E-6</v>
      </c>
      <c r="I765">
        <f t="shared" si="122"/>
        <v>10</v>
      </c>
      <c r="J765">
        <f t="shared" si="123"/>
        <v>728</v>
      </c>
      <c r="K765" s="5">
        <f t="shared" si="124"/>
        <v>0</v>
      </c>
      <c r="L765">
        <f t="shared" si="125"/>
        <v>95</v>
      </c>
      <c r="M765">
        <f t="shared" si="126"/>
        <v>1</v>
      </c>
      <c r="N765">
        <f t="shared" si="127"/>
        <v>0</v>
      </c>
    </row>
    <row r="766" spans="4:14" x14ac:dyDescent="0.2">
      <c r="D766">
        <f t="shared" si="129"/>
        <v>743</v>
      </c>
      <c r="E766" s="1">
        <f t="shared" si="130"/>
        <v>-5.4130521872688213</v>
      </c>
      <c r="F766" s="1">
        <f t="shared" si="131"/>
        <v>-7.7487619017985514</v>
      </c>
      <c r="G766" s="1">
        <f t="shared" si="128"/>
        <v>4.3127617241660651E-4</v>
      </c>
      <c r="H766" s="1">
        <f t="shared" si="121"/>
        <v>4.4352831959952542E-6</v>
      </c>
      <c r="I766">
        <f t="shared" si="122"/>
        <v>10</v>
      </c>
      <c r="J766">
        <f t="shared" si="123"/>
        <v>729</v>
      </c>
      <c r="K766" s="5">
        <f t="shared" si="124"/>
        <v>0</v>
      </c>
      <c r="L766">
        <f t="shared" si="125"/>
        <v>95</v>
      </c>
      <c r="M766">
        <f t="shared" si="126"/>
        <v>1</v>
      </c>
      <c r="N766">
        <f t="shared" si="127"/>
        <v>0</v>
      </c>
    </row>
    <row r="767" spans="4:14" x14ac:dyDescent="0.2">
      <c r="D767">
        <f t="shared" si="129"/>
        <v>744</v>
      </c>
      <c r="E767" s="1">
        <f t="shared" si="130"/>
        <v>-5.4235234871361175</v>
      </c>
      <c r="F767" s="1">
        <f t="shared" si="131"/>
        <v>-7.7592332016658476</v>
      </c>
      <c r="G767" s="1">
        <f t="shared" si="128"/>
        <v>4.2678371228726646E-4</v>
      </c>
      <c r="H767" s="1">
        <f t="shared" si="121"/>
        <v>4.3890823293702997E-6</v>
      </c>
      <c r="I767">
        <f t="shared" si="122"/>
        <v>10</v>
      </c>
      <c r="J767">
        <f t="shared" si="123"/>
        <v>730</v>
      </c>
      <c r="K767" s="5">
        <f t="shared" si="124"/>
        <v>0</v>
      </c>
      <c r="L767">
        <f t="shared" si="125"/>
        <v>95</v>
      </c>
      <c r="M767">
        <f t="shared" si="126"/>
        <v>1</v>
      </c>
      <c r="N767">
        <f t="shared" si="127"/>
        <v>0</v>
      </c>
    </row>
    <row r="768" spans="4:14" x14ac:dyDescent="0.2">
      <c r="D768">
        <f t="shared" si="129"/>
        <v>745</v>
      </c>
      <c r="E768" s="1">
        <f t="shared" si="130"/>
        <v>-5.4339947870034138</v>
      </c>
      <c r="F768" s="1">
        <f t="shared" si="131"/>
        <v>-7.7697045015331438</v>
      </c>
      <c r="G768" s="1">
        <f t="shared" si="128"/>
        <v>4.2233804861760714E-4</v>
      </c>
      <c r="H768" s="1">
        <f t="shared" si="121"/>
        <v>4.3433627217726893E-6</v>
      </c>
      <c r="I768">
        <f t="shared" si="122"/>
        <v>10</v>
      </c>
      <c r="J768">
        <f t="shared" si="123"/>
        <v>731</v>
      </c>
      <c r="K768" s="5">
        <f t="shared" si="124"/>
        <v>0</v>
      </c>
      <c r="L768">
        <f t="shared" si="125"/>
        <v>95</v>
      </c>
      <c r="M768">
        <f t="shared" si="126"/>
        <v>1</v>
      </c>
      <c r="N768">
        <f t="shared" si="127"/>
        <v>0</v>
      </c>
    </row>
    <row r="769" spans="4:14" x14ac:dyDescent="0.2">
      <c r="D769">
        <f t="shared" si="129"/>
        <v>746</v>
      </c>
      <c r="E769" s="1">
        <f t="shared" si="130"/>
        <v>-5.44446608687071</v>
      </c>
      <c r="F769" s="1">
        <f t="shared" si="131"/>
        <v>-7.7801758014004401</v>
      </c>
      <c r="G769" s="1">
        <f t="shared" si="128"/>
        <v>4.179386939445067E-4</v>
      </c>
      <c r="H769" s="1">
        <f t="shared" si="121"/>
        <v>4.2981193600875539E-6</v>
      </c>
      <c r="I769">
        <f t="shared" si="122"/>
        <v>10</v>
      </c>
      <c r="J769">
        <f t="shared" si="123"/>
        <v>732</v>
      </c>
      <c r="K769" s="5">
        <f t="shared" si="124"/>
        <v>0</v>
      </c>
      <c r="L769">
        <f t="shared" si="125"/>
        <v>95</v>
      </c>
      <c r="M769">
        <f t="shared" si="126"/>
        <v>1</v>
      </c>
      <c r="N769">
        <f t="shared" si="127"/>
        <v>0</v>
      </c>
    </row>
    <row r="770" spans="4:14" x14ac:dyDescent="0.2">
      <c r="D770">
        <f t="shared" si="129"/>
        <v>747</v>
      </c>
      <c r="E770" s="1">
        <f t="shared" si="130"/>
        <v>-5.4549373867380062</v>
      </c>
      <c r="F770" s="1">
        <f t="shared" si="131"/>
        <v>-7.7906471012677363</v>
      </c>
      <c r="G770" s="1">
        <f t="shared" si="128"/>
        <v>4.1358516588258442E-4</v>
      </c>
      <c r="H770" s="1">
        <f t="shared" si="121"/>
        <v>4.2533472834199717E-6</v>
      </c>
      <c r="I770">
        <f t="shared" si="122"/>
        <v>10</v>
      </c>
      <c r="J770">
        <f t="shared" si="123"/>
        <v>733</v>
      </c>
      <c r="K770" s="5">
        <f t="shared" si="124"/>
        <v>0</v>
      </c>
      <c r="L770">
        <f t="shared" si="125"/>
        <v>95</v>
      </c>
      <c r="M770">
        <f t="shared" si="126"/>
        <v>1</v>
      </c>
      <c r="N770">
        <f t="shared" si="127"/>
        <v>0</v>
      </c>
    </row>
    <row r="771" spans="4:14" x14ac:dyDescent="0.2">
      <c r="D771">
        <f t="shared" si="129"/>
        <v>748</v>
      </c>
      <c r="E771" s="1">
        <f t="shared" si="130"/>
        <v>-5.4654086866053024</v>
      </c>
      <c r="F771" s="1">
        <f t="shared" si="131"/>
        <v>-7.8011184011350325</v>
      </c>
      <c r="G771" s="1">
        <f t="shared" si="128"/>
        <v>4.0927698707130715E-4</v>
      </c>
      <c r="H771" s="1">
        <f t="shared" si="121"/>
        <v>4.2090415825510095E-6</v>
      </c>
      <c r="I771">
        <f t="shared" si="122"/>
        <v>10</v>
      </c>
      <c r="J771">
        <f t="shared" si="123"/>
        <v>734</v>
      </c>
      <c r="K771" s="5">
        <f t="shared" si="124"/>
        <v>0</v>
      </c>
      <c r="L771">
        <f t="shared" si="125"/>
        <v>95</v>
      </c>
      <c r="M771">
        <f t="shared" si="126"/>
        <v>1</v>
      </c>
      <c r="N771">
        <f t="shared" si="127"/>
        <v>0</v>
      </c>
    </row>
    <row r="772" spans="4:14" x14ac:dyDescent="0.2">
      <c r="D772">
        <f t="shared" si="129"/>
        <v>749</v>
      </c>
      <c r="E772" s="1">
        <f t="shared" si="130"/>
        <v>-5.4758799864725987</v>
      </c>
      <c r="F772" s="1">
        <f t="shared" si="131"/>
        <v>-7.8115897010023287</v>
      </c>
      <c r="G772" s="1">
        <f t="shared" si="128"/>
        <v>4.0501368512264738E-4</v>
      </c>
      <c r="H772" s="1">
        <f t="shared" si="121"/>
        <v>4.1651973993994336E-6</v>
      </c>
      <c r="I772">
        <f t="shared" si="122"/>
        <v>10</v>
      </c>
      <c r="J772">
        <f t="shared" si="123"/>
        <v>735</v>
      </c>
      <c r="K772" s="5">
        <f t="shared" si="124"/>
        <v>0</v>
      </c>
      <c r="L772">
        <f t="shared" si="125"/>
        <v>95</v>
      </c>
      <c r="M772">
        <f t="shared" si="126"/>
        <v>1</v>
      </c>
      <c r="N772">
        <f t="shared" si="127"/>
        <v>0</v>
      </c>
    </row>
    <row r="773" spans="4:14" x14ac:dyDescent="0.2">
      <c r="D773">
        <f t="shared" si="129"/>
        <v>750</v>
      </c>
      <c r="E773" s="1">
        <f t="shared" si="130"/>
        <v>-5.4863512863398949</v>
      </c>
      <c r="F773" s="1">
        <f t="shared" si="131"/>
        <v>-7.822061000869625</v>
      </c>
      <c r="G773" s="1">
        <f t="shared" si="128"/>
        <v>4.0079479256928613E-4</v>
      </c>
      <c r="H773" s="1">
        <f t="shared" si="121"/>
        <v>4.1218099264890191E-6</v>
      </c>
      <c r="I773">
        <f t="shared" si="122"/>
        <v>10</v>
      </c>
      <c r="J773">
        <f t="shared" si="123"/>
        <v>736</v>
      </c>
      <c r="K773" s="5">
        <f t="shared" si="124"/>
        <v>0</v>
      </c>
      <c r="L773">
        <f t="shared" si="125"/>
        <v>95</v>
      </c>
      <c r="M773">
        <f t="shared" si="126"/>
        <v>1</v>
      </c>
      <c r="N773">
        <f t="shared" si="127"/>
        <v>0</v>
      </c>
    </row>
    <row r="774" spans="4:14" x14ac:dyDescent="0.2">
      <c r="D774">
        <f t="shared" si="129"/>
        <v>751</v>
      </c>
      <c r="E774" s="1">
        <f t="shared" si="130"/>
        <v>-5.4968225862071911</v>
      </c>
      <c r="F774" s="1">
        <f t="shared" si="131"/>
        <v>-7.8325323007369212</v>
      </c>
      <c r="G774" s="1">
        <f t="shared" si="128"/>
        <v>3.9661984681335573E-4</v>
      </c>
      <c r="H774" s="1">
        <f t="shared" si="121"/>
        <v>4.0788744064214215E-6</v>
      </c>
      <c r="I774">
        <f t="shared" si="122"/>
        <v>10</v>
      </c>
      <c r="J774">
        <f t="shared" si="123"/>
        <v>737</v>
      </c>
      <c r="K774" s="5">
        <f t="shared" si="124"/>
        <v>0</v>
      </c>
      <c r="L774">
        <f t="shared" si="125"/>
        <v>95</v>
      </c>
      <c r="M774">
        <f t="shared" si="126"/>
        <v>1</v>
      </c>
      <c r="N774">
        <f t="shared" si="127"/>
        <v>0</v>
      </c>
    </row>
    <row r="775" spans="4:14" x14ac:dyDescent="0.2">
      <c r="D775">
        <f t="shared" si="129"/>
        <v>752</v>
      </c>
      <c r="E775" s="1">
        <f t="shared" si="130"/>
        <v>-5.5072938860744873</v>
      </c>
      <c r="F775" s="1">
        <f t="shared" si="131"/>
        <v>-7.8430036006042174</v>
      </c>
      <c r="G775" s="1">
        <f t="shared" si="128"/>
        <v>3.9248839007571628E-4</v>
      </c>
      <c r="H775" s="1">
        <f t="shared" si="121"/>
        <v>4.0363861313545288E-6</v>
      </c>
      <c r="I775">
        <f t="shared" si="122"/>
        <v>10</v>
      </c>
      <c r="J775">
        <f t="shared" si="123"/>
        <v>738</v>
      </c>
      <c r="K775" s="5">
        <f t="shared" si="124"/>
        <v>0</v>
      </c>
      <c r="L775">
        <f t="shared" si="125"/>
        <v>95</v>
      </c>
      <c r="M775">
        <f t="shared" si="126"/>
        <v>1</v>
      </c>
      <c r="N775">
        <f t="shared" si="127"/>
        <v>0</v>
      </c>
    </row>
    <row r="776" spans="4:14" x14ac:dyDescent="0.2">
      <c r="D776">
        <f t="shared" si="129"/>
        <v>753</v>
      </c>
      <c r="E776" s="1">
        <f t="shared" si="130"/>
        <v>-5.5177651859417836</v>
      </c>
      <c r="F776" s="1">
        <f t="shared" si="131"/>
        <v>-7.8534749004715136</v>
      </c>
      <c r="G776" s="1">
        <f t="shared" si="128"/>
        <v>3.8839996934576061E-4</v>
      </c>
      <c r="H776" s="1">
        <f t="shared" si="121"/>
        <v>3.9943404424862494E-6</v>
      </c>
      <c r="I776">
        <f t="shared" si="122"/>
        <v>10</v>
      </c>
      <c r="J776">
        <f t="shared" si="123"/>
        <v>739</v>
      </c>
      <c r="K776" s="5">
        <f t="shared" si="124"/>
        <v>0</v>
      </c>
      <c r="L776">
        <f t="shared" si="125"/>
        <v>95</v>
      </c>
      <c r="M776">
        <f t="shared" si="126"/>
        <v>1</v>
      </c>
      <c r="N776">
        <f t="shared" si="127"/>
        <v>0</v>
      </c>
    </row>
    <row r="777" spans="4:14" x14ac:dyDescent="0.2">
      <c r="D777">
        <f t="shared" si="129"/>
        <v>754</v>
      </c>
      <c r="E777" s="1">
        <f t="shared" si="130"/>
        <v>-5.5282364858090798</v>
      </c>
      <c r="F777" s="1">
        <f t="shared" si="131"/>
        <v>-7.8639462003388099</v>
      </c>
      <c r="G777" s="1">
        <f t="shared" si="128"/>
        <v>3.8435413633174196E-4</v>
      </c>
      <c r="H777" s="1">
        <f t="shared" si="121"/>
        <v>3.9527327295436807E-6</v>
      </c>
      <c r="I777">
        <f t="shared" si="122"/>
        <v>10</v>
      </c>
      <c r="J777">
        <f t="shared" si="123"/>
        <v>740</v>
      </c>
      <c r="K777" s="5">
        <f t="shared" si="124"/>
        <v>0</v>
      </c>
      <c r="L777">
        <f t="shared" si="125"/>
        <v>95</v>
      </c>
      <c r="M777">
        <f t="shared" si="126"/>
        <v>1</v>
      </c>
      <c r="N777">
        <f t="shared" si="127"/>
        <v>0</v>
      </c>
    </row>
    <row r="778" spans="4:14" x14ac:dyDescent="0.2">
      <c r="D778">
        <f t="shared" si="129"/>
        <v>755</v>
      </c>
      <c r="E778" s="1">
        <f t="shared" si="130"/>
        <v>-5.538707785676376</v>
      </c>
      <c r="F778" s="1">
        <f t="shared" si="131"/>
        <v>-7.8744175002061061</v>
      </c>
      <c r="G778" s="1">
        <f t="shared" si="128"/>
        <v>3.8035044741161931E-4</v>
      </c>
      <c r="H778" s="1">
        <f t="shared" si="121"/>
        <v>3.9115584302775974E-6</v>
      </c>
      <c r="I778">
        <f t="shared" si="122"/>
        <v>10</v>
      </c>
      <c r="J778">
        <f t="shared" si="123"/>
        <v>741</v>
      </c>
      <c r="K778" s="5">
        <f t="shared" si="124"/>
        <v>0</v>
      </c>
      <c r="L778">
        <f t="shared" si="125"/>
        <v>95</v>
      </c>
      <c r="M778">
        <f t="shared" si="126"/>
        <v>1</v>
      </c>
      <c r="N778">
        <f t="shared" si="127"/>
        <v>0</v>
      </c>
    </row>
    <row r="779" spans="4:14" x14ac:dyDescent="0.2">
      <c r="D779">
        <f t="shared" si="129"/>
        <v>756</v>
      </c>
      <c r="E779" s="1">
        <f t="shared" si="130"/>
        <v>-5.5491790855436722</v>
      </c>
      <c r="F779" s="1">
        <f t="shared" si="131"/>
        <v>-7.8848888000734023</v>
      </c>
      <c r="G779" s="1">
        <f t="shared" si="128"/>
        <v>3.7638846358441463E-4</v>
      </c>
      <c r="H779" s="1">
        <f t="shared" si="121"/>
        <v>3.8708130299622023E-6</v>
      </c>
      <c r="I779">
        <f t="shared" si="122"/>
        <v>10</v>
      </c>
      <c r="J779">
        <f t="shared" si="123"/>
        <v>742</v>
      </c>
      <c r="K779" s="5">
        <f t="shared" si="124"/>
        <v>0</v>
      </c>
      <c r="L779">
        <f t="shared" si="125"/>
        <v>95</v>
      </c>
      <c r="M779">
        <f t="shared" si="126"/>
        <v>1</v>
      </c>
      <c r="N779">
        <f t="shared" si="127"/>
        <v>0</v>
      </c>
    </row>
    <row r="780" spans="4:14" x14ac:dyDescent="0.2">
      <c r="D780">
        <f t="shared" si="129"/>
        <v>757</v>
      </c>
      <c r="E780" s="1">
        <f t="shared" si="130"/>
        <v>-5.5596503854109685</v>
      </c>
      <c r="F780" s="1">
        <f t="shared" si="131"/>
        <v>-7.8953600999406985</v>
      </c>
      <c r="G780" s="1">
        <f t="shared" si="128"/>
        <v>3.7246775042207672E-4</v>
      </c>
      <c r="H780" s="1">
        <f t="shared" si="121"/>
        <v>3.8304920609000941E-6</v>
      </c>
      <c r="I780">
        <f t="shared" si="122"/>
        <v>10</v>
      </c>
      <c r="J780">
        <f t="shared" si="123"/>
        <v>743</v>
      </c>
      <c r="K780" s="5">
        <f t="shared" si="124"/>
        <v>0</v>
      </c>
      <c r="L780">
        <f t="shared" si="125"/>
        <v>95</v>
      </c>
      <c r="M780">
        <f t="shared" si="126"/>
        <v>1</v>
      </c>
      <c r="N780">
        <f t="shared" si="127"/>
        <v>0</v>
      </c>
    </row>
    <row r="781" spans="4:14" x14ac:dyDescent="0.2">
      <c r="D781">
        <f t="shared" si="129"/>
        <v>758</v>
      </c>
      <c r="E781" s="1">
        <f t="shared" si="130"/>
        <v>-5.5701216852782647</v>
      </c>
      <c r="F781" s="1">
        <f t="shared" si="131"/>
        <v>-7.9058313998079948</v>
      </c>
      <c r="G781" s="1">
        <f t="shared" si="128"/>
        <v>3.6858787802184645E-4</v>
      </c>
      <c r="H781" s="1">
        <f t="shared" si="121"/>
        <v>3.7905911019323812E-6</v>
      </c>
      <c r="I781">
        <f t="shared" si="122"/>
        <v>10</v>
      </c>
      <c r="J781">
        <f t="shared" si="123"/>
        <v>744</v>
      </c>
      <c r="K781" s="5">
        <f t="shared" si="124"/>
        <v>0</v>
      </c>
      <c r="L781">
        <f t="shared" si="125"/>
        <v>95</v>
      </c>
      <c r="M781">
        <f t="shared" si="126"/>
        <v>1</v>
      </c>
      <c r="N781">
        <f t="shared" si="127"/>
        <v>0</v>
      </c>
    </row>
    <row r="782" spans="4:14" x14ac:dyDescent="0.2">
      <c r="D782">
        <f t="shared" si="129"/>
        <v>759</v>
      </c>
      <c r="E782" s="1">
        <f t="shared" si="130"/>
        <v>-5.5805929851455609</v>
      </c>
      <c r="F782" s="1">
        <f t="shared" si="131"/>
        <v>-7.916302699675291</v>
      </c>
      <c r="G782" s="1">
        <f t="shared" si="128"/>
        <v>3.6474842095911855E-4</v>
      </c>
      <c r="H782" s="1">
        <f t="shared" si="121"/>
        <v>3.7511057779539154E-6</v>
      </c>
      <c r="I782">
        <f t="shared" si="122"/>
        <v>10</v>
      </c>
      <c r="J782">
        <f t="shared" si="123"/>
        <v>745</v>
      </c>
      <c r="K782" s="5">
        <f t="shared" si="124"/>
        <v>0</v>
      </c>
      <c r="L782">
        <f t="shared" si="125"/>
        <v>95</v>
      </c>
      <c r="M782">
        <f t="shared" si="126"/>
        <v>1</v>
      </c>
      <c r="N782">
        <f t="shared" si="127"/>
        <v>0</v>
      </c>
    </row>
    <row r="783" spans="4:14" x14ac:dyDescent="0.2">
      <c r="D783">
        <f t="shared" si="129"/>
        <v>760</v>
      </c>
      <c r="E783" s="1">
        <f t="shared" si="130"/>
        <v>-5.5910642850128571</v>
      </c>
      <c r="F783" s="1">
        <f t="shared" si="131"/>
        <v>-7.9267739995425872</v>
      </c>
      <c r="G783" s="1">
        <f t="shared" si="128"/>
        <v>3.609489582407941E-4</v>
      </c>
      <c r="H783" s="1">
        <f t="shared" si="121"/>
        <v>3.7120317594335592E-6</v>
      </c>
      <c r="I783">
        <f t="shared" si="122"/>
        <v>10</v>
      </c>
      <c r="J783">
        <f t="shared" si="123"/>
        <v>746</v>
      </c>
      <c r="K783" s="5">
        <f t="shared" si="124"/>
        <v>0</v>
      </c>
      <c r="L783">
        <f t="shared" si="125"/>
        <v>95</v>
      </c>
      <c r="M783">
        <f t="shared" si="126"/>
        <v>1</v>
      </c>
      <c r="N783">
        <f t="shared" si="127"/>
        <v>0</v>
      </c>
    </row>
    <row r="784" spans="4:14" x14ac:dyDescent="0.2">
      <c r="D784">
        <f t="shared" si="129"/>
        <v>761</v>
      </c>
      <c r="E784" s="1">
        <f t="shared" si="130"/>
        <v>-5.6015355848801534</v>
      </c>
      <c r="F784" s="1">
        <f t="shared" si="131"/>
        <v>-7.9372452994098834</v>
      </c>
      <c r="G784" s="1">
        <f t="shared" si="128"/>
        <v>3.5718907325911888E-4</v>
      </c>
      <c r="H784" s="1">
        <f t="shared" si="121"/>
        <v>3.6733647619394568E-6</v>
      </c>
      <c r="I784">
        <f t="shared" si="122"/>
        <v>10</v>
      </c>
      <c r="J784">
        <f t="shared" si="123"/>
        <v>747</v>
      </c>
      <c r="K784" s="5">
        <f t="shared" si="124"/>
        <v>0</v>
      </c>
      <c r="L784">
        <f t="shared" si="125"/>
        <v>95</v>
      </c>
      <c r="M784">
        <f t="shared" si="126"/>
        <v>1</v>
      </c>
      <c r="N784">
        <f t="shared" si="127"/>
        <v>0</v>
      </c>
    </row>
    <row r="785" spans="4:14" x14ac:dyDescent="0.2">
      <c r="D785">
        <f t="shared" si="129"/>
        <v>762</v>
      </c>
      <c r="E785" s="1">
        <f t="shared" si="130"/>
        <v>-5.6120068847474496</v>
      </c>
      <c r="F785" s="1">
        <f t="shared" si="131"/>
        <v>-7.9477165992771797</v>
      </c>
      <c r="G785" s="1">
        <f t="shared" si="128"/>
        <v>3.5346835374600277E-4</v>
      </c>
      <c r="H785" s="1">
        <f t="shared" si="121"/>
        <v>3.6351005456692512E-6</v>
      </c>
      <c r="I785">
        <f t="shared" si="122"/>
        <v>10</v>
      </c>
      <c r="J785">
        <f t="shared" si="123"/>
        <v>748</v>
      </c>
      <c r="K785" s="5">
        <f t="shared" si="124"/>
        <v>0</v>
      </c>
      <c r="L785">
        <f t="shared" si="125"/>
        <v>95</v>
      </c>
      <c r="M785">
        <f t="shared" si="126"/>
        <v>1</v>
      </c>
      <c r="N785">
        <f t="shared" si="127"/>
        <v>0</v>
      </c>
    </row>
    <row r="786" spans="4:14" x14ac:dyDescent="0.2">
      <c r="D786">
        <f t="shared" si="129"/>
        <v>763</v>
      </c>
      <c r="E786" s="1">
        <f t="shared" si="130"/>
        <v>-5.6224781846147458</v>
      </c>
      <c r="F786" s="1">
        <f t="shared" si="131"/>
        <v>-7.9581878991444759</v>
      </c>
      <c r="G786" s="1">
        <f t="shared" si="128"/>
        <v>3.4978639172781494E-4</v>
      </c>
      <c r="H786" s="1">
        <f t="shared" si="121"/>
        <v>3.5972349149851932E-6</v>
      </c>
      <c r="I786">
        <f t="shared" si="122"/>
        <v>10</v>
      </c>
      <c r="J786">
        <f t="shared" si="123"/>
        <v>749</v>
      </c>
      <c r="K786" s="5">
        <f t="shared" si="124"/>
        <v>0</v>
      </c>
      <c r="L786">
        <f t="shared" si="125"/>
        <v>95</v>
      </c>
      <c r="M786">
        <f t="shared" si="126"/>
        <v>1</v>
      </c>
      <c r="N786">
        <f t="shared" si="127"/>
        <v>0</v>
      </c>
    </row>
    <row r="787" spans="4:14" x14ac:dyDescent="0.2">
      <c r="D787">
        <f t="shared" si="129"/>
        <v>764</v>
      </c>
      <c r="E787" s="1">
        <f t="shared" si="130"/>
        <v>-5.632949484482042</v>
      </c>
      <c r="F787" s="1">
        <f t="shared" si="131"/>
        <v>-7.9686591990117721</v>
      </c>
      <c r="G787" s="1">
        <f t="shared" si="128"/>
        <v>3.4614278348064995E-4</v>
      </c>
      <c r="H787" s="1">
        <f t="shared" si="121"/>
        <v>3.5597637179540951E-6</v>
      </c>
      <c r="I787">
        <f t="shared" si="122"/>
        <v>10</v>
      </c>
      <c r="J787">
        <f t="shared" si="123"/>
        <v>750</v>
      </c>
      <c r="K787" s="5">
        <f t="shared" si="124"/>
        <v>0</v>
      </c>
      <c r="L787">
        <f t="shared" si="125"/>
        <v>95</v>
      </c>
      <c r="M787">
        <f t="shared" si="126"/>
        <v>1</v>
      </c>
      <c r="N787">
        <f t="shared" si="127"/>
        <v>0</v>
      </c>
    </row>
    <row r="788" spans="4:14" x14ac:dyDescent="0.2">
      <c r="D788">
        <f t="shared" si="129"/>
        <v>765</v>
      </c>
      <c r="E788" s="1">
        <f t="shared" si="130"/>
        <v>-5.6434207843493382</v>
      </c>
      <c r="F788" s="1">
        <f t="shared" si="131"/>
        <v>-7.9791304988790683</v>
      </c>
      <c r="G788" s="1">
        <f t="shared" si="128"/>
        <v>3.4253712948605953E-4</v>
      </c>
      <c r="H788" s="1">
        <f t="shared" si="121"/>
        <v>3.5226828458920698E-6</v>
      </c>
      <c r="I788">
        <f t="shared" si="122"/>
        <v>10</v>
      </c>
      <c r="J788">
        <f t="shared" si="123"/>
        <v>751</v>
      </c>
      <c r="K788" s="5">
        <f t="shared" si="124"/>
        <v>0</v>
      </c>
      <c r="L788">
        <f t="shared" si="125"/>
        <v>95</v>
      </c>
      <c r="M788">
        <f t="shared" si="126"/>
        <v>1</v>
      </c>
      <c r="N788">
        <f t="shared" si="127"/>
        <v>0</v>
      </c>
    </row>
    <row r="789" spans="4:14" x14ac:dyDescent="0.2">
      <c r="D789">
        <f t="shared" si="129"/>
        <v>766</v>
      </c>
      <c r="E789" s="1">
        <f t="shared" si="130"/>
        <v>-5.6538920842166345</v>
      </c>
      <c r="F789" s="1">
        <f t="shared" si="131"/>
        <v>-7.9896017987463646</v>
      </c>
      <c r="G789" s="1">
        <f t="shared" si="128"/>
        <v>3.3896903438724614E-4</v>
      </c>
      <c r="H789" s="1">
        <f t="shared" si="121"/>
        <v>3.4859882329140246E-6</v>
      </c>
      <c r="I789">
        <f t="shared" si="122"/>
        <v>10</v>
      </c>
      <c r="J789">
        <f t="shared" si="123"/>
        <v>752</v>
      </c>
      <c r="K789" s="5">
        <f t="shared" si="124"/>
        <v>0</v>
      </c>
      <c r="L789">
        <f t="shared" si="125"/>
        <v>95</v>
      </c>
      <c r="M789">
        <f t="shared" si="126"/>
        <v>1</v>
      </c>
      <c r="N789">
        <f t="shared" si="127"/>
        <v>0</v>
      </c>
    </row>
    <row r="790" spans="4:14" x14ac:dyDescent="0.2">
      <c r="D790">
        <f t="shared" si="129"/>
        <v>767</v>
      </c>
      <c r="E790" s="1">
        <f t="shared" si="130"/>
        <v>-5.6643633840839307</v>
      </c>
      <c r="F790" s="1">
        <f t="shared" si="131"/>
        <v>-8.0000730986136617</v>
      </c>
      <c r="G790" s="1">
        <f t="shared" si="128"/>
        <v>3.3543810694571175E-4</v>
      </c>
      <c r="H790" s="1">
        <f t="shared" si="121"/>
        <v>3.4496758554878308E-6</v>
      </c>
      <c r="I790">
        <f t="shared" si="122"/>
        <v>10</v>
      </c>
      <c r="J790">
        <f t="shared" si="123"/>
        <v>753</v>
      </c>
      <c r="K790" s="5">
        <f t="shared" si="124"/>
        <v>0</v>
      </c>
      <c r="L790">
        <f t="shared" si="125"/>
        <v>95</v>
      </c>
      <c r="M790">
        <f t="shared" si="126"/>
        <v>1</v>
      </c>
      <c r="N790">
        <f t="shared" si="127"/>
        <v>0</v>
      </c>
    </row>
    <row r="791" spans="4:14" x14ac:dyDescent="0.2">
      <c r="D791">
        <f t="shared" si="129"/>
        <v>768</v>
      </c>
      <c r="E791" s="1">
        <f t="shared" si="130"/>
        <v>-5.6748346839512269</v>
      </c>
      <c r="F791" s="1">
        <f t="shared" si="131"/>
        <v>-8.0105443984809561</v>
      </c>
      <c r="G791" s="1">
        <f t="shared" si="128"/>
        <v>3.3194395999836093E-4</v>
      </c>
      <c r="H791" s="1">
        <f t="shared" ref="H791:H854" si="132">G791/$G$21</f>
        <v>3.4137417319931697E-6</v>
      </c>
      <c r="I791">
        <f t="shared" ref="I791:I854" si="133">IF($F$11&lt;=D791, IF(D791&lt;=$A$15,D791-$F$11,$C$11),0)</f>
        <v>10</v>
      </c>
      <c r="J791">
        <f t="shared" ref="J791:J854" si="134">IF(D791&lt;=$A$15,0,D791-$A$15)</f>
        <v>754</v>
      </c>
      <c r="K791" s="5">
        <f t="shared" ref="K791:K854" si="135">IF(D791&lt;$F$11,H791,0)</f>
        <v>0</v>
      </c>
      <c r="L791">
        <f t="shared" ref="L791:L854" si="136">IF(D791&lt;$A$15,$D$11,$D$11*(1-$H$11))</f>
        <v>95</v>
      </c>
      <c r="M791">
        <f t="shared" ref="M791:M854" si="137">IF(D791&lt;$A$15,0,1)</f>
        <v>1</v>
      </c>
      <c r="N791">
        <f t="shared" ref="N791:N854" si="138">IF(SUM(I791:J791)&lt;=($G$11/60*$F$11/($E$11/60)),1,0)</f>
        <v>0</v>
      </c>
    </row>
    <row r="792" spans="4:14" x14ac:dyDescent="0.2">
      <c r="D792">
        <f t="shared" si="129"/>
        <v>769</v>
      </c>
      <c r="E792" s="1">
        <f t="shared" si="130"/>
        <v>-5.6853059838185231</v>
      </c>
      <c r="F792" s="1">
        <f t="shared" si="131"/>
        <v>-8.0210156983482541</v>
      </c>
      <c r="G792" s="1">
        <f t="shared" ref="G792:G855" si="139">EXP(F792)</f>
        <v>3.284862104150438E-4</v>
      </c>
      <c r="H792" s="1">
        <f t="shared" si="132"/>
        <v>3.3781819222848987E-6</v>
      </c>
      <c r="I792">
        <f t="shared" si="133"/>
        <v>10</v>
      </c>
      <c r="J792">
        <f t="shared" si="134"/>
        <v>755</v>
      </c>
      <c r="K792" s="5">
        <f t="shared" si="135"/>
        <v>0</v>
      </c>
      <c r="L792">
        <f t="shared" si="136"/>
        <v>95</v>
      </c>
      <c r="M792">
        <f t="shared" si="137"/>
        <v>1</v>
      </c>
      <c r="N792">
        <f t="shared" si="138"/>
        <v>0</v>
      </c>
    </row>
    <row r="793" spans="4:14" x14ac:dyDescent="0.2">
      <c r="D793">
        <f t="shared" ref="D793:D856" si="140">1+D792</f>
        <v>770</v>
      </c>
      <c r="E793" s="1">
        <f t="shared" ref="E793:E856" si="141">IF($H$11=1,IF(D793&lt;=$A$15, E792+LN($D$11)-LN(60/$E$11)-LN(MIN(D793,$F$11)), E792-LN(60/$E$11)-LN(MIN(D793,$F$11))), IF(D793&lt;=$A$15, E792+LN($D$11)-LN(60/$E$11)-LN(MIN(D793,$F$11)), E792+LN($D$11)+LN(1-$H$11)-LN(60/$E$11)-LN(MIN(D793,$F$11))))</f>
        <v>-5.6957772836858194</v>
      </c>
      <c r="F793" s="1">
        <f t="shared" ref="F793:F856" si="142">E793-$E$21</f>
        <v>-8.0314869982155486</v>
      </c>
      <c r="G793" s="1">
        <f t="shared" si="139"/>
        <v>3.2506447905655405E-4</v>
      </c>
      <c r="H793" s="1">
        <f t="shared" si="132"/>
        <v>3.3429925272611006E-6</v>
      </c>
      <c r="I793">
        <f t="shared" si="133"/>
        <v>10</v>
      </c>
      <c r="J793">
        <f t="shared" si="134"/>
        <v>756</v>
      </c>
      <c r="K793" s="5">
        <f t="shared" si="135"/>
        <v>0</v>
      </c>
      <c r="L793">
        <f t="shared" si="136"/>
        <v>95</v>
      </c>
      <c r="M793">
        <f t="shared" si="137"/>
        <v>1</v>
      </c>
      <c r="N793">
        <f t="shared" si="138"/>
        <v>0</v>
      </c>
    </row>
    <row r="794" spans="4:14" x14ac:dyDescent="0.2">
      <c r="D794">
        <f t="shared" si="140"/>
        <v>771</v>
      </c>
      <c r="E794" s="1">
        <f t="shared" si="141"/>
        <v>-5.7062485835531156</v>
      </c>
      <c r="F794" s="1">
        <f t="shared" si="142"/>
        <v>-8.0419582980828466</v>
      </c>
      <c r="G794" s="1">
        <f t="shared" si="139"/>
        <v>3.2167839073304747E-4</v>
      </c>
      <c r="H794" s="1">
        <f t="shared" si="132"/>
        <v>3.3081696884354555E-6</v>
      </c>
      <c r="I794">
        <f t="shared" si="133"/>
        <v>10</v>
      </c>
      <c r="J794">
        <f t="shared" si="134"/>
        <v>757</v>
      </c>
      <c r="K794" s="5">
        <f t="shared" si="135"/>
        <v>0</v>
      </c>
      <c r="L794">
        <f t="shared" si="136"/>
        <v>95</v>
      </c>
      <c r="M794">
        <f t="shared" si="137"/>
        <v>1</v>
      </c>
      <c r="N794">
        <f t="shared" si="138"/>
        <v>0</v>
      </c>
    </row>
    <row r="795" spans="4:14" x14ac:dyDescent="0.2">
      <c r="D795">
        <f t="shared" si="140"/>
        <v>772</v>
      </c>
      <c r="E795" s="1">
        <f t="shared" si="141"/>
        <v>-5.7167198834204118</v>
      </c>
      <c r="F795" s="1">
        <f t="shared" si="142"/>
        <v>-8.052429597950141</v>
      </c>
      <c r="G795" s="1">
        <f t="shared" si="139"/>
        <v>3.1832757416291185E-4</v>
      </c>
      <c r="H795" s="1">
        <f t="shared" si="132"/>
        <v>3.273709587514256E-6</v>
      </c>
      <c r="I795">
        <f t="shared" si="133"/>
        <v>10</v>
      </c>
      <c r="J795">
        <f t="shared" si="134"/>
        <v>758</v>
      </c>
      <c r="K795" s="5">
        <f t="shared" si="135"/>
        <v>0</v>
      </c>
      <c r="L795">
        <f t="shared" si="136"/>
        <v>95</v>
      </c>
      <c r="M795">
        <f t="shared" si="137"/>
        <v>1</v>
      </c>
      <c r="N795">
        <f t="shared" si="138"/>
        <v>0</v>
      </c>
    </row>
    <row r="796" spans="4:14" x14ac:dyDescent="0.2">
      <c r="D796">
        <f t="shared" si="140"/>
        <v>773</v>
      </c>
      <c r="E796" s="1">
        <f t="shared" si="141"/>
        <v>-5.727191183287708</v>
      </c>
      <c r="F796" s="1">
        <f t="shared" si="142"/>
        <v>-8.062900897817439</v>
      </c>
      <c r="G796" s="1">
        <f t="shared" si="139"/>
        <v>3.1501166193204739E-4</v>
      </c>
      <c r="H796" s="1">
        <f t="shared" si="132"/>
        <v>3.2396084459776411E-6</v>
      </c>
      <c r="I796">
        <f t="shared" si="133"/>
        <v>10</v>
      </c>
      <c r="J796">
        <f t="shared" si="134"/>
        <v>759</v>
      </c>
      <c r="K796" s="5">
        <f t="shared" si="135"/>
        <v>0</v>
      </c>
      <c r="L796">
        <f t="shared" si="136"/>
        <v>95</v>
      </c>
      <c r="M796">
        <f t="shared" si="137"/>
        <v>1</v>
      </c>
      <c r="N796">
        <f t="shared" si="138"/>
        <v>0</v>
      </c>
    </row>
    <row r="797" spans="4:14" x14ac:dyDescent="0.2">
      <c r="D797">
        <f t="shared" si="140"/>
        <v>774</v>
      </c>
      <c r="E797" s="1">
        <f t="shared" si="141"/>
        <v>-5.7376624831550043</v>
      </c>
      <c r="F797" s="1">
        <f t="shared" si="142"/>
        <v>-8.0733721976847335</v>
      </c>
      <c r="G797" s="1">
        <f t="shared" si="139"/>
        <v>3.1173029045358883E-4</v>
      </c>
      <c r="H797" s="1">
        <f t="shared" si="132"/>
        <v>3.2058625246653767E-6</v>
      </c>
      <c r="I797">
        <f t="shared" si="133"/>
        <v>10</v>
      </c>
      <c r="J797">
        <f t="shared" si="134"/>
        <v>760</v>
      </c>
      <c r="K797" s="5">
        <f t="shared" si="135"/>
        <v>0</v>
      </c>
      <c r="L797">
        <f t="shared" si="136"/>
        <v>95</v>
      </c>
      <c r="M797">
        <f t="shared" si="137"/>
        <v>1</v>
      </c>
      <c r="N797">
        <f t="shared" si="138"/>
        <v>0</v>
      </c>
    </row>
    <row r="798" spans="4:14" x14ac:dyDescent="0.2">
      <c r="D798">
        <f t="shared" si="140"/>
        <v>775</v>
      </c>
      <c r="E798" s="1">
        <f t="shared" si="141"/>
        <v>-5.7481337830223005</v>
      </c>
      <c r="F798" s="1">
        <f t="shared" si="142"/>
        <v>-8.0838434975520315</v>
      </c>
      <c r="G798" s="1">
        <f t="shared" si="139"/>
        <v>3.0848309992802985E-4</v>
      </c>
      <c r="H798" s="1">
        <f t="shared" si="132"/>
        <v>3.172468123366771E-6</v>
      </c>
      <c r="I798">
        <f t="shared" si="133"/>
        <v>10</v>
      </c>
      <c r="J798">
        <f t="shared" si="134"/>
        <v>761</v>
      </c>
      <c r="K798" s="5">
        <f t="shared" si="135"/>
        <v>0</v>
      </c>
      <c r="L798">
        <f t="shared" si="136"/>
        <v>95</v>
      </c>
      <c r="M798">
        <f t="shared" si="137"/>
        <v>1</v>
      </c>
      <c r="N798">
        <f t="shared" si="138"/>
        <v>0</v>
      </c>
    </row>
    <row r="799" spans="4:14" x14ac:dyDescent="0.2">
      <c r="D799">
        <f t="shared" si="140"/>
        <v>776</v>
      </c>
      <c r="E799" s="1">
        <f t="shared" si="141"/>
        <v>-5.7586050828895967</v>
      </c>
      <c r="F799" s="1">
        <f t="shared" si="142"/>
        <v>-8.0943147974193259</v>
      </c>
      <c r="G799" s="1">
        <f t="shared" si="139"/>
        <v>3.0526973430377983E-4</v>
      </c>
      <c r="H799" s="1">
        <f t="shared" si="132"/>
        <v>3.1394215804150367E-6</v>
      </c>
      <c r="I799">
        <f t="shared" si="133"/>
        <v>10</v>
      </c>
      <c r="J799">
        <f t="shared" si="134"/>
        <v>762</v>
      </c>
      <c r="K799" s="5">
        <f t="shared" si="135"/>
        <v>0</v>
      </c>
      <c r="L799">
        <f t="shared" si="136"/>
        <v>95</v>
      </c>
      <c r="M799">
        <f t="shared" si="137"/>
        <v>1</v>
      </c>
      <c r="N799">
        <f t="shared" si="138"/>
        <v>0</v>
      </c>
    </row>
    <row r="800" spans="4:14" x14ac:dyDescent="0.2">
      <c r="D800">
        <f t="shared" si="140"/>
        <v>777</v>
      </c>
      <c r="E800" s="1">
        <f t="shared" si="141"/>
        <v>-5.7690763827568929</v>
      </c>
      <c r="F800" s="1">
        <f t="shared" si="142"/>
        <v>-8.1047860972866239</v>
      </c>
      <c r="G800" s="1">
        <f t="shared" si="139"/>
        <v>3.0208984123811466E-4</v>
      </c>
      <c r="H800" s="1">
        <f t="shared" si="132"/>
        <v>3.1067192722857053E-6</v>
      </c>
      <c r="I800">
        <f t="shared" si="133"/>
        <v>10</v>
      </c>
      <c r="J800">
        <f t="shared" si="134"/>
        <v>763</v>
      </c>
      <c r="K800" s="5">
        <f t="shared" si="135"/>
        <v>0</v>
      </c>
      <c r="L800">
        <f t="shared" si="136"/>
        <v>95</v>
      </c>
      <c r="M800">
        <f t="shared" si="137"/>
        <v>1</v>
      </c>
      <c r="N800">
        <f t="shared" si="138"/>
        <v>0</v>
      </c>
    </row>
    <row r="801" spans="4:14" x14ac:dyDescent="0.2">
      <c r="D801">
        <f t="shared" si="140"/>
        <v>778</v>
      </c>
      <c r="E801" s="1">
        <f t="shared" si="141"/>
        <v>-5.7795476826241892</v>
      </c>
      <c r="F801" s="1">
        <f t="shared" si="142"/>
        <v>-8.1152573971539184</v>
      </c>
      <c r="G801" s="1">
        <f t="shared" si="139"/>
        <v>2.9894307205855127E-4</v>
      </c>
      <c r="H801" s="1">
        <f t="shared" si="132"/>
        <v>3.0743576131993992E-6</v>
      </c>
      <c r="I801">
        <f t="shared" si="133"/>
        <v>10</v>
      </c>
      <c r="J801">
        <f t="shared" si="134"/>
        <v>764</v>
      </c>
      <c r="K801" s="5">
        <f t="shared" si="135"/>
        <v>0</v>
      </c>
      <c r="L801">
        <f t="shared" si="136"/>
        <v>95</v>
      </c>
      <c r="M801">
        <f t="shared" si="137"/>
        <v>1</v>
      </c>
      <c r="N801">
        <f t="shared" si="138"/>
        <v>0</v>
      </c>
    </row>
    <row r="802" spans="4:14" x14ac:dyDescent="0.2">
      <c r="D802">
        <f t="shared" si="140"/>
        <v>779</v>
      </c>
      <c r="E802" s="1">
        <f t="shared" si="141"/>
        <v>-5.7900189824914854</v>
      </c>
      <c r="F802" s="1">
        <f t="shared" si="142"/>
        <v>-8.1257286970212164</v>
      </c>
      <c r="G802" s="1">
        <f t="shared" si="139"/>
        <v>2.9582908172460723E-4</v>
      </c>
      <c r="H802" s="1">
        <f t="shared" si="132"/>
        <v>3.0423330547285639E-6</v>
      </c>
      <c r="I802">
        <f t="shared" si="133"/>
        <v>10</v>
      </c>
      <c r="J802">
        <f t="shared" si="134"/>
        <v>765</v>
      </c>
      <c r="K802" s="5">
        <f t="shared" si="135"/>
        <v>0</v>
      </c>
      <c r="L802">
        <f t="shared" si="136"/>
        <v>95</v>
      </c>
      <c r="M802">
        <f t="shared" si="137"/>
        <v>1</v>
      </c>
      <c r="N802">
        <f t="shared" si="138"/>
        <v>0</v>
      </c>
    </row>
    <row r="803" spans="4:14" x14ac:dyDescent="0.2">
      <c r="D803">
        <f t="shared" si="140"/>
        <v>780</v>
      </c>
      <c r="E803" s="1">
        <f t="shared" si="141"/>
        <v>-5.8004902823587816</v>
      </c>
      <c r="F803" s="1">
        <f t="shared" si="142"/>
        <v>-8.1361999968885108</v>
      </c>
      <c r="G803" s="1">
        <f t="shared" si="139"/>
        <v>2.9274752878997621E-4</v>
      </c>
      <c r="H803" s="1">
        <f t="shared" si="132"/>
        <v>3.0106420854084779E-6</v>
      </c>
      <c r="I803">
        <f t="shared" si="133"/>
        <v>10</v>
      </c>
      <c r="J803">
        <f t="shared" si="134"/>
        <v>766</v>
      </c>
      <c r="K803" s="5">
        <f t="shared" si="135"/>
        <v>0</v>
      </c>
      <c r="L803">
        <f t="shared" si="136"/>
        <v>95</v>
      </c>
      <c r="M803">
        <f t="shared" si="137"/>
        <v>1</v>
      </c>
      <c r="N803">
        <f t="shared" si="138"/>
        <v>0</v>
      </c>
    </row>
    <row r="804" spans="4:14" x14ac:dyDescent="0.2">
      <c r="D804">
        <f t="shared" si="140"/>
        <v>781</v>
      </c>
      <c r="E804" s="1">
        <f t="shared" si="141"/>
        <v>-5.8109615822260778</v>
      </c>
      <c r="F804" s="1">
        <f t="shared" si="142"/>
        <v>-8.1466712967558088</v>
      </c>
      <c r="G804" s="1">
        <f t="shared" si="139"/>
        <v>2.8969807536507986E-4</v>
      </c>
      <c r="H804" s="1">
        <f t="shared" si="132"/>
        <v>2.9792812303521318E-6</v>
      </c>
      <c r="I804">
        <f t="shared" si="133"/>
        <v>10</v>
      </c>
      <c r="J804">
        <f t="shared" si="134"/>
        <v>767</v>
      </c>
      <c r="K804" s="5">
        <f t="shared" si="135"/>
        <v>0</v>
      </c>
      <c r="L804">
        <f t="shared" si="136"/>
        <v>95</v>
      </c>
      <c r="M804">
        <f t="shared" si="137"/>
        <v>1</v>
      </c>
      <c r="N804">
        <f t="shared" si="138"/>
        <v>0</v>
      </c>
    </row>
    <row r="805" spans="4:14" x14ac:dyDescent="0.2">
      <c r="D805">
        <f t="shared" si="140"/>
        <v>782</v>
      </c>
      <c r="E805" s="1">
        <f t="shared" si="141"/>
        <v>-5.8214328820933741</v>
      </c>
      <c r="F805" s="1">
        <f t="shared" si="142"/>
        <v>-8.1571425966231033</v>
      </c>
      <c r="G805" s="1">
        <f t="shared" si="139"/>
        <v>2.866803870800272E-4</v>
      </c>
      <c r="H805" s="1">
        <f t="shared" si="132"/>
        <v>2.9482470508692995E-6</v>
      </c>
      <c r="I805">
        <f t="shared" si="133"/>
        <v>10</v>
      </c>
      <c r="J805">
        <f t="shared" si="134"/>
        <v>768</v>
      </c>
      <c r="K805" s="5">
        <f t="shared" si="135"/>
        <v>0</v>
      </c>
      <c r="L805">
        <f t="shared" si="136"/>
        <v>95</v>
      </c>
      <c r="M805">
        <f t="shared" si="137"/>
        <v>1</v>
      </c>
      <c r="N805">
        <f t="shared" si="138"/>
        <v>0</v>
      </c>
    </row>
    <row r="806" spans="4:14" x14ac:dyDescent="0.2">
      <c r="D806">
        <f t="shared" si="140"/>
        <v>783</v>
      </c>
      <c r="E806" s="1">
        <f t="shared" si="141"/>
        <v>-5.8319041819606703</v>
      </c>
      <c r="F806" s="1">
        <f t="shared" si="142"/>
        <v>-8.1676138964904013</v>
      </c>
      <c r="G806" s="1">
        <f t="shared" si="139"/>
        <v>2.8369413304794286E-4</v>
      </c>
      <c r="H806" s="1">
        <f t="shared" si="132"/>
        <v>2.9175361440894037E-6</v>
      </c>
      <c r="I806">
        <f t="shared" si="133"/>
        <v>10</v>
      </c>
      <c r="J806">
        <f t="shared" si="134"/>
        <v>769</v>
      </c>
      <c r="K806" s="5">
        <f t="shared" si="135"/>
        <v>0</v>
      </c>
      <c r="L806">
        <f t="shared" si="136"/>
        <v>95</v>
      </c>
      <c r="M806">
        <f t="shared" si="137"/>
        <v>1</v>
      </c>
      <c r="N806">
        <f t="shared" si="138"/>
        <v>0</v>
      </c>
    </row>
    <row r="807" spans="4:14" x14ac:dyDescent="0.2">
      <c r="D807">
        <f t="shared" si="140"/>
        <v>784</v>
      </c>
      <c r="E807" s="1">
        <f t="shared" si="141"/>
        <v>-5.8423754818279665</v>
      </c>
      <c r="F807" s="1">
        <f t="shared" si="142"/>
        <v>-8.1780851963576957</v>
      </c>
      <c r="G807" s="1">
        <f t="shared" si="139"/>
        <v>2.8073898582869374E-4</v>
      </c>
      <c r="H807" s="1">
        <f t="shared" si="132"/>
        <v>2.8871451425884752E-6</v>
      </c>
      <c r="I807">
        <f t="shared" si="133"/>
        <v>10</v>
      </c>
      <c r="J807">
        <f t="shared" si="134"/>
        <v>770</v>
      </c>
      <c r="K807" s="5">
        <f t="shared" si="135"/>
        <v>0</v>
      </c>
      <c r="L807">
        <f t="shared" si="136"/>
        <v>95</v>
      </c>
      <c r="M807">
        <f t="shared" si="137"/>
        <v>1</v>
      </c>
      <c r="N807">
        <f t="shared" si="138"/>
        <v>0</v>
      </c>
    </row>
    <row r="808" spans="4:14" x14ac:dyDescent="0.2">
      <c r="D808">
        <f t="shared" si="140"/>
        <v>785</v>
      </c>
      <c r="E808" s="1">
        <f t="shared" si="141"/>
        <v>-5.8528467816952627</v>
      </c>
      <c r="F808" s="1">
        <f t="shared" si="142"/>
        <v>-8.1885564962249937</v>
      </c>
      <c r="G808" s="1">
        <f t="shared" si="139"/>
        <v>2.7781462139297742E-4</v>
      </c>
      <c r="H808" s="1">
        <f t="shared" si="132"/>
        <v>2.8570707140198375E-6</v>
      </c>
      <c r="I808">
        <f t="shared" si="133"/>
        <v>10</v>
      </c>
      <c r="J808">
        <f t="shared" si="134"/>
        <v>771</v>
      </c>
      <c r="K808" s="5">
        <f t="shared" si="135"/>
        <v>0</v>
      </c>
      <c r="L808">
        <f t="shared" si="136"/>
        <v>95</v>
      </c>
      <c r="M808">
        <f t="shared" si="137"/>
        <v>1</v>
      </c>
      <c r="N808">
        <f t="shared" si="138"/>
        <v>0</v>
      </c>
    </row>
    <row r="809" spans="4:14" x14ac:dyDescent="0.2">
      <c r="D809">
        <f t="shared" si="140"/>
        <v>786</v>
      </c>
      <c r="E809" s="1">
        <f t="shared" si="141"/>
        <v>-5.863318081562559</v>
      </c>
      <c r="F809" s="1">
        <f t="shared" si="142"/>
        <v>-8.1990277960922882</v>
      </c>
      <c r="G809" s="1">
        <f t="shared" si="139"/>
        <v>2.7492071908680085E-4</v>
      </c>
      <c r="H809" s="1">
        <f t="shared" si="132"/>
        <v>2.8273095607488004E-6</v>
      </c>
      <c r="I809">
        <f t="shared" si="133"/>
        <v>10</v>
      </c>
      <c r="J809">
        <f t="shared" si="134"/>
        <v>772</v>
      </c>
      <c r="K809" s="5">
        <f t="shared" si="135"/>
        <v>0</v>
      </c>
      <c r="L809">
        <f t="shared" si="136"/>
        <v>95</v>
      </c>
      <c r="M809">
        <f t="shared" si="137"/>
        <v>1</v>
      </c>
      <c r="N809">
        <f t="shared" si="138"/>
        <v>0</v>
      </c>
    </row>
    <row r="810" spans="4:14" x14ac:dyDescent="0.2">
      <c r="D810">
        <f t="shared" si="140"/>
        <v>787</v>
      </c>
      <c r="E810" s="1">
        <f t="shared" si="141"/>
        <v>-5.8737893814298552</v>
      </c>
      <c r="F810" s="1">
        <f t="shared" si="142"/>
        <v>-8.2094990959595862</v>
      </c>
      <c r="G810" s="1">
        <f t="shared" si="139"/>
        <v>2.7205696159631263E-4</v>
      </c>
      <c r="H810" s="1">
        <f t="shared" si="132"/>
        <v>2.7978584194909928E-6</v>
      </c>
      <c r="I810">
        <f t="shared" si="133"/>
        <v>10</v>
      </c>
      <c r="J810">
        <f t="shared" si="134"/>
        <v>773</v>
      </c>
      <c r="K810" s="5">
        <f t="shared" si="135"/>
        <v>0</v>
      </c>
      <c r="L810">
        <f t="shared" si="136"/>
        <v>95</v>
      </c>
      <c r="M810">
        <f t="shared" si="137"/>
        <v>1</v>
      </c>
      <c r="N810">
        <f t="shared" si="138"/>
        <v>0</v>
      </c>
    </row>
    <row r="811" spans="4:14" x14ac:dyDescent="0.2">
      <c r="D811">
        <f t="shared" si="140"/>
        <v>788</v>
      </c>
      <c r="E811" s="1">
        <f t="shared" si="141"/>
        <v>-5.8842606812971514</v>
      </c>
      <c r="F811" s="1">
        <f t="shared" si="142"/>
        <v>-8.2199703958268806</v>
      </c>
      <c r="G811" s="1">
        <f t="shared" si="139"/>
        <v>2.6922303491301797E-4</v>
      </c>
      <c r="H811" s="1">
        <f t="shared" si="132"/>
        <v>2.7687140609546312E-6</v>
      </c>
      <c r="I811">
        <f t="shared" si="133"/>
        <v>10</v>
      </c>
      <c r="J811">
        <f t="shared" si="134"/>
        <v>774</v>
      </c>
      <c r="K811" s="5">
        <f t="shared" si="135"/>
        <v>0</v>
      </c>
      <c r="L811">
        <f t="shared" si="136"/>
        <v>95</v>
      </c>
      <c r="M811">
        <f t="shared" si="137"/>
        <v>1</v>
      </c>
      <c r="N811">
        <f t="shared" si="138"/>
        <v>0</v>
      </c>
    </row>
    <row r="812" spans="4:14" x14ac:dyDescent="0.2">
      <c r="D812">
        <f t="shared" si="140"/>
        <v>789</v>
      </c>
      <c r="E812" s="1">
        <f t="shared" si="141"/>
        <v>-5.8947319811644476</v>
      </c>
      <c r="F812" s="1">
        <f t="shared" si="142"/>
        <v>-8.2304416956941786</v>
      </c>
      <c r="G812" s="1">
        <f t="shared" si="139"/>
        <v>2.6641862829934E-4</v>
      </c>
      <c r="H812" s="1">
        <f t="shared" si="132"/>
        <v>2.7398732894863466E-6</v>
      </c>
      <c r="I812">
        <f t="shared" si="133"/>
        <v>10</v>
      </c>
      <c r="J812">
        <f t="shared" si="134"/>
        <v>775</v>
      </c>
      <c r="K812" s="5">
        <f t="shared" si="135"/>
        <v>0</v>
      </c>
      <c r="L812">
        <f t="shared" si="136"/>
        <v>95</v>
      </c>
      <c r="M812">
        <f t="shared" si="137"/>
        <v>1</v>
      </c>
      <c r="N812">
        <f t="shared" si="138"/>
        <v>0</v>
      </c>
    </row>
    <row r="813" spans="4:14" x14ac:dyDescent="0.2">
      <c r="D813">
        <f t="shared" si="140"/>
        <v>790</v>
      </c>
      <c r="E813" s="1">
        <f t="shared" si="141"/>
        <v>-5.9052032810317439</v>
      </c>
      <c r="F813" s="1">
        <f t="shared" si="142"/>
        <v>-8.2409129955614731</v>
      </c>
      <c r="G813" s="1">
        <f t="shared" si="139"/>
        <v>2.6364343425455547E-4</v>
      </c>
      <c r="H813" s="1">
        <f t="shared" si="132"/>
        <v>2.7113329427208666E-6</v>
      </c>
      <c r="I813">
        <f t="shared" si="133"/>
        <v>10</v>
      </c>
      <c r="J813">
        <f t="shared" si="134"/>
        <v>776</v>
      </c>
      <c r="K813" s="5">
        <f t="shared" si="135"/>
        <v>0</v>
      </c>
      <c r="L813">
        <f t="shared" si="136"/>
        <v>95</v>
      </c>
      <c r="M813">
        <f t="shared" si="137"/>
        <v>1</v>
      </c>
      <c r="N813">
        <f t="shared" si="138"/>
        <v>0</v>
      </c>
    </row>
    <row r="814" spans="4:14" x14ac:dyDescent="0.2">
      <c r="D814">
        <f t="shared" si="140"/>
        <v>791</v>
      </c>
      <c r="E814" s="1">
        <f t="shared" si="141"/>
        <v>-5.9156745808990401</v>
      </c>
      <c r="F814" s="1">
        <f t="shared" si="142"/>
        <v>-8.2513842954287711</v>
      </c>
      <c r="G814" s="1">
        <f t="shared" si="139"/>
        <v>2.6089714848106984E-4</v>
      </c>
      <c r="H814" s="1">
        <f t="shared" si="132"/>
        <v>2.6830898912341839E-6</v>
      </c>
      <c r="I814">
        <f t="shared" si="133"/>
        <v>10</v>
      </c>
      <c r="J814">
        <f t="shared" si="134"/>
        <v>777</v>
      </c>
      <c r="K814" s="5">
        <f t="shared" si="135"/>
        <v>0</v>
      </c>
      <c r="L814">
        <f t="shared" si="136"/>
        <v>95</v>
      </c>
      <c r="M814">
        <f t="shared" si="137"/>
        <v>1</v>
      </c>
      <c r="N814">
        <f t="shared" si="138"/>
        <v>0</v>
      </c>
    </row>
    <row r="815" spans="4:14" x14ac:dyDescent="0.2">
      <c r="D815">
        <f t="shared" si="140"/>
        <v>792</v>
      </c>
      <c r="E815" s="1">
        <f t="shared" si="141"/>
        <v>-5.9261458807663363</v>
      </c>
      <c r="F815" s="1">
        <f t="shared" si="142"/>
        <v>-8.2618555952960655</v>
      </c>
      <c r="G815" s="1">
        <f t="shared" si="139"/>
        <v>2.5817946985105892E-4</v>
      </c>
      <c r="H815" s="1">
        <f t="shared" si="132"/>
        <v>2.6551410382004967E-6</v>
      </c>
      <c r="I815">
        <f t="shared" si="133"/>
        <v>10</v>
      </c>
      <c r="J815">
        <f t="shared" si="134"/>
        <v>778</v>
      </c>
      <c r="K815" s="5">
        <f t="shared" si="135"/>
        <v>0</v>
      </c>
      <c r="L815">
        <f t="shared" si="136"/>
        <v>95</v>
      </c>
      <c r="M815">
        <f t="shared" si="137"/>
        <v>1</v>
      </c>
      <c r="N815">
        <f t="shared" si="138"/>
        <v>0</v>
      </c>
    </row>
    <row r="816" spans="4:14" x14ac:dyDescent="0.2">
      <c r="D816">
        <f t="shared" si="140"/>
        <v>793</v>
      </c>
      <c r="E816" s="1">
        <f t="shared" si="141"/>
        <v>-5.9366171806336325</v>
      </c>
      <c r="F816" s="1">
        <f t="shared" si="142"/>
        <v>-8.2723268951633635</v>
      </c>
      <c r="G816" s="1">
        <f t="shared" si="139"/>
        <v>2.554901003734431E-4</v>
      </c>
      <c r="H816" s="1">
        <f t="shared" si="132"/>
        <v>2.6274833190525685E-6</v>
      </c>
      <c r="I816">
        <f t="shared" si="133"/>
        <v>10</v>
      </c>
      <c r="J816">
        <f t="shared" si="134"/>
        <v>779</v>
      </c>
      <c r="K816" s="5">
        <f t="shared" si="135"/>
        <v>0</v>
      </c>
      <c r="L816">
        <f t="shared" si="136"/>
        <v>95</v>
      </c>
      <c r="M816">
        <f t="shared" si="137"/>
        <v>1</v>
      </c>
      <c r="N816">
        <f t="shared" si="138"/>
        <v>0</v>
      </c>
    </row>
    <row r="817" spans="4:14" x14ac:dyDescent="0.2">
      <c r="D817">
        <f t="shared" si="140"/>
        <v>794</v>
      </c>
      <c r="E817" s="1">
        <f t="shared" si="141"/>
        <v>-5.9470884805009288</v>
      </c>
      <c r="F817" s="1">
        <f t="shared" si="142"/>
        <v>-8.282798195030658</v>
      </c>
      <c r="G817" s="1">
        <f t="shared" si="139"/>
        <v>2.5282874516121997E-4</v>
      </c>
      <c r="H817" s="1">
        <f t="shared" si="132"/>
        <v>2.6001137011457735E-6</v>
      </c>
      <c r="I817">
        <f t="shared" si="133"/>
        <v>10</v>
      </c>
      <c r="J817">
        <f t="shared" si="134"/>
        <v>780</v>
      </c>
      <c r="K817" s="5">
        <f t="shared" si="135"/>
        <v>0</v>
      </c>
      <c r="L817">
        <f t="shared" si="136"/>
        <v>95</v>
      </c>
      <c r="M817">
        <f t="shared" si="137"/>
        <v>1</v>
      </c>
      <c r="N817">
        <f t="shared" si="138"/>
        <v>0</v>
      </c>
    </row>
    <row r="818" spans="4:14" x14ac:dyDescent="0.2">
      <c r="D818">
        <f t="shared" si="140"/>
        <v>795</v>
      </c>
      <c r="E818" s="1">
        <f t="shared" si="141"/>
        <v>-5.957559780368225</v>
      </c>
      <c r="F818" s="1">
        <f t="shared" si="142"/>
        <v>-8.293269494897956</v>
      </c>
      <c r="G818" s="1">
        <f t="shared" si="139"/>
        <v>2.5019511239912325E-4</v>
      </c>
      <c r="H818" s="1">
        <f t="shared" si="132"/>
        <v>2.573029183425498E-6</v>
      </c>
      <c r="I818">
        <f t="shared" si="133"/>
        <v>10</v>
      </c>
      <c r="J818">
        <f t="shared" si="134"/>
        <v>781</v>
      </c>
      <c r="K818" s="5">
        <f t="shared" si="135"/>
        <v>0</v>
      </c>
      <c r="L818">
        <f t="shared" si="136"/>
        <v>95</v>
      </c>
      <c r="M818">
        <f t="shared" si="137"/>
        <v>1</v>
      </c>
      <c r="N818">
        <f t="shared" si="138"/>
        <v>0</v>
      </c>
    </row>
    <row r="819" spans="4:14" x14ac:dyDescent="0.2">
      <c r="D819">
        <f t="shared" si="140"/>
        <v>796</v>
      </c>
      <c r="E819" s="1">
        <f t="shared" si="141"/>
        <v>-5.9680310802355212</v>
      </c>
      <c r="F819" s="1">
        <f t="shared" si="142"/>
        <v>-8.3037407947652504</v>
      </c>
      <c r="G819" s="1">
        <f t="shared" si="139"/>
        <v>2.4758891331163262E-4</v>
      </c>
      <c r="H819" s="1">
        <f t="shared" si="132"/>
        <v>2.5462267960981513E-6</v>
      </c>
      <c r="I819">
        <f t="shared" si="133"/>
        <v>10</v>
      </c>
      <c r="J819">
        <f t="shared" si="134"/>
        <v>782</v>
      </c>
      <c r="K819" s="5">
        <f t="shared" si="135"/>
        <v>0</v>
      </c>
      <c r="L819">
        <f t="shared" si="136"/>
        <v>95</v>
      </c>
      <c r="M819">
        <f t="shared" si="137"/>
        <v>1</v>
      </c>
      <c r="N819">
        <f t="shared" si="138"/>
        <v>0</v>
      </c>
    </row>
    <row r="820" spans="4:14" x14ac:dyDescent="0.2">
      <c r="D820">
        <f t="shared" si="140"/>
        <v>797</v>
      </c>
      <c r="E820" s="1">
        <f t="shared" si="141"/>
        <v>-5.9785023801028174</v>
      </c>
      <c r="F820" s="1">
        <f t="shared" si="142"/>
        <v>-8.3142120946325484</v>
      </c>
      <c r="G820" s="1">
        <f t="shared" si="139"/>
        <v>2.4500986213130246E-4</v>
      </c>
      <c r="H820" s="1">
        <f t="shared" si="132"/>
        <v>2.5197036003054555E-6</v>
      </c>
      <c r="I820">
        <f t="shared" si="133"/>
        <v>10</v>
      </c>
      <c r="J820">
        <f t="shared" si="134"/>
        <v>783</v>
      </c>
      <c r="K820" s="5">
        <f t="shared" si="135"/>
        <v>0</v>
      </c>
      <c r="L820">
        <f t="shared" si="136"/>
        <v>95</v>
      </c>
      <c r="M820">
        <f t="shared" si="137"/>
        <v>1</v>
      </c>
      <c r="N820">
        <f t="shared" si="138"/>
        <v>0</v>
      </c>
    </row>
    <row r="821" spans="4:14" x14ac:dyDescent="0.2">
      <c r="D821">
        <f t="shared" si="140"/>
        <v>798</v>
      </c>
      <c r="E821" s="1">
        <f t="shared" si="141"/>
        <v>-5.9889736799701137</v>
      </c>
      <c r="F821" s="1">
        <f t="shared" si="142"/>
        <v>-8.3246833944998428</v>
      </c>
      <c r="G821" s="1">
        <f t="shared" si="139"/>
        <v>2.4245767606743499E-4</v>
      </c>
      <c r="H821" s="1">
        <f t="shared" si="132"/>
        <v>2.4934566878022766E-6</v>
      </c>
      <c r="I821">
        <f t="shared" si="133"/>
        <v>10</v>
      </c>
      <c r="J821">
        <f t="shared" si="134"/>
        <v>784</v>
      </c>
      <c r="K821" s="5">
        <f t="shared" si="135"/>
        <v>0</v>
      </c>
      <c r="L821">
        <f t="shared" si="136"/>
        <v>95</v>
      </c>
      <c r="M821">
        <f t="shared" si="137"/>
        <v>1</v>
      </c>
      <c r="N821">
        <f t="shared" si="138"/>
        <v>0</v>
      </c>
    </row>
    <row r="822" spans="4:14" x14ac:dyDescent="0.2">
      <c r="D822">
        <f t="shared" si="140"/>
        <v>799</v>
      </c>
      <c r="E822" s="1">
        <f t="shared" si="141"/>
        <v>-5.9994449798374099</v>
      </c>
      <c r="F822" s="1">
        <f t="shared" si="142"/>
        <v>-8.3351546943671408</v>
      </c>
      <c r="G822" s="1">
        <f t="shared" si="139"/>
        <v>2.3993207527506525E-4</v>
      </c>
      <c r="H822" s="1">
        <f t="shared" si="132"/>
        <v>2.467483180637663E-6</v>
      </c>
      <c r="I822">
        <f t="shared" si="133"/>
        <v>10</v>
      </c>
      <c r="J822">
        <f t="shared" si="134"/>
        <v>785</v>
      </c>
      <c r="K822" s="5">
        <f t="shared" si="135"/>
        <v>0</v>
      </c>
      <c r="L822">
        <f t="shared" si="136"/>
        <v>95</v>
      </c>
      <c r="M822">
        <f t="shared" si="137"/>
        <v>1</v>
      </c>
      <c r="N822">
        <f t="shared" si="138"/>
        <v>0</v>
      </c>
    </row>
    <row r="823" spans="4:14" x14ac:dyDescent="0.2">
      <c r="D823">
        <f t="shared" si="140"/>
        <v>800</v>
      </c>
      <c r="E823" s="1">
        <f t="shared" si="141"/>
        <v>-6.0099162797047061</v>
      </c>
      <c r="F823" s="1">
        <f t="shared" si="142"/>
        <v>-8.3456259942344353</v>
      </c>
      <c r="G823" s="1">
        <f t="shared" si="139"/>
        <v>2.3743278282428355E-4</v>
      </c>
      <c r="H823" s="1">
        <f t="shared" si="132"/>
        <v>2.4417802308393564E-6</v>
      </c>
      <c r="I823">
        <f t="shared" si="133"/>
        <v>10</v>
      </c>
      <c r="J823">
        <f t="shared" si="134"/>
        <v>786</v>
      </c>
      <c r="K823" s="5">
        <f t="shared" si="135"/>
        <v>0</v>
      </c>
      <c r="L823">
        <f t="shared" si="136"/>
        <v>95</v>
      </c>
      <c r="M823">
        <f t="shared" si="137"/>
        <v>1</v>
      </c>
      <c r="N823">
        <f t="shared" si="138"/>
        <v>0</v>
      </c>
    </row>
    <row r="824" spans="4:14" x14ac:dyDescent="0.2">
      <c r="D824">
        <f t="shared" si="140"/>
        <v>801</v>
      </c>
      <c r="E824" s="1">
        <f t="shared" si="141"/>
        <v>-6.0203875795720023</v>
      </c>
      <c r="F824" s="1">
        <f t="shared" si="142"/>
        <v>-8.3560972941017333</v>
      </c>
      <c r="G824" s="1">
        <f t="shared" si="139"/>
        <v>2.3495952466986333E-4</v>
      </c>
      <c r="H824" s="1">
        <f t="shared" si="132"/>
        <v>2.4163450201014401E-6</v>
      </c>
      <c r="I824">
        <f t="shared" si="133"/>
        <v>10</v>
      </c>
      <c r="J824">
        <f t="shared" si="134"/>
        <v>787</v>
      </c>
      <c r="K824" s="5">
        <f t="shared" si="135"/>
        <v>0</v>
      </c>
      <c r="L824">
        <f t="shared" si="136"/>
        <v>95</v>
      </c>
      <c r="M824">
        <f t="shared" si="137"/>
        <v>1</v>
      </c>
      <c r="N824">
        <f t="shared" si="138"/>
        <v>0</v>
      </c>
    </row>
    <row r="825" spans="4:14" x14ac:dyDescent="0.2">
      <c r="D825">
        <f t="shared" si="140"/>
        <v>802</v>
      </c>
      <c r="E825" s="1">
        <f t="shared" si="141"/>
        <v>-6.0308588794392985</v>
      </c>
      <c r="F825" s="1">
        <f t="shared" si="142"/>
        <v>-8.3665685939690277</v>
      </c>
      <c r="G825" s="1">
        <f t="shared" si="139"/>
        <v>2.3251202962121912E-4</v>
      </c>
      <c r="H825" s="1">
        <f t="shared" si="132"/>
        <v>2.3911747594753855E-6</v>
      </c>
      <c r="I825">
        <f t="shared" si="133"/>
        <v>10</v>
      </c>
      <c r="J825">
        <f t="shared" si="134"/>
        <v>788</v>
      </c>
      <c r="K825" s="5">
        <f t="shared" si="135"/>
        <v>0</v>
      </c>
      <c r="L825">
        <f t="shared" si="136"/>
        <v>95</v>
      </c>
      <c r="M825">
        <f t="shared" si="137"/>
        <v>1</v>
      </c>
      <c r="N825">
        <f t="shared" si="138"/>
        <v>0</v>
      </c>
    </row>
    <row r="826" spans="4:14" x14ac:dyDescent="0.2">
      <c r="D826">
        <f t="shared" si="140"/>
        <v>803</v>
      </c>
      <c r="E826" s="1">
        <f t="shared" si="141"/>
        <v>-6.0413301793065948</v>
      </c>
      <c r="F826" s="1">
        <f t="shared" si="142"/>
        <v>-8.3770398938363257</v>
      </c>
      <c r="G826" s="1">
        <f t="shared" si="139"/>
        <v>2.3009002931266415E-4</v>
      </c>
      <c r="H826" s="1">
        <f t="shared" si="132"/>
        <v>2.3662666890641774E-6</v>
      </c>
      <c r="I826">
        <f t="shared" si="133"/>
        <v>10</v>
      </c>
      <c r="J826">
        <f t="shared" si="134"/>
        <v>789</v>
      </c>
      <c r="K826" s="5">
        <f t="shared" si="135"/>
        <v>0</v>
      </c>
      <c r="L826">
        <f t="shared" si="136"/>
        <v>95</v>
      </c>
      <c r="M826">
        <f t="shared" si="137"/>
        <v>1</v>
      </c>
      <c r="N826">
        <f t="shared" si="138"/>
        <v>0</v>
      </c>
    </row>
    <row r="827" spans="4:14" x14ac:dyDescent="0.2">
      <c r="D827">
        <f t="shared" si="140"/>
        <v>804</v>
      </c>
      <c r="E827" s="1">
        <f t="shared" si="141"/>
        <v>-6.051801479173891</v>
      </c>
      <c r="F827" s="1">
        <f t="shared" si="142"/>
        <v>-8.3875111937036202</v>
      </c>
      <c r="G827" s="1">
        <f t="shared" si="139"/>
        <v>2.2769325817399079E-4</v>
      </c>
      <c r="H827" s="1">
        <f t="shared" si="132"/>
        <v>2.3416180777197612E-6</v>
      </c>
      <c r="I827">
        <f t="shared" si="133"/>
        <v>10</v>
      </c>
      <c r="J827">
        <f t="shared" si="134"/>
        <v>790</v>
      </c>
      <c r="K827" s="5">
        <f t="shared" si="135"/>
        <v>0</v>
      </c>
      <c r="L827">
        <f t="shared" si="136"/>
        <v>95</v>
      </c>
      <c r="M827">
        <f t="shared" si="137"/>
        <v>1</v>
      </c>
      <c r="N827">
        <f t="shared" si="138"/>
        <v>0</v>
      </c>
    </row>
    <row r="828" spans="4:14" x14ac:dyDescent="0.2">
      <c r="D828">
        <f t="shared" si="140"/>
        <v>805</v>
      </c>
      <c r="E828" s="1">
        <f t="shared" si="141"/>
        <v>-6.0622727790411872</v>
      </c>
      <c r="F828" s="1">
        <f t="shared" si="142"/>
        <v>-8.3979824935709182</v>
      </c>
      <c r="G828" s="1">
        <f t="shared" si="139"/>
        <v>2.2532145340134447E-4</v>
      </c>
      <c r="H828" s="1">
        <f t="shared" si="132"/>
        <v>2.3172262227435078E-6</v>
      </c>
      <c r="I828">
        <f t="shared" si="133"/>
        <v>10</v>
      </c>
      <c r="J828">
        <f t="shared" si="134"/>
        <v>791</v>
      </c>
      <c r="K828" s="5">
        <f t="shared" si="135"/>
        <v>0</v>
      </c>
      <c r="L828">
        <f t="shared" si="136"/>
        <v>95</v>
      </c>
      <c r="M828">
        <f t="shared" si="137"/>
        <v>1</v>
      </c>
      <c r="N828">
        <f t="shared" si="138"/>
        <v>0</v>
      </c>
    </row>
    <row r="829" spans="4:14" x14ac:dyDescent="0.2">
      <c r="D829">
        <f t="shared" si="140"/>
        <v>806</v>
      </c>
      <c r="E829" s="1">
        <f t="shared" si="141"/>
        <v>-6.0727440789084834</v>
      </c>
      <c r="F829" s="1">
        <f t="shared" si="142"/>
        <v>-8.4084537934382126</v>
      </c>
      <c r="G829" s="1">
        <f t="shared" si="139"/>
        <v>2.2297435492841402E-4</v>
      </c>
      <c r="H829" s="1">
        <f t="shared" si="132"/>
        <v>2.2930884495899318E-6</v>
      </c>
      <c r="I829">
        <f t="shared" si="133"/>
        <v>10</v>
      </c>
      <c r="J829">
        <f t="shared" si="134"/>
        <v>792</v>
      </c>
      <c r="K829" s="5">
        <f t="shared" si="135"/>
        <v>0</v>
      </c>
      <c r="L829">
        <f t="shared" si="136"/>
        <v>95</v>
      </c>
      <c r="M829">
        <f t="shared" si="137"/>
        <v>1</v>
      </c>
      <c r="N829">
        <f t="shared" si="138"/>
        <v>0</v>
      </c>
    </row>
    <row r="830" spans="4:14" x14ac:dyDescent="0.2">
      <c r="D830">
        <f t="shared" si="140"/>
        <v>807</v>
      </c>
      <c r="E830" s="1">
        <f t="shared" si="141"/>
        <v>-6.0832153787757797</v>
      </c>
      <c r="F830" s="1">
        <f t="shared" si="142"/>
        <v>-8.4189250933055106</v>
      </c>
      <c r="G830" s="1">
        <f t="shared" si="139"/>
        <v>2.2065170539790912E-4</v>
      </c>
      <c r="H830" s="1">
        <f t="shared" si="132"/>
        <v>2.2692021115733642E-6</v>
      </c>
      <c r="I830">
        <f t="shared" si="133"/>
        <v>10</v>
      </c>
      <c r="J830">
        <f t="shared" si="134"/>
        <v>793</v>
      </c>
      <c r="K830" s="5">
        <f t="shared" si="135"/>
        <v>0</v>
      </c>
      <c r="L830">
        <f t="shared" si="136"/>
        <v>95</v>
      </c>
      <c r="M830">
        <f t="shared" si="137"/>
        <v>1</v>
      </c>
      <c r="N830">
        <f t="shared" si="138"/>
        <v>0</v>
      </c>
    </row>
    <row r="831" spans="4:14" x14ac:dyDescent="0.2">
      <c r="D831">
        <f t="shared" si="140"/>
        <v>808</v>
      </c>
      <c r="E831" s="1">
        <f t="shared" si="141"/>
        <v>-6.0936866786430759</v>
      </c>
      <c r="F831" s="1">
        <f t="shared" si="142"/>
        <v>-8.4293963931728051</v>
      </c>
      <c r="G831" s="1">
        <f t="shared" si="139"/>
        <v>2.1835325013334778E-4</v>
      </c>
      <c r="H831" s="1">
        <f t="shared" si="132"/>
        <v>2.2455645895778102E-6</v>
      </c>
      <c r="I831">
        <f t="shared" si="133"/>
        <v>10</v>
      </c>
      <c r="J831">
        <f t="shared" si="134"/>
        <v>794</v>
      </c>
      <c r="K831" s="5">
        <f t="shared" si="135"/>
        <v>0</v>
      </c>
      <c r="L831">
        <f t="shared" si="136"/>
        <v>95</v>
      </c>
      <c r="M831">
        <f t="shared" si="137"/>
        <v>1</v>
      </c>
      <c r="N831">
        <f t="shared" si="138"/>
        <v>0</v>
      </c>
    </row>
    <row r="832" spans="4:14" x14ac:dyDescent="0.2">
      <c r="D832">
        <f t="shared" si="140"/>
        <v>809</v>
      </c>
      <c r="E832" s="1">
        <f t="shared" si="141"/>
        <v>-6.1041579785103721</v>
      </c>
      <c r="F832" s="1">
        <f t="shared" si="142"/>
        <v>-8.4398676930401031</v>
      </c>
      <c r="G832" s="1">
        <f t="shared" si="139"/>
        <v>2.1607873711112485E-4</v>
      </c>
      <c r="H832" s="1">
        <f t="shared" si="132"/>
        <v>2.2221732917697025E-6</v>
      </c>
      <c r="I832">
        <f t="shared" si="133"/>
        <v>10</v>
      </c>
      <c r="J832">
        <f t="shared" si="134"/>
        <v>795</v>
      </c>
      <c r="K832" s="5">
        <f t="shared" si="135"/>
        <v>0</v>
      </c>
      <c r="L832">
        <f t="shared" si="136"/>
        <v>95</v>
      </c>
      <c r="M832">
        <f t="shared" si="137"/>
        <v>1</v>
      </c>
      <c r="N832">
        <f t="shared" si="138"/>
        <v>0</v>
      </c>
    </row>
    <row r="833" spans="4:14" x14ac:dyDescent="0.2">
      <c r="D833">
        <f t="shared" si="140"/>
        <v>810</v>
      </c>
      <c r="E833" s="1">
        <f t="shared" si="141"/>
        <v>-6.1146292783776683</v>
      </c>
      <c r="F833" s="1">
        <f t="shared" si="142"/>
        <v>-8.4503389929073975</v>
      </c>
      <c r="G833" s="1">
        <f t="shared" si="139"/>
        <v>2.1382791693288418E-4</v>
      </c>
      <c r="H833" s="1">
        <f t="shared" si="132"/>
        <v>2.19902565331377E-6</v>
      </c>
      <c r="I833">
        <f t="shared" si="133"/>
        <v>10</v>
      </c>
      <c r="J833">
        <f t="shared" si="134"/>
        <v>796</v>
      </c>
      <c r="K833" s="5">
        <f t="shared" si="135"/>
        <v>0</v>
      </c>
      <c r="L833">
        <f t="shared" si="136"/>
        <v>95</v>
      </c>
      <c r="M833">
        <f t="shared" si="137"/>
        <v>1</v>
      </c>
      <c r="N833">
        <f t="shared" si="138"/>
        <v>0</v>
      </c>
    </row>
    <row r="834" spans="4:14" x14ac:dyDescent="0.2">
      <c r="D834">
        <f t="shared" si="140"/>
        <v>811</v>
      </c>
      <c r="E834" s="1">
        <f t="shared" si="141"/>
        <v>-6.1251005782449646</v>
      </c>
      <c r="F834" s="1">
        <f t="shared" si="142"/>
        <v>-8.4608102927746955</v>
      </c>
      <c r="G834" s="1">
        <f t="shared" si="139"/>
        <v>2.1160054279816608E-4</v>
      </c>
      <c r="H834" s="1">
        <f t="shared" si="132"/>
        <v>2.1761191360917461E-6</v>
      </c>
      <c r="I834">
        <f t="shared" si="133"/>
        <v>10</v>
      </c>
      <c r="J834">
        <f t="shared" si="134"/>
        <v>797</v>
      </c>
      <c r="K834" s="5">
        <f t="shared" si="135"/>
        <v>0</v>
      </c>
      <c r="L834">
        <f t="shared" si="136"/>
        <v>95</v>
      </c>
      <c r="M834">
        <f t="shared" si="137"/>
        <v>1</v>
      </c>
      <c r="N834">
        <f t="shared" si="138"/>
        <v>0</v>
      </c>
    </row>
    <row r="835" spans="4:14" x14ac:dyDescent="0.2">
      <c r="D835">
        <f t="shared" si="140"/>
        <v>812</v>
      </c>
      <c r="E835" s="1">
        <f t="shared" si="141"/>
        <v>-6.1355718781122608</v>
      </c>
      <c r="F835" s="1">
        <f t="shared" si="142"/>
        <v>-8.47128159264199</v>
      </c>
      <c r="G835" s="1">
        <f t="shared" si="139"/>
        <v>2.0939637047735204E-4</v>
      </c>
      <c r="H835" s="1">
        <f t="shared" si="132"/>
        <v>2.1534512284241258E-6</v>
      </c>
      <c r="I835">
        <f t="shared" si="133"/>
        <v>10</v>
      </c>
      <c r="J835">
        <f t="shared" si="134"/>
        <v>798</v>
      </c>
      <c r="K835" s="5">
        <f t="shared" si="135"/>
        <v>0</v>
      </c>
      <c r="L835">
        <f t="shared" si="136"/>
        <v>95</v>
      </c>
      <c r="M835">
        <f t="shared" si="137"/>
        <v>1</v>
      </c>
      <c r="N835">
        <f t="shared" si="138"/>
        <v>0</v>
      </c>
    </row>
    <row r="836" spans="4:14" x14ac:dyDescent="0.2">
      <c r="D836">
        <f t="shared" si="140"/>
        <v>813</v>
      </c>
      <c r="E836" s="1">
        <f t="shared" si="141"/>
        <v>-6.146043177979557</v>
      </c>
      <c r="F836" s="1">
        <f t="shared" si="142"/>
        <v>-8.481752892509288</v>
      </c>
      <c r="G836" s="1">
        <f t="shared" si="139"/>
        <v>2.0721515828487909E-4</v>
      </c>
      <c r="H836" s="1">
        <f t="shared" si="132"/>
        <v>2.1310194447947022E-6</v>
      </c>
      <c r="I836">
        <f t="shared" si="133"/>
        <v>10</v>
      </c>
      <c r="J836">
        <f t="shared" si="134"/>
        <v>799</v>
      </c>
      <c r="K836" s="5">
        <f t="shared" si="135"/>
        <v>0</v>
      </c>
      <c r="L836">
        <f t="shared" si="136"/>
        <v>95</v>
      </c>
      <c r="M836">
        <f t="shared" si="137"/>
        <v>1</v>
      </c>
      <c r="N836">
        <f t="shared" si="138"/>
        <v>0</v>
      </c>
    </row>
    <row r="837" spans="4:14" x14ac:dyDescent="0.2">
      <c r="D837">
        <f t="shared" si="140"/>
        <v>814</v>
      </c>
      <c r="E837" s="1">
        <f t="shared" si="141"/>
        <v>-6.1565144778468532</v>
      </c>
      <c r="F837" s="1">
        <f t="shared" si="142"/>
        <v>-8.4922241923765824</v>
      </c>
      <c r="G837" s="1">
        <f t="shared" si="139"/>
        <v>2.0505666705274514E-4</v>
      </c>
      <c r="H837" s="1">
        <f t="shared" si="132"/>
        <v>2.1088213255780926E-6</v>
      </c>
      <c r="I837">
        <f t="shared" si="133"/>
        <v>10</v>
      </c>
      <c r="J837">
        <f t="shared" si="134"/>
        <v>800</v>
      </c>
      <c r="K837" s="5">
        <f t="shared" si="135"/>
        <v>0</v>
      </c>
      <c r="L837">
        <f t="shared" si="136"/>
        <v>95</v>
      </c>
      <c r="M837">
        <f t="shared" si="137"/>
        <v>1</v>
      </c>
      <c r="N837">
        <f t="shared" si="138"/>
        <v>0</v>
      </c>
    </row>
    <row r="838" spans="4:14" x14ac:dyDescent="0.2">
      <c r="D838">
        <f t="shared" si="140"/>
        <v>815</v>
      </c>
      <c r="E838" s="1">
        <f t="shared" si="141"/>
        <v>-6.1669857777141495</v>
      </c>
      <c r="F838" s="1">
        <f t="shared" si="142"/>
        <v>-8.5026954922438804</v>
      </c>
      <c r="G838" s="1">
        <f t="shared" si="139"/>
        <v>2.0292066010427852E-4</v>
      </c>
      <c r="H838" s="1">
        <f t="shared" si="132"/>
        <v>2.0868544367699824E-6</v>
      </c>
      <c r="I838">
        <f t="shared" si="133"/>
        <v>10</v>
      </c>
      <c r="J838">
        <f t="shared" si="134"/>
        <v>801</v>
      </c>
      <c r="K838" s="5">
        <f t="shared" si="135"/>
        <v>0</v>
      </c>
      <c r="L838">
        <f t="shared" si="136"/>
        <v>95</v>
      </c>
      <c r="M838">
        <f t="shared" si="137"/>
        <v>1</v>
      </c>
      <c r="N838">
        <f t="shared" si="138"/>
        <v>0</v>
      </c>
    </row>
    <row r="839" spans="4:14" x14ac:dyDescent="0.2">
      <c r="D839">
        <f t="shared" si="140"/>
        <v>816</v>
      </c>
      <c r="E839" s="1">
        <f t="shared" si="141"/>
        <v>-6.1774570775814457</v>
      </c>
      <c r="F839" s="1">
        <f t="shared" si="142"/>
        <v>-8.5131667921111749</v>
      </c>
      <c r="G839" s="1">
        <f t="shared" si="139"/>
        <v>2.0080690322819248E-4</v>
      </c>
      <c r="H839" s="1">
        <f t="shared" si="132"/>
        <v>2.0651163697202968E-6</v>
      </c>
      <c r="I839">
        <f t="shared" si="133"/>
        <v>10</v>
      </c>
      <c r="J839">
        <f t="shared" si="134"/>
        <v>802</v>
      </c>
      <c r="K839" s="5">
        <f t="shared" si="135"/>
        <v>0</v>
      </c>
      <c r="L839">
        <f t="shared" si="136"/>
        <v>95</v>
      </c>
      <c r="M839">
        <f t="shared" si="137"/>
        <v>1</v>
      </c>
      <c r="N839">
        <f t="shared" si="138"/>
        <v>0</v>
      </c>
    </row>
    <row r="840" spans="4:14" x14ac:dyDescent="0.2">
      <c r="D840">
        <f t="shared" si="140"/>
        <v>817</v>
      </c>
      <c r="E840" s="1">
        <f t="shared" si="141"/>
        <v>-6.1879283774487419</v>
      </c>
      <c r="F840" s="1">
        <f t="shared" si="142"/>
        <v>-8.5236380919784729</v>
      </c>
      <c r="G840" s="1">
        <f t="shared" si="139"/>
        <v>1.9871516465289827E-4</v>
      </c>
      <c r="H840" s="1">
        <f t="shared" si="132"/>
        <v>2.0436047408690385E-6</v>
      </c>
      <c r="I840">
        <f t="shared" si="133"/>
        <v>10</v>
      </c>
      <c r="J840">
        <f t="shared" si="134"/>
        <v>803</v>
      </c>
      <c r="K840" s="5">
        <f t="shared" si="135"/>
        <v>0</v>
      </c>
      <c r="L840">
        <f t="shared" si="136"/>
        <v>95</v>
      </c>
      <c r="M840">
        <f t="shared" si="137"/>
        <v>1</v>
      </c>
      <c r="N840">
        <f t="shared" si="138"/>
        <v>0</v>
      </c>
    </row>
    <row r="841" spans="4:14" x14ac:dyDescent="0.2">
      <c r="D841">
        <f t="shared" si="140"/>
        <v>818</v>
      </c>
      <c r="E841" s="1">
        <f t="shared" si="141"/>
        <v>-6.1983996773160381</v>
      </c>
      <c r="F841" s="1">
        <f t="shared" si="142"/>
        <v>-8.5341093918457673</v>
      </c>
      <c r="G841" s="1">
        <f t="shared" si="139"/>
        <v>1.9664521502109746E-4</v>
      </c>
      <c r="H841" s="1">
        <f t="shared" si="132"/>
        <v>2.0223171914849881E-6</v>
      </c>
      <c r="I841">
        <f t="shared" si="133"/>
        <v>10</v>
      </c>
      <c r="J841">
        <f t="shared" si="134"/>
        <v>804</v>
      </c>
      <c r="K841" s="5">
        <f t="shared" si="135"/>
        <v>0</v>
      </c>
      <c r="L841">
        <f t="shared" si="136"/>
        <v>95</v>
      </c>
      <c r="M841">
        <f t="shared" si="137"/>
        <v>1</v>
      </c>
      <c r="N841">
        <f t="shared" si="138"/>
        <v>0</v>
      </c>
    </row>
    <row r="842" spans="4:14" x14ac:dyDescent="0.2">
      <c r="D842">
        <f t="shared" si="140"/>
        <v>819</v>
      </c>
      <c r="E842" s="1">
        <f t="shared" si="141"/>
        <v>-6.2088709771833344</v>
      </c>
      <c r="F842" s="1">
        <f t="shared" si="142"/>
        <v>-8.5445806917130653</v>
      </c>
      <c r="G842" s="1">
        <f t="shared" si="139"/>
        <v>1.9459682736462717E-4</v>
      </c>
      <c r="H842" s="1">
        <f t="shared" si="132"/>
        <v>2.0012513874070139E-6</v>
      </c>
      <c r="I842">
        <f t="shared" si="133"/>
        <v>10</v>
      </c>
      <c r="J842">
        <f t="shared" si="134"/>
        <v>805</v>
      </c>
      <c r="K842" s="5">
        <f t="shared" si="135"/>
        <v>0</v>
      </c>
      <c r="L842">
        <f t="shared" si="136"/>
        <v>95</v>
      </c>
      <c r="M842">
        <f t="shared" si="137"/>
        <v>1</v>
      </c>
      <c r="N842">
        <f t="shared" si="138"/>
        <v>0</v>
      </c>
    </row>
    <row r="843" spans="4:14" x14ac:dyDescent="0.2">
      <c r="D843">
        <f t="shared" si="140"/>
        <v>820</v>
      </c>
      <c r="E843" s="1">
        <f t="shared" si="141"/>
        <v>-6.2193422770506306</v>
      </c>
      <c r="F843" s="1">
        <f t="shared" si="142"/>
        <v>-8.5550519915803598</v>
      </c>
      <c r="G843" s="1">
        <f t="shared" si="139"/>
        <v>1.9256977707957917E-4</v>
      </c>
      <c r="H843" s="1">
        <f t="shared" si="132"/>
        <v>1.9804050187881929E-6</v>
      </c>
      <c r="I843">
        <f t="shared" si="133"/>
        <v>10</v>
      </c>
      <c r="J843">
        <f t="shared" si="134"/>
        <v>806</v>
      </c>
      <c r="K843" s="5">
        <f t="shared" si="135"/>
        <v>0</v>
      </c>
      <c r="L843">
        <f t="shared" si="136"/>
        <v>95</v>
      </c>
      <c r="M843">
        <f t="shared" si="137"/>
        <v>1</v>
      </c>
      <c r="N843">
        <f t="shared" si="138"/>
        <v>0</v>
      </c>
    </row>
    <row r="844" spans="4:14" x14ac:dyDescent="0.2">
      <c r="D844">
        <f t="shared" si="140"/>
        <v>821</v>
      </c>
      <c r="E844" s="1">
        <f t="shared" si="141"/>
        <v>-6.2298135769179268</v>
      </c>
      <c r="F844" s="1">
        <f t="shared" si="142"/>
        <v>-8.5655232914476578</v>
      </c>
      <c r="G844" s="1">
        <f t="shared" si="139"/>
        <v>1.9056384190166639E-4</v>
      </c>
      <c r="H844" s="1">
        <f t="shared" si="132"/>
        <v>1.9597757998424774E-6</v>
      </c>
      <c r="I844">
        <f t="shared" si="133"/>
        <v>10</v>
      </c>
      <c r="J844">
        <f t="shared" si="134"/>
        <v>807</v>
      </c>
      <c r="K844" s="5">
        <f t="shared" si="135"/>
        <v>0</v>
      </c>
      <c r="L844">
        <f t="shared" si="136"/>
        <v>95</v>
      </c>
      <c r="M844">
        <f t="shared" si="137"/>
        <v>1</v>
      </c>
      <c r="N844">
        <f t="shared" si="138"/>
        <v>0</v>
      </c>
    </row>
    <row r="845" spans="4:14" x14ac:dyDescent="0.2">
      <c r="D845">
        <f t="shared" si="140"/>
        <v>822</v>
      </c>
      <c r="E845" s="1">
        <f t="shared" si="141"/>
        <v>-6.240284876785223</v>
      </c>
      <c r="F845" s="1">
        <f t="shared" si="142"/>
        <v>-8.5759945913149522</v>
      </c>
      <c r="G845" s="1">
        <f t="shared" si="139"/>
        <v>1.8857880188185753E-4</v>
      </c>
      <c r="H845" s="1">
        <f t="shared" si="132"/>
        <v>1.9393614685941199E-6</v>
      </c>
      <c r="I845">
        <f t="shared" si="133"/>
        <v>10</v>
      </c>
      <c r="J845">
        <f t="shared" si="134"/>
        <v>808</v>
      </c>
      <c r="K845" s="5">
        <f t="shared" si="135"/>
        <v>0</v>
      </c>
      <c r="L845">
        <f t="shared" si="136"/>
        <v>95</v>
      </c>
      <c r="M845">
        <f t="shared" si="137"/>
        <v>1</v>
      </c>
      <c r="N845">
        <f t="shared" si="138"/>
        <v>0</v>
      </c>
    </row>
    <row r="846" spans="4:14" x14ac:dyDescent="0.2">
      <c r="D846">
        <f t="shared" si="140"/>
        <v>823</v>
      </c>
      <c r="E846" s="1">
        <f t="shared" si="141"/>
        <v>-6.2507561766525193</v>
      </c>
      <c r="F846" s="1">
        <f t="shared" si="142"/>
        <v>-8.5864658911822502</v>
      </c>
      <c r="G846" s="1">
        <f t="shared" si="139"/>
        <v>1.8661443936225438E-4</v>
      </c>
      <c r="H846" s="1">
        <f t="shared" si="132"/>
        <v>1.9191597866295935E-6</v>
      </c>
      <c r="I846">
        <f t="shared" si="133"/>
        <v>10</v>
      </c>
      <c r="J846">
        <f t="shared" si="134"/>
        <v>809</v>
      </c>
      <c r="K846" s="5">
        <f t="shared" si="135"/>
        <v>0</v>
      </c>
      <c r="L846">
        <f t="shared" si="136"/>
        <v>95</v>
      </c>
      <c r="M846">
        <f t="shared" si="137"/>
        <v>1</v>
      </c>
      <c r="N846">
        <f t="shared" si="138"/>
        <v>0</v>
      </c>
    </row>
    <row r="847" spans="4:14" x14ac:dyDescent="0.2">
      <c r="D847">
        <f t="shared" si="140"/>
        <v>824</v>
      </c>
      <c r="E847" s="1">
        <f t="shared" si="141"/>
        <v>-6.2612274765198155</v>
      </c>
      <c r="F847" s="1">
        <f t="shared" si="142"/>
        <v>-8.5969371910495447</v>
      </c>
      <c r="G847" s="1">
        <f t="shared" si="139"/>
        <v>1.8467053895223108E-4</v>
      </c>
      <c r="H847" s="1">
        <f t="shared" si="132"/>
        <v>1.8991685388522034E-6</v>
      </c>
      <c r="I847">
        <f t="shared" si="133"/>
        <v>10</v>
      </c>
      <c r="J847">
        <f t="shared" si="134"/>
        <v>810</v>
      </c>
      <c r="K847" s="5">
        <f t="shared" si="135"/>
        <v>0</v>
      </c>
      <c r="L847">
        <f t="shared" si="136"/>
        <v>95</v>
      </c>
      <c r="M847">
        <f t="shared" si="137"/>
        <v>1</v>
      </c>
      <c r="N847">
        <f t="shared" si="138"/>
        <v>0</v>
      </c>
    </row>
    <row r="848" spans="4:14" x14ac:dyDescent="0.2">
      <c r="D848">
        <f t="shared" si="140"/>
        <v>825</v>
      </c>
      <c r="E848" s="1">
        <f t="shared" si="141"/>
        <v>-6.2716987763871117</v>
      </c>
      <c r="F848" s="1">
        <f t="shared" si="142"/>
        <v>-8.6074084909168427</v>
      </c>
      <c r="G848" s="1">
        <f t="shared" si="139"/>
        <v>1.8274688750481152E-4</v>
      </c>
      <c r="H848" s="1">
        <f t="shared" si="132"/>
        <v>1.8793855332391548E-6</v>
      </c>
      <c r="I848">
        <f t="shared" si="133"/>
        <v>10</v>
      </c>
      <c r="J848">
        <f t="shared" si="134"/>
        <v>811</v>
      </c>
      <c r="K848" s="5">
        <f t="shared" si="135"/>
        <v>0</v>
      </c>
      <c r="L848">
        <f t="shared" si="136"/>
        <v>95</v>
      </c>
      <c r="M848">
        <f t="shared" si="137"/>
        <v>1</v>
      </c>
      <c r="N848">
        <f t="shared" si="138"/>
        <v>0</v>
      </c>
    </row>
    <row r="849" spans="4:14" x14ac:dyDescent="0.2">
      <c r="D849">
        <f t="shared" si="140"/>
        <v>826</v>
      </c>
      <c r="E849" s="1">
        <f t="shared" si="141"/>
        <v>-6.2821700762544079</v>
      </c>
      <c r="F849" s="1">
        <f t="shared" si="142"/>
        <v>-8.6178797907841371</v>
      </c>
      <c r="G849" s="1">
        <f t="shared" si="139"/>
        <v>1.8084327409330323E-4</v>
      </c>
      <c r="H849" s="1">
        <f t="shared" si="132"/>
        <v>1.8598086006012486E-6</v>
      </c>
      <c r="I849">
        <f t="shared" si="133"/>
        <v>10</v>
      </c>
      <c r="J849">
        <f t="shared" si="134"/>
        <v>812</v>
      </c>
      <c r="K849" s="5">
        <f t="shared" si="135"/>
        <v>0</v>
      </c>
      <c r="L849">
        <f t="shared" si="136"/>
        <v>95</v>
      </c>
      <c r="M849">
        <f t="shared" si="137"/>
        <v>1</v>
      </c>
      <c r="N849">
        <f t="shared" si="138"/>
        <v>0</v>
      </c>
    </row>
    <row r="850" spans="4:14" x14ac:dyDescent="0.2">
      <c r="D850">
        <f t="shared" si="140"/>
        <v>827</v>
      </c>
      <c r="E850" s="1">
        <f t="shared" si="141"/>
        <v>-6.2926413761217042</v>
      </c>
      <c r="F850" s="1">
        <f t="shared" si="142"/>
        <v>-8.6283510906514351</v>
      </c>
      <c r="G850" s="1">
        <f t="shared" si="139"/>
        <v>1.7895948998816418E-4</v>
      </c>
      <c r="H850" s="1">
        <f t="shared" si="132"/>
        <v>1.8404355943449808E-6</v>
      </c>
      <c r="I850">
        <f t="shared" si="133"/>
        <v>10</v>
      </c>
      <c r="J850">
        <f t="shared" si="134"/>
        <v>813</v>
      </c>
      <c r="K850" s="5">
        <f t="shared" si="135"/>
        <v>0</v>
      </c>
      <c r="L850">
        <f t="shared" si="136"/>
        <v>95</v>
      </c>
      <c r="M850">
        <f t="shared" si="137"/>
        <v>1</v>
      </c>
      <c r="N850">
        <f t="shared" si="138"/>
        <v>0</v>
      </c>
    </row>
    <row r="851" spans="4:14" x14ac:dyDescent="0.2">
      <c r="D851">
        <f t="shared" si="140"/>
        <v>828</v>
      </c>
      <c r="E851" s="1">
        <f t="shared" si="141"/>
        <v>-6.3031126759890004</v>
      </c>
      <c r="F851" s="1">
        <f t="shared" si="142"/>
        <v>-8.6388223905187296</v>
      </c>
      <c r="G851" s="1">
        <f t="shared" si="139"/>
        <v>1.77095328634121E-4</v>
      </c>
      <c r="H851" s="1">
        <f t="shared" si="132"/>
        <v>1.8212643902372224E-6</v>
      </c>
      <c r="I851">
        <f t="shared" si="133"/>
        <v>10</v>
      </c>
      <c r="J851">
        <f t="shared" si="134"/>
        <v>814</v>
      </c>
      <c r="K851" s="5">
        <f t="shared" si="135"/>
        <v>0</v>
      </c>
      <c r="L851">
        <f t="shared" si="136"/>
        <v>95</v>
      </c>
      <c r="M851">
        <f t="shared" si="137"/>
        <v>1</v>
      </c>
      <c r="N851">
        <f t="shared" si="138"/>
        <v>0</v>
      </c>
    </row>
    <row r="852" spans="4:14" x14ac:dyDescent="0.2">
      <c r="D852">
        <f t="shared" si="140"/>
        <v>829</v>
      </c>
      <c r="E852" s="1">
        <f t="shared" si="141"/>
        <v>-6.3135839758562966</v>
      </c>
      <c r="F852" s="1">
        <f t="shared" si="142"/>
        <v>-8.6492936903860276</v>
      </c>
      <c r="G852" s="1">
        <f t="shared" si="139"/>
        <v>1.752505856275151E-4</v>
      </c>
      <c r="H852" s="1">
        <f t="shared" si="132"/>
        <v>1.8022928861722466E-6</v>
      </c>
      <c r="I852">
        <f t="shared" si="133"/>
        <v>10</v>
      </c>
      <c r="J852">
        <f t="shared" si="134"/>
        <v>815</v>
      </c>
      <c r="K852" s="5">
        <f t="shared" si="135"/>
        <v>0</v>
      </c>
      <c r="L852">
        <f t="shared" si="136"/>
        <v>95</v>
      </c>
      <c r="M852">
        <f t="shared" si="137"/>
        <v>1</v>
      </c>
      <c r="N852">
        <f t="shared" si="138"/>
        <v>0</v>
      </c>
    </row>
    <row r="853" spans="4:14" x14ac:dyDescent="0.2">
      <c r="D853">
        <f t="shared" si="140"/>
        <v>830</v>
      </c>
      <c r="E853" s="1">
        <f t="shared" si="141"/>
        <v>-6.3240552757235928</v>
      </c>
      <c r="F853" s="1">
        <f t="shared" si="142"/>
        <v>-8.659764990253322</v>
      </c>
      <c r="G853" s="1">
        <f t="shared" si="139"/>
        <v>1.7342505869389531E-4</v>
      </c>
      <c r="H853" s="1">
        <f t="shared" si="132"/>
        <v>1.7835190019412873E-6</v>
      </c>
      <c r="I853">
        <f t="shared" si="133"/>
        <v>10</v>
      </c>
      <c r="J853">
        <f t="shared" si="134"/>
        <v>816</v>
      </c>
      <c r="K853" s="5">
        <f t="shared" si="135"/>
        <v>0</v>
      </c>
      <c r="L853">
        <f t="shared" si="136"/>
        <v>95</v>
      </c>
      <c r="M853">
        <f t="shared" si="137"/>
        <v>1</v>
      </c>
      <c r="N853">
        <f t="shared" si="138"/>
        <v>0</v>
      </c>
    </row>
    <row r="854" spans="4:14" x14ac:dyDescent="0.2">
      <c r="D854">
        <f t="shared" si="140"/>
        <v>831</v>
      </c>
      <c r="E854" s="1">
        <f t="shared" si="141"/>
        <v>-6.3345265755908891</v>
      </c>
      <c r="F854" s="1">
        <f t="shared" si="142"/>
        <v>-8.67023629012062</v>
      </c>
      <c r="G854" s="1">
        <f t="shared" si="139"/>
        <v>1.7161854766583346E-4</v>
      </c>
      <c r="H854" s="1">
        <f t="shared" si="132"/>
        <v>1.7649406790043943E-6</v>
      </c>
      <c r="I854">
        <f t="shared" si="133"/>
        <v>10</v>
      </c>
      <c r="J854">
        <f t="shared" si="134"/>
        <v>817</v>
      </c>
      <c r="K854" s="5">
        <f t="shared" si="135"/>
        <v>0</v>
      </c>
      <c r="L854">
        <f t="shared" si="136"/>
        <v>95</v>
      </c>
      <c r="M854">
        <f t="shared" si="137"/>
        <v>1</v>
      </c>
      <c r="N854">
        <f t="shared" si="138"/>
        <v>0</v>
      </c>
    </row>
    <row r="855" spans="4:14" x14ac:dyDescent="0.2">
      <c r="D855">
        <f t="shared" si="140"/>
        <v>832</v>
      </c>
      <c r="E855" s="1">
        <f t="shared" si="141"/>
        <v>-6.3449978754581853</v>
      </c>
      <c r="F855" s="1">
        <f t="shared" si="142"/>
        <v>-8.6807075899879145</v>
      </c>
      <c r="G855" s="1">
        <f t="shared" si="139"/>
        <v>1.6983085446098121E-4</v>
      </c>
      <c r="H855" s="1">
        <f t="shared" ref="H855:H918" si="143">G855/$G$21</f>
        <v>1.746555880264767E-6</v>
      </c>
      <c r="I855">
        <f t="shared" ref="I855:I918" si="144">IF($F$11&lt;=D855, IF(D855&lt;=$A$15,D855-$F$11,$C$11),0)</f>
        <v>10</v>
      </c>
      <c r="J855">
        <f t="shared" ref="J855:J918" si="145">IF(D855&lt;=$A$15,0,D855-$A$15)</f>
        <v>818</v>
      </c>
      <c r="K855" s="5">
        <f t="shared" ref="K855:K918" si="146">IF(D855&lt;$F$11,H855,0)</f>
        <v>0</v>
      </c>
      <c r="L855">
        <f t="shared" ref="L855:L918" si="147">IF(D855&lt;$A$15,$D$11,$D$11*(1-$H$11))</f>
        <v>95</v>
      </c>
      <c r="M855">
        <f t="shared" ref="M855:M918" si="148">IF(D855&lt;$A$15,0,1)</f>
        <v>1</v>
      </c>
      <c r="N855">
        <f t="shared" ref="N855:N918" si="149">IF(SUM(I855:J855)&lt;=($G$11/60*$F$11/($E$11/60)),1,0)</f>
        <v>0</v>
      </c>
    </row>
    <row r="856" spans="4:14" x14ac:dyDescent="0.2">
      <c r="D856">
        <f t="shared" si="140"/>
        <v>833</v>
      </c>
      <c r="E856" s="1">
        <f t="shared" si="141"/>
        <v>-6.3554691753254815</v>
      </c>
      <c r="F856" s="1">
        <f t="shared" si="142"/>
        <v>-8.6911788898552125</v>
      </c>
      <c r="G856" s="1">
        <f t="shared" ref="G856:G919" si="150">EXP(F856)</f>
        <v>1.6806178306034555E-4</v>
      </c>
      <c r="H856" s="1">
        <f t="shared" si="143"/>
        <v>1.7283625898453378E-6</v>
      </c>
      <c r="I856">
        <f t="shared" si="144"/>
        <v>10</v>
      </c>
      <c r="J856">
        <f t="shared" si="145"/>
        <v>819</v>
      </c>
      <c r="K856" s="5">
        <f t="shared" si="146"/>
        <v>0</v>
      </c>
      <c r="L856">
        <f t="shared" si="147"/>
        <v>95</v>
      </c>
      <c r="M856">
        <f t="shared" si="148"/>
        <v>1</v>
      </c>
      <c r="N856">
        <f t="shared" si="149"/>
        <v>0</v>
      </c>
    </row>
    <row r="857" spans="4:14" x14ac:dyDescent="0.2">
      <c r="D857">
        <f t="shared" ref="D857:D920" si="151">1+D856</f>
        <v>834</v>
      </c>
      <c r="E857" s="1">
        <f t="shared" ref="E857:E920" si="152">IF($H$11=1,IF(D857&lt;=$A$15, E856+LN($D$11)-LN(60/$E$11)-LN(MIN(D857,$F$11)), E856-LN(60/$E$11)-LN(MIN(D857,$F$11))), IF(D857&lt;=$A$15, E856+LN($D$11)-LN(60/$E$11)-LN(MIN(D857,$F$11)), E856+LN($D$11)+LN(1-$H$11)-LN(60/$E$11)-LN(MIN(D857,$F$11))))</f>
        <v>-6.3659404751927777</v>
      </c>
      <c r="F857" s="1">
        <f t="shared" ref="F857:F920" si="153">E857-$E$21</f>
        <v>-8.7016501897225069</v>
      </c>
      <c r="G857" s="1">
        <f t="shared" si="150"/>
        <v>1.6631113948680043E-4</v>
      </c>
      <c r="H857" s="1">
        <f t="shared" si="143"/>
        <v>1.7103588128677838E-6</v>
      </c>
      <c r="I857">
        <f t="shared" si="144"/>
        <v>10</v>
      </c>
      <c r="J857">
        <f t="shared" si="145"/>
        <v>820</v>
      </c>
      <c r="K857" s="5">
        <f t="shared" si="146"/>
        <v>0</v>
      </c>
      <c r="L857">
        <f t="shared" si="147"/>
        <v>95</v>
      </c>
      <c r="M857">
        <f t="shared" si="148"/>
        <v>1</v>
      </c>
      <c r="N857">
        <f t="shared" si="149"/>
        <v>0</v>
      </c>
    </row>
    <row r="858" spans="4:14" x14ac:dyDescent="0.2">
      <c r="D858">
        <f t="shared" si="151"/>
        <v>835</v>
      </c>
      <c r="E858" s="1">
        <f t="shared" si="152"/>
        <v>-6.3764117750600739</v>
      </c>
      <c r="F858" s="1">
        <f t="shared" si="153"/>
        <v>-8.7121214895898049</v>
      </c>
      <c r="G858" s="1">
        <f t="shared" si="150"/>
        <v>1.645787317838125E-4</v>
      </c>
      <c r="H858" s="1">
        <f t="shared" si="143"/>
        <v>1.6925425752337401E-6</v>
      </c>
      <c r="I858">
        <f t="shared" si="144"/>
        <v>10</v>
      </c>
      <c r="J858">
        <f t="shared" si="145"/>
        <v>821</v>
      </c>
      <c r="K858" s="5">
        <f t="shared" si="146"/>
        <v>0</v>
      </c>
      <c r="L858">
        <f t="shared" si="147"/>
        <v>95</v>
      </c>
      <c r="M858">
        <f t="shared" si="148"/>
        <v>1</v>
      </c>
      <c r="N858">
        <f t="shared" si="149"/>
        <v>0</v>
      </c>
    </row>
    <row r="859" spans="4:14" x14ac:dyDescent="0.2">
      <c r="D859">
        <f t="shared" si="151"/>
        <v>836</v>
      </c>
      <c r="E859" s="1">
        <f t="shared" si="152"/>
        <v>-6.3868830749273702</v>
      </c>
      <c r="F859" s="1">
        <f t="shared" si="153"/>
        <v>-8.7225927894570994</v>
      </c>
      <c r="G859" s="1">
        <f t="shared" si="150"/>
        <v>1.6286436999439794E-4</v>
      </c>
      <c r="H859" s="1">
        <f t="shared" si="143"/>
        <v>1.6749119234083902E-6</v>
      </c>
      <c r="I859">
        <f t="shared" si="144"/>
        <v>10</v>
      </c>
      <c r="J859">
        <f t="shared" si="145"/>
        <v>822</v>
      </c>
      <c r="K859" s="5">
        <f t="shared" si="146"/>
        <v>0</v>
      </c>
      <c r="L859">
        <f t="shared" si="147"/>
        <v>95</v>
      </c>
      <c r="M859">
        <f t="shared" si="148"/>
        <v>1</v>
      </c>
      <c r="N859">
        <f t="shared" si="149"/>
        <v>0</v>
      </c>
    </row>
    <row r="860" spans="4:14" x14ac:dyDescent="0.2">
      <c r="D860">
        <f t="shared" si="151"/>
        <v>837</v>
      </c>
      <c r="E860" s="1">
        <f t="shared" si="152"/>
        <v>-6.3973543747946664</v>
      </c>
      <c r="F860" s="1">
        <f t="shared" si="153"/>
        <v>-8.7330640893243974</v>
      </c>
      <c r="G860" s="1">
        <f t="shared" si="150"/>
        <v>1.6116786614028922E-4</v>
      </c>
      <c r="H860" s="1">
        <f t="shared" si="143"/>
        <v>1.6574649242062153E-6</v>
      </c>
      <c r="I860">
        <f t="shared" si="144"/>
        <v>10</v>
      </c>
      <c r="J860">
        <f t="shared" si="145"/>
        <v>823</v>
      </c>
      <c r="K860" s="5">
        <f t="shared" si="146"/>
        <v>0</v>
      </c>
      <c r="L860">
        <f t="shared" si="147"/>
        <v>95</v>
      </c>
      <c r="M860">
        <f t="shared" si="148"/>
        <v>1</v>
      </c>
      <c r="N860">
        <f t="shared" si="149"/>
        <v>0</v>
      </c>
    </row>
    <row r="861" spans="4:14" x14ac:dyDescent="0.2">
      <c r="D861">
        <f t="shared" si="151"/>
        <v>838</v>
      </c>
      <c r="E861" s="1">
        <f t="shared" si="152"/>
        <v>-6.4078256746619626</v>
      </c>
      <c r="F861" s="1">
        <f t="shared" si="153"/>
        <v>-8.7435353891916918</v>
      </c>
      <c r="G861" s="1">
        <f t="shared" si="150"/>
        <v>1.5948903420132801E-4</v>
      </c>
      <c r="H861" s="1">
        <f t="shared" si="143"/>
        <v>1.6401996645790686E-6</v>
      </c>
      <c r="I861">
        <f t="shared" si="144"/>
        <v>10</v>
      </c>
      <c r="J861">
        <f t="shared" si="145"/>
        <v>824</v>
      </c>
      <c r="K861" s="5">
        <f t="shared" si="146"/>
        <v>0</v>
      </c>
      <c r="L861">
        <f t="shared" si="147"/>
        <v>95</v>
      </c>
      <c r="M861">
        <f t="shared" si="148"/>
        <v>1</v>
      </c>
      <c r="N861">
        <f t="shared" si="149"/>
        <v>0</v>
      </c>
    </row>
    <row r="862" spans="4:14" x14ac:dyDescent="0.2">
      <c r="D862">
        <f t="shared" si="151"/>
        <v>839</v>
      </c>
      <c r="E862" s="1">
        <f t="shared" si="152"/>
        <v>-6.4182969745292588</v>
      </c>
      <c r="F862" s="1">
        <f t="shared" si="153"/>
        <v>-8.7540066890589898</v>
      </c>
      <c r="G862" s="1">
        <f t="shared" si="150"/>
        <v>1.5782769009506378E-4</v>
      </c>
      <c r="H862" s="1">
        <f t="shared" si="143"/>
        <v>1.6231142514063659E-6</v>
      </c>
      <c r="I862">
        <f t="shared" si="144"/>
        <v>10</v>
      </c>
      <c r="J862">
        <f t="shared" si="145"/>
        <v>825</v>
      </c>
      <c r="K862" s="5">
        <f t="shared" si="146"/>
        <v>0</v>
      </c>
      <c r="L862">
        <f t="shared" si="147"/>
        <v>95</v>
      </c>
      <c r="M862">
        <f t="shared" si="148"/>
        <v>1</v>
      </c>
      <c r="N862">
        <f t="shared" si="149"/>
        <v>0</v>
      </c>
    </row>
    <row r="863" spans="4:14" x14ac:dyDescent="0.2">
      <c r="D863">
        <f t="shared" si="151"/>
        <v>840</v>
      </c>
      <c r="E863" s="1">
        <f t="shared" si="152"/>
        <v>-6.4287682743965551</v>
      </c>
      <c r="F863" s="1">
        <f t="shared" si="153"/>
        <v>-8.7644779889262843</v>
      </c>
      <c r="G863" s="1">
        <f t="shared" si="150"/>
        <v>1.5618365165657368E-4</v>
      </c>
      <c r="H863" s="1">
        <f t="shared" si="143"/>
        <v>1.606206811287551E-6</v>
      </c>
      <c r="I863">
        <f t="shared" si="144"/>
        <v>10</v>
      </c>
      <c r="J863">
        <f t="shared" si="145"/>
        <v>826</v>
      </c>
      <c r="K863" s="5">
        <f t="shared" si="146"/>
        <v>0</v>
      </c>
      <c r="L863">
        <f t="shared" si="147"/>
        <v>95</v>
      </c>
      <c r="M863">
        <f t="shared" si="148"/>
        <v>1</v>
      </c>
      <c r="N863">
        <f t="shared" si="149"/>
        <v>0</v>
      </c>
    </row>
    <row r="864" spans="4:14" x14ac:dyDescent="0.2">
      <c r="D864">
        <f t="shared" si="151"/>
        <v>841</v>
      </c>
      <c r="E864" s="1">
        <f t="shared" si="152"/>
        <v>-6.4392395742638513</v>
      </c>
      <c r="F864" s="1">
        <f t="shared" si="153"/>
        <v>-8.7749492887935823</v>
      </c>
      <c r="G864" s="1">
        <f t="shared" si="150"/>
        <v>1.5455673861848398E-4</v>
      </c>
      <c r="H864" s="1">
        <f t="shared" si="143"/>
        <v>1.589475490336635E-6</v>
      </c>
      <c r="I864">
        <f t="shared" si="144"/>
        <v>10</v>
      </c>
      <c r="J864">
        <f t="shared" si="145"/>
        <v>827</v>
      </c>
      <c r="K864" s="5">
        <f t="shared" si="146"/>
        <v>0</v>
      </c>
      <c r="L864">
        <f t="shared" si="147"/>
        <v>95</v>
      </c>
      <c r="M864">
        <f t="shared" si="148"/>
        <v>1</v>
      </c>
      <c r="N864">
        <f t="shared" si="149"/>
        <v>0</v>
      </c>
    </row>
    <row r="865" spans="4:14" x14ac:dyDescent="0.2">
      <c r="D865">
        <f t="shared" si="151"/>
        <v>842</v>
      </c>
      <c r="E865" s="1">
        <f t="shared" si="152"/>
        <v>-6.4497108741311475</v>
      </c>
      <c r="F865" s="1">
        <f t="shared" si="153"/>
        <v>-8.7854205886608767</v>
      </c>
      <c r="G865" s="1">
        <f t="shared" si="150"/>
        <v>1.5294677259120824E-4</v>
      </c>
      <c r="H865" s="1">
        <f t="shared" si="143"/>
        <v>1.5729184539789631E-6</v>
      </c>
      <c r="I865">
        <f t="shared" si="144"/>
        <v>10</v>
      </c>
      <c r="J865">
        <f t="shared" si="145"/>
        <v>828</v>
      </c>
      <c r="K865" s="5">
        <f t="shared" si="146"/>
        <v>0</v>
      </c>
      <c r="L865">
        <f t="shared" si="147"/>
        <v>95</v>
      </c>
      <c r="M865">
        <f t="shared" si="148"/>
        <v>1</v>
      </c>
      <c r="N865">
        <f t="shared" si="149"/>
        <v>0</v>
      </c>
    </row>
    <row r="866" spans="4:14" x14ac:dyDescent="0.2">
      <c r="D866">
        <f t="shared" si="151"/>
        <v>843</v>
      </c>
      <c r="E866" s="1">
        <f t="shared" si="152"/>
        <v>-6.4601821739984437</v>
      </c>
      <c r="F866" s="1">
        <f t="shared" si="153"/>
        <v>-8.7958918885281747</v>
      </c>
      <c r="G866" s="1">
        <f t="shared" si="150"/>
        <v>1.5135357704338276E-4</v>
      </c>
      <c r="H866" s="1">
        <f t="shared" si="143"/>
        <v>1.5565338867500116E-6</v>
      </c>
      <c r="I866">
        <f t="shared" si="144"/>
        <v>10</v>
      </c>
      <c r="J866">
        <f t="shared" si="145"/>
        <v>829</v>
      </c>
      <c r="K866" s="5">
        <f t="shared" si="146"/>
        <v>0</v>
      </c>
      <c r="L866">
        <f t="shared" si="147"/>
        <v>95</v>
      </c>
      <c r="M866">
        <f t="shared" si="148"/>
        <v>1</v>
      </c>
      <c r="N866">
        <f t="shared" si="149"/>
        <v>0</v>
      </c>
    </row>
    <row r="867" spans="4:14" x14ac:dyDescent="0.2">
      <c r="D867">
        <f t="shared" si="151"/>
        <v>844</v>
      </c>
      <c r="E867" s="1">
        <f t="shared" si="152"/>
        <v>-6.47065347386574</v>
      </c>
      <c r="F867" s="1">
        <f t="shared" si="153"/>
        <v>-8.8063631883954692</v>
      </c>
      <c r="G867" s="1">
        <f t="shared" si="150"/>
        <v>1.4977697728251434E-4</v>
      </c>
      <c r="H867" s="1">
        <f t="shared" si="143"/>
        <v>1.5403199920963671E-6</v>
      </c>
      <c r="I867">
        <f t="shared" si="144"/>
        <v>10</v>
      </c>
      <c r="J867">
        <f t="shared" si="145"/>
        <v>830</v>
      </c>
      <c r="K867" s="5">
        <f t="shared" si="146"/>
        <v>0</v>
      </c>
      <c r="L867">
        <f t="shared" si="147"/>
        <v>95</v>
      </c>
      <c r="M867">
        <f t="shared" si="148"/>
        <v>1</v>
      </c>
      <c r="N867">
        <f t="shared" si="149"/>
        <v>0</v>
      </c>
    </row>
    <row r="868" spans="4:14" x14ac:dyDescent="0.2">
      <c r="D868">
        <f t="shared" si="151"/>
        <v>845</v>
      </c>
      <c r="E868" s="1">
        <f t="shared" si="152"/>
        <v>-6.4811247737330362</v>
      </c>
      <c r="F868" s="1">
        <f t="shared" si="153"/>
        <v>-8.8168344882627672</v>
      </c>
      <c r="G868" s="1">
        <f t="shared" si="150"/>
        <v>1.4821680043582109E-4</v>
      </c>
      <c r="H868" s="1">
        <f t="shared" si="143"/>
        <v>1.5242749921786927E-6</v>
      </c>
      <c r="I868">
        <f t="shared" si="144"/>
        <v>10</v>
      </c>
      <c r="J868">
        <f t="shared" si="145"/>
        <v>831</v>
      </c>
      <c r="K868" s="5">
        <f t="shared" si="146"/>
        <v>0</v>
      </c>
      <c r="L868">
        <f t="shared" si="147"/>
        <v>95</v>
      </c>
      <c r="M868">
        <f t="shared" si="148"/>
        <v>1</v>
      </c>
      <c r="N868">
        <f t="shared" si="149"/>
        <v>0</v>
      </c>
    </row>
    <row r="869" spans="4:14" x14ac:dyDescent="0.2">
      <c r="D869">
        <f t="shared" si="151"/>
        <v>846</v>
      </c>
      <c r="E869" s="1">
        <f t="shared" si="152"/>
        <v>-6.4915960736003324</v>
      </c>
      <c r="F869" s="1">
        <f t="shared" si="153"/>
        <v>-8.8273057881300616</v>
      </c>
      <c r="G869" s="1">
        <f t="shared" si="150"/>
        <v>1.4667287543128143E-4</v>
      </c>
      <c r="H869" s="1">
        <f t="shared" si="143"/>
        <v>1.5083971276768328E-6</v>
      </c>
      <c r="I869">
        <f t="shared" si="144"/>
        <v>10</v>
      </c>
      <c r="J869">
        <f t="shared" si="145"/>
        <v>832</v>
      </c>
      <c r="K869" s="5">
        <f t="shared" si="146"/>
        <v>0</v>
      </c>
      <c r="L869">
        <f t="shared" si="147"/>
        <v>95</v>
      </c>
      <c r="M869">
        <f t="shared" si="148"/>
        <v>1</v>
      </c>
      <c r="N869">
        <f t="shared" si="149"/>
        <v>0</v>
      </c>
    </row>
    <row r="870" spans="4:14" x14ac:dyDescent="0.2">
      <c r="D870">
        <f t="shared" si="151"/>
        <v>847</v>
      </c>
      <c r="E870" s="1">
        <f t="shared" si="152"/>
        <v>-6.5020673734676286</v>
      </c>
      <c r="F870" s="1">
        <f t="shared" si="153"/>
        <v>-8.8377770879973596</v>
      </c>
      <c r="G870" s="1">
        <f t="shared" si="150"/>
        <v>1.4514503297887186E-4</v>
      </c>
      <c r="H870" s="1">
        <f t="shared" si="143"/>
        <v>1.4926846575968618E-6</v>
      </c>
      <c r="I870">
        <f t="shared" si="144"/>
        <v>10</v>
      </c>
      <c r="J870">
        <f t="shared" si="145"/>
        <v>833</v>
      </c>
      <c r="K870" s="5">
        <f t="shared" si="146"/>
        <v>0</v>
      </c>
      <c r="L870">
        <f t="shared" si="147"/>
        <v>95</v>
      </c>
      <c r="M870">
        <f t="shared" si="148"/>
        <v>1</v>
      </c>
      <c r="N870">
        <f t="shared" si="149"/>
        <v>0</v>
      </c>
    </row>
    <row r="871" spans="4:14" x14ac:dyDescent="0.2">
      <c r="D871">
        <f t="shared" si="151"/>
        <v>848</v>
      </c>
      <c r="E871" s="1">
        <f t="shared" si="152"/>
        <v>-6.5125386733349249</v>
      </c>
      <c r="F871" s="1">
        <f t="shared" si="153"/>
        <v>-8.8482483878646541</v>
      </c>
      <c r="G871" s="1">
        <f t="shared" si="150"/>
        <v>1.4363310555200876E-4</v>
      </c>
      <c r="H871" s="1">
        <f t="shared" si="143"/>
        <v>1.4771358590802292E-6</v>
      </c>
      <c r="I871">
        <f t="shared" si="144"/>
        <v>10</v>
      </c>
      <c r="J871">
        <f t="shared" si="145"/>
        <v>834</v>
      </c>
      <c r="K871" s="5">
        <f t="shared" si="146"/>
        <v>0</v>
      </c>
      <c r="L871">
        <f t="shared" si="147"/>
        <v>95</v>
      </c>
      <c r="M871">
        <f t="shared" si="148"/>
        <v>1</v>
      </c>
      <c r="N871">
        <f t="shared" si="149"/>
        <v>0</v>
      </c>
    </row>
    <row r="872" spans="4:14" x14ac:dyDescent="0.2">
      <c r="D872">
        <f t="shared" si="151"/>
        <v>849</v>
      </c>
      <c r="E872" s="1">
        <f t="shared" si="152"/>
        <v>-6.5230099732022211</v>
      </c>
      <c r="F872" s="1">
        <f t="shared" si="153"/>
        <v>-8.8587196877319521</v>
      </c>
      <c r="G872" s="1">
        <f t="shared" si="150"/>
        <v>1.4213692736917495E-4</v>
      </c>
      <c r="H872" s="1">
        <f t="shared" si="143"/>
        <v>1.4617490272148063E-6</v>
      </c>
      <c r="I872">
        <f t="shared" si="144"/>
        <v>10</v>
      </c>
      <c r="J872">
        <f t="shared" si="145"/>
        <v>835</v>
      </c>
      <c r="K872" s="5">
        <f t="shared" si="146"/>
        <v>0</v>
      </c>
      <c r="L872">
        <f t="shared" si="147"/>
        <v>95</v>
      </c>
      <c r="M872">
        <f t="shared" si="148"/>
        <v>1</v>
      </c>
      <c r="N872">
        <f t="shared" si="149"/>
        <v>0</v>
      </c>
    </row>
    <row r="873" spans="4:14" x14ac:dyDescent="0.2">
      <c r="D873">
        <f t="shared" si="151"/>
        <v>850</v>
      </c>
      <c r="E873" s="1">
        <f t="shared" si="152"/>
        <v>-6.5334812730695173</v>
      </c>
      <c r="F873" s="1">
        <f t="shared" si="153"/>
        <v>-8.8691909875992465</v>
      </c>
      <c r="G873" s="1">
        <f t="shared" si="150"/>
        <v>1.4065633437574618E-4</v>
      </c>
      <c r="H873" s="1">
        <f t="shared" si="143"/>
        <v>1.4465224748479867E-6</v>
      </c>
      <c r="I873">
        <f t="shared" si="144"/>
        <v>10</v>
      </c>
      <c r="J873">
        <f t="shared" si="145"/>
        <v>836</v>
      </c>
      <c r="K873" s="5">
        <f t="shared" si="146"/>
        <v>0</v>
      </c>
      <c r="L873">
        <f t="shared" si="147"/>
        <v>95</v>
      </c>
      <c r="M873">
        <f t="shared" si="148"/>
        <v>1</v>
      </c>
      <c r="N873">
        <f t="shared" si="149"/>
        <v>0</v>
      </c>
    </row>
    <row r="874" spans="4:14" x14ac:dyDescent="0.2">
      <c r="D874">
        <f t="shared" si="151"/>
        <v>851</v>
      </c>
      <c r="E874" s="1">
        <f t="shared" si="152"/>
        <v>-6.5439525729368135</v>
      </c>
      <c r="F874" s="1">
        <f t="shared" si="153"/>
        <v>-8.8796622874665445</v>
      </c>
      <c r="G874" s="1">
        <f t="shared" si="150"/>
        <v>1.3919116422599848E-4</v>
      </c>
      <c r="H874" s="1">
        <f t="shared" si="143"/>
        <v>1.4314545324016501E-6</v>
      </c>
      <c r="I874">
        <f t="shared" si="144"/>
        <v>10</v>
      </c>
      <c r="J874">
        <f t="shared" si="145"/>
        <v>837</v>
      </c>
      <c r="K874" s="5">
        <f t="shared" si="146"/>
        <v>0</v>
      </c>
      <c r="L874">
        <f t="shared" si="147"/>
        <v>95</v>
      </c>
      <c r="M874">
        <f t="shared" si="148"/>
        <v>1</v>
      </c>
      <c r="N874">
        <f t="shared" si="149"/>
        <v>0</v>
      </c>
    </row>
    <row r="875" spans="4:14" x14ac:dyDescent="0.2">
      <c r="D875">
        <f t="shared" si="151"/>
        <v>852</v>
      </c>
      <c r="E875" s="1">
        <f t="shared" si="152"/>
        <v>-6.5544238728041098</v>
      </c>
      <c r="F875" s="1">
        <f t="shared" si="153"/>
        <v>-8.890133587333839</v>
      </c>
      <c r="G875" s="1">
        <f t="shared" si="150"/>
        <v>1.3774125626531112E-4</v>
      </c>
      <c r="H875" s="1">
        <f t="shared" si="143"/>
        <v>1.4165435476891342E-6</v>
      </c>
      <c r="I875">
        <f t="shared" si="144"/>
        <v>10</v>
      </c>
      <c r="J875">
        <f t="shared" si="145"/>
        <v>838</v>
      </c>
      <c r="K875" s="5">
        <f t="shared" si="146"/>
        <v>0</v>
      </c>
      <c r="L875">
        <f t="shared" si="147"/>
        <v>95</v>
      </c>
      <c r="M875">
        <f t="shared" si="148"/>
        <v>1</v>
      </c>
      <c r="N875">
        <f t="shared" si="149"/>
        <v>0</v>
      </c>
    </row>
    <row r="876" spans="4:14" x14ac:dyDescent="0.2">
      <c r="D876">
        <f t="shared" si="151"/>
        <v>853</v>
      </c>
      <c r="E876" s="1">
        <f t="shared" si="152"/>
        <v>-6.564895172671406</v>
      </c>
      <c r="F876" s="1">
        <f t="shared" si="153"/>
        <v>-8.900604887201137</v>
      </c>
      <c r="G876" s="1">
        <f t="shared" si="150"/>
        <v>1.3630645151254712E-4</v>
      </c>
      <c r="H876" s="1">
        <f t="shared" si="143"/>
        <v>1.4017878857340354E-6</v>
      </c>
      <c r="I876">
        <f t="shared" si="144"/>
        <v>10</v>
      </c>
      <c r="J876">
        <f t="shared" si="145"/>
        <v>839</v>
      </c>
      <c r="K876" s="5">
        <f t="shared" si="146"/>
        <v>0</v>
      </c>
      <c r="L876">
        <f t="shared" si="147"/>
        <v>95</v>
      </c>
      <c r="M876">
        <f t="shared" si="148"/>
        <v>1</v>
      </c>
      <c r="N876">
        <f t="shared" si="149"/>
        <v>0</v>
      </c>
    </row>
    <row r="877" spans="4:14" x14ac:dyDescent="0.2">
      <c r="D877">
        <f t="shared" si="151"/>
        <v>854</v>
      </c>
      <c r="E877" s="1">
        <f t="shared" si="152"/>
        <v>-6.5753664725387022</v>
      </c>
      <c r="F877" s="1">
        <f t="shared" si="153"/>
        <v>-8.9110761870684314</v>
      </c>
      <c r="G877" s="1">
        <f t="shared" si="150"/>
        <v>1.3488659264262488E-4</v>
      </c>
      <c r="H877" s="1">
        <f t="shared" si="143"/>
        <v>1.3871859285909738E-6</v>
      </c>
      <c r="I877">
        <f t="shared" si="144"/>
        <v>10</v>
      </c>
      <c r="J877">
        <f t="shared" si="145"/>
        <v>840</v>
      </c>
      <c r="K877" s="5">
        <f t="shared" si="146"/>
        <v>0</v>
      </c>
      <c r="L877">
        <f t="shared" si="147"/>
        <v>95</v>
      </c>
      <c r="M877">
        <f t="shared" si="148"/>
        <v>1</v>
      </c>
      <c r="N877">
        <f t="shared" si="149"/>
        <v>0</v>
      </c>
    </row>
    <row r="878" spans="4:14" x14ac:dyDescent="0.2">
      <c r="D878">
        <f t="shared" si="151"/>
        <v>855</v>
      </c>
      <c r="E878" s="1">
        <f t="shared" si="152"/>
        <v>-6.5858377724059984</v>
      </c>
      <c r="F878" s="1">
        <f t="shared" si="153"/>
        <v>-8.9215474869357294</v>
      </c>
      <c r="G878" s="1">
        <f t="shared" si="150"/>
        <v>1.3348152396926386E-4</v>
      </c>
      <c r="H878" s="1">
        <f t="shared" si="143"/>
        <v>1.3727360751681476E-6</v>
      </c>
      <c r="I878">
        <f t="shared" si="144"/>
        <v>10</v>
      </c>
      <c r="J878">
        <f t="shared" si="145"/>
        <v>841</v>
      </c>
      <c r="K878" s="5">
        <f t="shared" si="146"/>
        <v>0</v>
      </c>
      <c r="L878">
        <f t="shared" si="147"/>
        <v>95</v>
      </c>
      <c r="M878">
        <f t="shared" si="148"/>
        <v>1</v>
      </c>
      <c r="N878">
        <f t="shared" si="149"/>
        <v>0</v>
      </c>
    </row>
    <row r="879" spans="4:14" x14ac:dyDescent="0.2">
      <c r="D879">
        <f t="shared" si="151"/>
        <v>856</v>
      </c>
      <c r="E879" s="1">
        <f t="shared" si="152"/>
        <v>-6.5963090722732947</v>
      </c>
      <c r="F879" s="1">
        <f t="shared" si="153"/>
        <v>-8.9320187868030239</v>
      </c>
      <c r="G879" s="1">
        <f t="shared" si="150"/>
        <v>1.3209109142791749E-4</v>
      </c>
      <c r="H879" s="1">
        <f t="shared" si="143"/>
        <v>1.358436741051814E-6</v>
      </c>
      <c r="I879">
        <f t="shared" si="144"/>
        <v>10</v>
      </c>
      <c r="J879">
        <f t="shared" si="145"/>
        <v>842</v>
      </c>
      <c r="K879" s="5">
        <f t="shared" si="146"/>
        <v>0</v>
      </c>
      <c r="L879">
        <f t="shared" si="147"/>
        <v>95</v>
      </c>
      <c r="M879">
        <f t="shared" si="148"/>
        <v>1</v>
      </c>
      <c r="N879">
        <f t="shared" si="149"/>
        <v>0</v>
      </c>
    </row>
    <row r="880" spans="4:14" x14ac:dyDescent="0.2">
      <c r="D880">
        <f t="shared" si="151"/>
        <v>857</v>
      </c>
      <c r="E880" s="1">
        <f t="shared" si="152"/>
        <v>-6.6067803721405909</v>
      </c>
      <c r="F880" s="1">
        <f t="shared" si="153"/>
        <v>-8.9424900866703219</v>
      </c>
      <c r="G880" s="1">
        <f t="shared" si="150"/>
        <v>1.3071514255887632E-4</v>
      </c>
      <c r="H880" s="1">
        <f t="shared" si="143"/>
        <v>1.3442863583325206E-6</v>
      </c>
      <c r="I880">
        <f t="shared" si="144"/>
        <v>10</v>
      </c>
      <c r="J880">
        <f t="shared" si="145"/>
        <v>843</v>
      </c>
      <c r="K880" s="5">
        <f t="shared" si="146"/>
        <v>0</v>
      </c>
      <c r="L880">
        <f t="shared" si="147"/>
        <v>95</v>
      </c>
      <c r="M880">
        <f t="shared" si="148"/>
        <v>1</v>
      </c>
      <c r="N880">
        <f t="shared" si="149"/>
        <v>0</v>
      </c>
    </row>
    <row r="881" spans="4:14" x14ac:dyDescent="0.2">
      <c r="D881">
        <f t="shared" si="151"/>
        <v>858</v>
      </c>
      <c r="E881" s="1">
        <f t="shared" si="152"/>
        <v>-6.6172516720078871</v>
      </c>
      <c r="F881" s="1">
        <f t="shared" si="153"/>
        <v>-8.9529613865376163</v>
      </c>
      <c r="G881" s="1">
        <f t="shared" si="150"/>
        <v>1.2935352649055484E-4</v>
      </c>
      <c r="H881" s="1">
        <f t="shared" si="143"/>
        <v>1.3302833754332251E-6</v>
      </c>
      <c r="I881">
        <f t="shared" si="144"/>
        <v>10</v>
      </c>
      <c r="J881">
        <f t="shared" si="145"/>
        <v>844</v>
      </c>
      <c r="K881" s="5">
        <f t="shared" si="146"/>
        <v>0</v>
      </c>
      <c r="L881">
        <f t="shared" si="147"/>
        <v>95</v>
      </c>
      <c r="M881">
        <f t="shared" si="148"/>
        <v>1</v>
      </c>
      <c r="N881">
        <f t="shared" si="149"/>
        <v>0</v>
      </c>
    </row>
    <row r="882" spans="4:14" x14ac:dyDescent="0.2">
      <c r="D882">
        <f t="shared" si="151"/>
        <v>859</v>
      </c>
      <c r="E882" s="1">
        <f t="shared" si="152"/>
        <v>-6.6277229718751833</v>
      </c>
      <c r="F882" s="1">
        <f t="shared" si="153"/>
        <v>-8.9634326864049143</v>
      </c>
      <c r="G882" s="1">
        <f t="shared" si="150"/>
        <v>1.2800609392294454E-4</v>
      </c>
      <c r="H882" s="1">
        <f t="shared" si="143"/>
        <v>1.3164262569391253E-6</v>
      </c>
      <c r="I882">
        <f t="shared" si="144"/>
        <v>10</v>
      </c>
      <c r="J882">
        <f t="shared" si="145"/>
        <v>845</v>
      </c>
      <c r="K882" s="5">
        <f t="shared" si="146"/>
        <v>0</v>
      </c>
      <c r="L882">
        <f t="shared" si="147"/>
        <v>95</v>
      </c>
      <c r="M882">
        <f t="shared" si="148"/>
        <v>1</v>
      </c>
      <c r="N882">
        <f t="shared" si="149"/>
        <v>0</v>
      </c>
    </row>
    <row r="883" spans="4:14" x14ac:dyDescent="0.2">
      <c r="D883">
        <f t="shared" si="151"/>
        <v>860</v>
      </c>
      <c r="E883" s="1">
        <f t="shared" si="152"/>
        <v>-6.6381942717424796</v>
      </c>
      <c r="F883" s="1">
        <f t="shared" si="153"/>
        <v>-8.9739039862722088</v>
      </c>
      <c r="G883" s="1">
        <f t="shared" si="150"/>
        <v>1.2667269711124735E-4</v>
      </c>
      <c r="H883" s="1">
        <f t="shared" si="143"/>
        <v>1.3027134834293442E-6</v>
      </c>
      <c r="I883">
        <f t="shared" si="144"/>
        <v>10</v>
      </c>
      <c r="J883">
        <f t="shared" si="145"/>
        <v>846</v>
      </c>
      <c r="K883" s="5">
        <f t="shared" si="146"/>
        <v>0</v>
      </c>
      <c r="L883">
        <f t="shared" si="147"/>
        <v>95</v>
      </c>
      <c r="M883">
        <f t="shared" si="148"/>
        <v>1</v>
      </c>
      <c r="N883">
        <f t="shared" si="149"/>
        <v>0</v>
      </c>
    </row>
    <row r="884" spans="4:14" x14ac:dyDescent="0.2">
      <c r="D884">
        <f t="shared" si="151"/>
        <v>861</v>
      </c>
      <c r="E884" s="1">
        <f t="shared" si="152"/>
        <v>-6.6486655716097758</v>
      </c>
      <c r="F884" s="1">
        <f t="shared" si="153"/>
        <v>-8.9843752861395068</v>
      </c>
      <c r="G884" s="1">
        <f t="shared" si="150"/>
        <v>1.2535318984967152E-4</v>
      </c>
      <c r="H884" s="1">
        <f t="shared" si="143"/>
        <v>1.2891435513102853E-6</v>
      </c>
      <c r="I884">
        <f t="shared" si="144"/>
        <v>10</v>
      </c>
      <c r="J884">
        <f t="shared" si="145"/>
        <v>847</v>
      </c>
      <c r="K884" s="5">
        <f t="shared" si="146"/>
        <v>0</v>
      </c>
      <c r="L884">
        <f t="shared" si="147"/>
        <v>95</v>
      </c>
      <c r="M884">
        <f t="shared" si="148"/>
        <v>1</v>
      </c>
      <c r="N884">
        <f t="shared" si="149"/>
        <v>0</v>
      </c>
    </row>
    <row r="885" spans="4:14" x14ac:dyDescent="0.2">
      <c r="D885">
        <f t="shared" si="151"/>
        <v>862</v>
      </c>
      <c r="E885" s="1">
        <f t="shared" si="152"/>
        <v>-6.659136871477072</v>
      </c>
      <c r="F885" s="1">
        <f t="shared" si="153"/>
        <v>-8.9948465860068012</v>
      </c>
      <c r="G885" s="1">
        <f t="shared" si="150"/>
        <v>1.2404742745540423E-4</v>
      </c>
      <c r="H885" s="1">
        <f t="shared" si="143"/>
        <v>1.2757149726508042E-6</v>
      </c>
      <c r="I885">
        <f t="shared" si="144"/>
        <v>10</v>
      </c>
      <c r="J885">
        <f t="shared" si="145"/>
        <v>848</v>
      </c>
      <c r="K885" s="5">
        <f t="shared" si="146"/>
        <v>0</v>
      </c>
      <c r="L885">
        <f t="shared" si="147"/>
        <v>95</v>
      </c>
      <c r="M885">
        <f t="shared" si="148"/>
        <v>1</v>
      </c>
      <c r="N885">
        <f t="shared" si="149"/>
        <v>0</v>
      </c>
    </row>
    <row r="886" spans="4:14" x14ac:dyDescent="0.2">
      <c r="D886">
        <f t="shared" si="151"/>
        <v>863</v>
      </c>
      <c r="E886" s="1">
        <f t="shared" si="152"/>
        <v>-6.6696081713443682</v>
      </c>
      <c r="F886" s="1">
        <f t="shared" si="153"/>
        <v>-9.0053178858740992</v>
      </c>
      <c r="G886" s="1">
        <f t="shared" si="150"/>
        <v>1.2275526675274343E-4</v>
      </c>
      <c r="H886" s="1">
        <f t="shared" si="143"/>
        <v>1.2624262750190217E-6</v>
      </c>
      <c r="I886">
        <f t="shared" si="144"/>
        <v>10</v>
      </c>
      <c r="J886">
        <f t="shared" si="145"/>
        <v>849</v>
      </c>
      <c r="K886" s="5">
        <f t="shared" si="146"/>
        <v>0</v>
      </c>
      <c r="L886">
        <f t="shared" si="147"/>
        <v>95</v>
      </c>
      <c r="M886">
        <f t="shared" si="148"/>
        <v>1</v>
      </c>
      <c r="N886">
        <f t="shared" si="149"/>
        <v>0</v>
      </c>
    </row>
    <row r="887" spans="4:14" x14ac:dyDescent="0.2">
      <c r="D887">
        <f t="shared" si="151"/>
        <v>864</v>
      </c>
      <c r="E887" s="1">
        <f t="shared" si="152"/>
        <v>-6.6800794712116645</v>
      </c>
      <c r="F887" s="1">
        <f t="shared" si="153"/>
        <v>-9.0157891857413937</v>
      </c>
      <c r="G887" s="1">
        <f t="shared" si="150"/>
        <v>1.2147656605740248E-4</v>
      </c>
      <c r="H887" s="1">
        <f t="shared" si="143"/>
        <v>1.2492760013209081E-6</v>
      </c>
      <c r="I887">
        <f t="shared" si="144"/>
        <v>10</v>
      </c>
      <c r="J887">
        <f t="shared" si="145"/>
        <v>850</v>
      </c>
      <c r="K887" s="5">
        <f t="shared" si="146"/>
        <v>0</v>
      </c>
      <c r="L887">
        <f t="shared" si="147"/>
        <v>95</v>
      </c>
      <c r="M887">
        <f t="shared" si="148"/>
        <v>1</v>
      </c>
      <c r="N887">
        <f t="shared" si="149"/>
        <v>0</v>
      </c>
    </row>
    <row r="888" spans="4:14" x14ac:dyDescent="0.2">
      <c r="D888">
        <f t="shared" si="151"/>
        <v>865</v>
      </c>
      <c r="E888" s="1">
        <f t="shared" si="152"/>
        <v>-6.6905507710789607</v>
      </c>
      <c r="F888" s="1">
        <f t="shared" si="153"/>
        <v>-9.0262604856086917</v>
      </c>
      <c r="G888" s="1">
        <f t="shared" si="150"/>
        <v>1.202111851609709E-4</v>
      </c>
      <c r="H888" s="1">
        <f t="shared" si="143"/>
        <v>1.2362627096404789E-6</v>
      </c>
      <c r="I888">
        <f t="shared" si="144"/>
        <v>10</v>
      </c>
      <c r="J888">
        <f t="shared" si="145"/>
        <v>851</v>
      </c>
      <c r="K888" s="5">
        <f t="shared" si="146"/>
        <v>0</v>
      </c>
      <c r="L888">
        <f t="shared" si="147"/>
        <v>95</v>
      </c>
      <c r="M888">
        <f t="shared" si="148"/>
        <v>1</v>
      </c>
      <c r="N888">
        <f t="shared" si="149"/>
        <v>0</v>
      </c>
    </row>
    <row r="889" spans="4:14" x14ac:dyDescent="0.2">
      <c r="D889">
        <f t="shared" si="151"/>
        <v>866</v>
      </c>
      <c r="E889" s="1">
        <f t="shared" si="152"/>
        <v>-6.7010220709462569</v>
      </c>
      <c r="F889" s="1">
        <f t="shared" si="153"/>
        <v>-9.0367317854759861</v>
      </c>
      <c r="G889" s="1">
        <f t="shared" si="150"/>
        <v>1.1895898531554422E-4</v>
      </c>
      <c r="H889" s="1">
        <f t="shared" si="143"/>
        <v>1.2233849730817249E-6</v>
      </c>
      <c r="I889">
        <f t="shared" si="144"/>
        <v>10</v>
      </c>
      <c r="J889">
        <f t="shared" si="145"/>
        <v>852</v>
      </c>
      <c r="K889" s="5">
        <f t="shared" si="146"/>
        <v>0</v>
      </c>
      <c r="L889">
        <f t="shared" si="147"/>
        <v>95</v>
      </c>
      <c r="M889">
        <f t="shared" si="148"/>
        <v>1</v>
      </c>
      <c r="N889">
        <f t="shared" si="149"/>
        <v>0</v>
      </c>
    </row>
    <row r="890" spans="4:14" x14ac:dyDescent="0.2">
      <c r="D890">
        <f t="shared" si="151"/>
        <v>867</v>
      </c>
      <c r="E890" s="1">
        <f t="shared" si="152"/>
        <v>-6.7114933708135531</v>
      </c>
      <c r="F890" s="1">
        <f t="shared" si="153"/>
        <v>-9.0472030853432841</v>
      </c>
      <c r="G890" s="1">
        <f t="shared" si="150"/>
        <v>1.17719829218507E-4</v>
      </c>
      <c r="H890" s="1">
        <f t="shared" si="143"/>
        <v>1.2106413796121206E-6</v>
      </c>
      <c r="I890">
        <f t="shared" si="144"/>
        <v>10</v>
      </c>
      <c r="J890">
        <f t="shared" si="145"/>
        <v>853</v>
      </c>
      <c r="K890" s="5">
        <f t="shared" si="146"/>
        <v>0</v>
      </c>
      <c r="L890">
        <f t="shared" si="147"/>
        <v>95</v>
      </c>
      <c r="M890">
        <f t="shared" si="148"/>
        <v>1</v>
      </c>
      <c r="N890">
        <f t="shared" si="149"/>
        <v>0</v>
      </c>
    </row>
    <row r="891" spans="4:14" x14ac:dyDescent="0.2">
      <c r="D891">
        <f t="shared" si="151"/>
        <v>868</v>
      </c>
      <c r="E891" s="1">
        <f t="shared" si="152"/>
        <v>-6.7219646706808494</v>
      </c>
      <c r="F891" s="1">
        <f t="shared" si="153"/>
        <v>-9.0576743852105785</v>
      </c>
      <c r="G891" s="1">
        <f t="shared" si="150"/>
        <v>1.16493580997481E-4</v>
      </c>
      <c r="H891" s="1">
        <f t="shared" si="143"/>
        <v>1.1980305319078289E-6</v>
      </c>
      <c r="I891">
        <f t="shared" si="144"/>
        <v>10</v>
      </c>
      <c r="J891">
        <f t="shared" si="145"/>
        <v>854</v>
      </c>
      <c r="K891" s="5">
        <f t="shared" si="146"/>
        <v>0</v>
      </c>
      <c r="L891">
        <f t="shared" si="147"/>
        <v>95</v>
      </c>
      <c r="M891">
        <f t="shared" si="148"/>
        <v>1</v>
      </c>
      <c r="N891">
        <f t="shared" si="149"/>
        <v>0</v>
      </c>
    </row>
    <row r="892" spans="4:14" x14ac:dyDescent="0.2">
      <c r="D892">
        <f t="shared" si="151"/>
        <v>869</v>
      </c>
      <c r="E892" s="1">
        <f t="shared" si="152"/>
        <v>-6.7324359705481456</v>
      </c>
      <c r="F892" s="1">
        <f t="shared" si="153"/>
        <v>-9.0681456850778765</v>
      </c>
      <c r="G892" s="1">
        <f t="shared" si="150"/>
        <v>1.1528010619542361E-4</v>
      </c>
      <c r="H892" s="1">
        <f t="shared" si="143"/>
        <v>1.1855510472004526E-6</v>
      </c>
      <c r="I892">
        <f t="shared" si="144"/>
        <v>10</v>
      </c>
      <c r="J892">
        <f t="shared" si="145"/>
        <v>855</v>
      </c>
      <c r="K892" s="5">
        <f t="shared" si="146"/>
        <v>0</v>
      </c>
      <c r="L892">
        <f t="shared" si="147"/>
        <v>95</v>
      </c>
      <c r="M892">
        <f t="shared" si="148"/>
        <v>1</v>
      </c>
      <c r="N892">
        <f t="shared" si="149"/>
        <v>0</v>
      </c>
    </row>
    <row r="893" spans="4:14" x14ac:dyDescent="0.2">
      <c r="D893">
        <f t="shared" si="151"/>
        <v>870</v>
      </c>
      <c r="E893" s="1">
        <f t="shared" si="152"/>
        <v>-6.7429072704154418</v>
      </c>
      <c r="F893" s="1">
        <f t="shared" si="153"/>
        <v>-9.078616984945171</v>
      </c>
      <c r="G893" s="1">
        <f t="shared" si="150"/>
        <v>1.1407927175588805E-4</v>
      </c>
      <c r="H893" s="1">
        <f t="shared" si="143"/>
        <v>1.1732015571254488E-6</v>
      </c>
      <c r="I893">
        <f t="shared" si="144"/>
        <v>10</v>
      </c>
      <c r="J893">
        <f t="shared" si="145"/>
        <v>856</v>
      </c>
      <c r="K893" s="5">
        <f t="shared" si="146"/>
        <v>0</v>
      </c>
      <c r="L893">
        <f t="shared" si="147"/>
        <v>95</v>
      </c>
      <c r="M893">
        <f t="shared" si="148"/>
        <v>1</v>
      </c>
      <c r="N893">
        <f t="shared" si="149"/>
        <v>0</v>
      </c>
    </row>
    <row r="894" spans="4:14" x14ac:dyDescent="0.2">
      <c r="D894">
        <f t="shared" si="151"/>
        <v>871</v>
      </c>
      <c r="E894" s="1">
        <f t="shared" si="152"/>
        <v>-6.753378570282738</v>
      </c>
      <c r="F894" s="1">
        <f t="shared" si="153"/>
        <v>-9.089088284812469</v>
      </c>
      <c r="G894" s="1">
        <f t="shared" si="150"/>
        <v>1.1289094600843059E-4</v>
      </c>
      <c r="H894" s="1">
        <f t="shared" si="143"/>
        <v>1.1609807075720558E-6</v>
      </c>
      <c r="I894">
        <f t="shared" si="144"/>
        <v>10</v>
      </c>
      <c r="J894">
        <f t="shared" si="145"/>
        <v>857</v>
      </c>
      <c r="K894" s="5">
        <f t="shared" si="146"/>
        <v>0</v>
      </c>
      <c r="L894">
        <f t="shared" si="147"/>
        <v>95</v>
      </c>
      <c r="M894">
        <f t="shared" si="148"/>
        <v>1</v>
      </c>
      <c r="N894">
        <f t="shared" si="149"/>
        <v>0</v>
      </c>
    </row>
    <row r="895" spans="4:14" x14ac:dyDescent="0.2">
      <c r="D895">
        <f t="shared" si="151"/>
        <v>872</v>
      </c>
      <c r="E895" s="1">
        <f t="shared" si="152"/>
        <v>-6.7638498701500342</v>
      </c>
      <c r="F895" s="1">
        <f t="shared" si="153"/>
        <v>-9.0995595846797634</v>
      </c>
      <c r="G895" s="1">
        <f t="shared" si="150"/>
        <v>1.1171499865417621E-4</v>
      </c>
      <c r="H895" s="1">
        <f t="shared" si="143"/>
        <v>1.1488871585348479E-6</v>
      </c>
      <c r="I895">
        <f t="shared" si="144"/>
        <v>10</v>
      </c>
      <c r="J895">
        <f t="shared" si="145"/>
        <v>858</v>
      </c>
      <c r="K895" s="5">
        <f t="shared" si="146"/>
        <v>0</v>
      </c>
      <c r="L895">
        <f t="shared" si="147"/>
        <v>95</v>
      </c>
      <c r="M895">
        <f t="shared" si="148"/>
        <v>1</v>
      </c>
      <c r="N895">
        <f t="shared" si="149"/>
        <v>0</v>
      </c>
    </row>
    <row r="896" spans="4:14" x14ac:dyDescent="0.2">
      <c r="D896">
        <f t="shared" si="151"/>
        <v>873</v>
      </c>
      <c r="E896" s="1">
        <f t="shared" si="152"/>
        <v>-6.7743211700173305</v>
      </c>
      <c r="F896" s="1">
        <f t="shared" si="153"/>
        <v>-9.1100308845470614</v>
      </c>
      <c r="G896" s="1">
        <f t="shared" si="150"/>
        <v>1.1055130075152826E-4</v>
      </c>
      <c r="H896" s="1">
        <f t="shared" si="143"/>
        <v>1.1369195839667736E-6</v>
      </c>
      <c r="I896">
        <f t="shared" si="144"/>
        <v>10</v>
      </c>
      <c r="J896">
        <f t="shared" si="145"/>
        <v>859</v>
      </c>
      <c r="K896" s="5">
        <f t="shared" si="146"/>
        <v>0</v>
      </c>
      <c r="L896">
        <f t="shared" si="147"/>
        <v>95</v>
      </c>
      <c r="M896">
        <f t="shared" si="148"/>
        <v>1</v>
      </c>
      <c r="N896">
        <f t="shared" si="149"/>
        <v>0</v>
      </c>
    </row>
    <row r="897" spans="4:14" x14ac:dyDescent="0.2">
      <c r="D897">
        <f t="shared" si="151"/>
        <v>874</v>
      </c>
      <c r="E897" s="1">
        <f t="shared" si="152"/>
        <v>-6.7847924698846267</v>
      </c>
      <c r="F897" s="1">
        <f t="shared" si="153"/>
        <v>-9.1205021844143559</v>
      </c>
      <c r="G897" s="1">
        <f t="shared" si="150"/>
        <v>1.0939972470203327E-4</v>
      </c>
      <c r="H897" s="1">
        <f t="shared" si="143"/>
        <v>1.1250766716337875E-6</v>
      </c>
      <c r="I897">
        <f t="shared" si="144"/>
        <v>10</v>
      </c>
      <c r="J897">
        <f t="shared" si="145"/>
        <v>860</v>
      </c>
      <c r="K897" s="5">
        <f t="shared" si="146"/>
        <v>0</v>
      </c>
      <c r="L897">
        <f t="shared" si="147"/>
        <v>95</v>
      </c>
      <c r="M897">
        <f t="shared" si="148"/>
        <v>1</v>
      </c>
      <c r="N897">
        <f t="shared" si="149"/>
        <v>0</v>
      </c>
    </row>
    <row r="898" spans="4:14" x14ac:dyDescent="0.2">
      <c r="D898">
        <f t="shared" si="151"/>
        <v>875</v>
      </c>
      <c r="E898" s="1">
        <f t="shared" si="152"/>
        <v>-6.7952637697519229</v>
      </c>
      <c r="F898" s="1">
        <f t="shared" si="153"/>
        <v>-9.1309734842816539</v>
      </c>
      <c r="G898" s="1">
        <f t="shared" si="150"/>
        <v>1.0826014423638681E-4</v>
      </c>
      <c r="H898" s="1">
        <f t="shared" si="143"/>
        <v>1.1133571229709326E-6</v>
      </c>
      <c r="I898">
        <f t="shared" si="144"/>
        <v>10</v>
      </c>
      <c r="J898">
        <f t="shared" si="145"/>
        <v>861</v>
      </c>
      <c r="K898" s="5">
        <f t="shared" si="146"/>
        <v>0</v>
      </c>
      <c r="L898">
        <f t="shared" si="147"/>
        <v>95</v>
      </c>
      <c r="M898">
        <f t="shared" si="148"/>
        <v>1</v>
      </c>
      <c r="N898">
        <f t="shared" si="149"/>
        <v>0</v>
      </c>
    </row>
    <row r="899" spans="4:14" x14ac:dyDescent="0.2">
      <c r="D899">
        <f t="shared" si="151"/>
        <v>876</v>
      </c>
      <c r="E899" s="1">
        <f t="shared" si="152"/>
        <v>-6.8057350696192191</v>
      </c>
      <c r="F899" s="1">
        <f t="shared" si="153"/>
        <v>-9.1414447841489483</v>
      </c>
      <c r="G899" s="1">
        <f t="shared" si="150"/>
        <v>1.0713243440059123E-4</v>
      </c>
      <c r="H899" s="1">
        <f t="shared" si="143"/>
        <v>1.1017596529399865E-6</v>
      </c>
      <c r="I899">
        <f t="shared" si="144"/>
        <v>10</v>
      </c>
      <c r="J899">
        <f t="shared" si="145"/>
        <v>862</v>
      </c>
      <c r="K899" s="5">
        <f t="shared" si="146"/>
        <v>0</v>
      </c>
      <c r="L899">
        <f t="shared" si="147"/>
        <v>95</v>
      </c>
      <c r="M899">
        <f t="shared" si="148"/>
        <v>1</v>
      </c>
      <c r="N899">
        <f t="shared" si="149"/>
        <v>0</v>
      </c>
    </row>
    <row r="900" spans="4:14" x14ac:dyDescent="0.2">
      <c r="D900">
        <f t="shared" si="151"/>
        <v>877</v>
      </c>
      <c r="E900" s="1">
        <f t="shared" si="152"/>
        <v>-6.8162063694865154</v>
      </c>
      <c r="F900" s="1">
        <f t="shared" si="153"/>
        <v>-9.1519160840162463</v>
      </c>
      <c r="G900" s="1">
        <f t="shared" si="150"/>
        <v>1.0601647154225145E-4</v>
      </c>
      <c r="H900" s="1">
        <f t="shared" si="143"/>
        <v>1.0902829898885255E-6</v>
      </c>
      <c r="I900">
        <f t="shared" si="144"/>
        <v>10</v>
      </c>
      <c r="J900">
        <f t="shared" si="145"/>
        <v>863</v>
      </c>
      <c r="K900" s="5">
        <f t="shared" si="146"/>
        <v>0</v>
      </c>
      <c r="L900">
        <f t="shared" si="147"/>
        <v>95</v>
      </c>
      <c r="M900">
        <f t="shared" si="148"/>
        <v>1</v>
      </c>
      <c r="N900">
        <f t="shared" si="149"/>
        <v>0</v>
      </c>
    </row>
    <row r="901" spans="4:14" x14ac:dyDescent="0.2">
      <c r="D901">
        <f t="shared" si="151"/>
        <v>878</v>
      </c>
      <c r="E901" s="1">
        <f t="shared" si="152"/>
        <v>-6.8266776693538116</v>
      </c>
      <c r="F901" s="1">
        <f t="shared" si="153"/>
        <v>-9.1623873838835408</v>
      </c>
      <c r="G901" s="1">
        <f t="shared" si="150"/>
        <v>1.0491213329701977E-4</v>
      </c>
      <c r="H901" s="1">
        <f t="shared" si="143"/>
        <v>1.078925875410521E-6</v>
      </c>
      <c r="I901">
        <f t="shared" si="144"/>
        <v>10</v>
      </c>
      <c r="J901">
        <f t="shared" si="145"/>
        <v>864</v>
      </c>
      <c r="K901" s="5">
        <f t="shared" si="146"/>
        <v>0</v>
      </c>
      <c r="L901">
        <f t="shared" si="147"/>
        <v>95</v>
      </c>
      <c r="M901">
        <f t="shared" si="148"/>
        <v>1</v>
      </c>
      <c r="N901">
        <f t="shared" si="149"/>
        <v>0</v>
      </c>
    </row>
    <row r="902" spans="4:14" x14ac:dyDescent="0.2">
      <c r="D902">
        <f t="shared" si="151"/>
        <v>879</v>
      </c>
      <c r="E902" s="1">
        <f t="shared" si="152"/>
        <v>-6.8371489692211078</v>
      </c>
      <c r="F902" s="1">
        <f t="shared" si="153"/>
        <v>-9.1728586837508388</v>
      </c>
      <c r="G902" s="1">
        <f t="shared" si="150"/>
        <v>1.0381929857517555E-4</v>
      </c>
      <c r="H902" s="1">
        <f t="shared" si="143"/>
        <v>1.0676870642083255E-6</v>
      </c>
      <c r="I902">
        <f t="shared" si="144"/>
        <v>10</v>
      </c>
      <c r="J902">
        <f t="shared" si="145"/>
        <v>865</v>
      </c>
      <c r="K902" s="5">
        <f t="shared" si="146"/>
        <v>0</v>
      </c>
      <c r="L902">
        <f t="shared" si="147"/>
        <v>95</v>
      </c>
      <c r="M902">
        <f t="shared" si="148"/>
        <v>1</v>
      </c>
      <c r="N902">
        <f t="shared" si="149"/>
        <v>0</v>
      </c>
    </row>
    <row r="903" spans="4:14" x14ac:dyDescent="0.2">
      <c r="D903">
        <f t="shared" si="151"/>
        <v>880</v>
      </c>
      <c r="E903" s="1">
        <f t="shared" si="152"/>
        <v>-6.847620269088404</v>
      </c>
      <c r="F903" s="1">
        <f t="shared" si="153"/>
        <v>-9.1833299836181332</v>
      </c>
      <c r="G903" s="1">
        <f t="shared" si="150"/>
        <v>1.0273784754835089E-4</v>
      </c>
      <c r="H903" s="1">
        <f t="shared" si="143"/>
        <v>1.0565653239561563E-6</v>
      </c>
      <c r="I903">
        <f t="shared" si="144"/>
        <v>10</v>
      </c>
      <c r="J903">
        <f t="shared" si="145"/>
        <v>866</v>
      </c>
      <c r="K903" s="5">
        <f t="shared" si="146"/>
        <v>0</v>
      </c>
      <c r="L903">
        <f t="shared" si="147"/>
        <v>95</v>
      </c>
      <c r="M903">
        <f t="shared" si="148"/>
        <v>1</v>
      </c>
      <c r="N903">
        <f t="shared" si="149"/>
        <v>0</v>
      </c>
    </row>
    <row r="904" spans="4:14" x14ac:dyDescent="0.2">
      <c r="D904">
        <f t="shared" si="151"/>
        <v>881</v>
      </c>
      <c r="E904" s="1">
        <f t="shared" si="152"/>
        <v>-6.8580915689557003</v>
      </c>
      <c r="F904" s="1">
        <f t="shared" si="153"/>
        <v>-9.1938012834854312</v>
      </c>
      <c r="G904" s="1">
        <f t="shared" si="150"/>
        <v>1.0166766163638864E-4</v>
      </c>
      <c r="H904" s="1">
        <f t="shared" si="143"/>
        <v>1.0455594351649435E-6</v>
      </c>
      <c r="I904">
        <f t="shared" si="144"/>
        <v>10</v>
      </c>
      <c r="J904">
        <f t="shared" si="145"/>
        <v>867</v>
      </c>
      <c r="K904" s="5">
        <f t="shared" si="146"/>
        <v>0</v>
      </c>
      <c r="L904">
        <f t="shared" si="147"/>
        <v>95</v>
      </c>
      <c r="M904">
        <f t="shared" si="148"/>
        <v>1</v>
      </c>
      <c r="N904">
        <f t="shared" si="149"/>
        <v>0</v>
      </c>
    </row>
    <row r="905" spans="4:14" x14ac:dyDescent="0.2">
      <c r="D905">
        <f t="shared" si="151"/>
        <v>882</v>
      </c>
      <c r="E905" s="1">
        <f t="shared" si="152"/>
        <v>-6.8685628688229965</v>
      </c>
      <c r="F905" s="1">
        <f t="shared" si="153"/>
        <v>-9.2042725833527257</v>
      </c>
      <c r="G905" s="1">
        <f t="shared" si="150"/>
        <v>1.0060862349434302E-4</v>
      </c>
      <c r="H905" s="1">
        <f t="shared" si="143"/>
        <v>1.0346681910486431E-6</v>
      </c>
      <c r="I905">
        <f t="shared" si="144"/>
        <v>10</v>
      </c>
      <c r="J905">
        <f t="shared" si="145"/>
        <v>868</v>
      </c>
      <c r="K905" s="5">
        <f t="shared" si="146"/>
        <v>0</v>
      </c>
      <c r="L905">
        <f t="shared" si="147"/>
        <v>95</v>
      </c>
      <c r="M905">
        <f t="shared" si="148"/>
        <v>1</v>
      </c>
      <c r="N905">
        <f t="shared" si="149"/>
        <v>0</v>
      </c>
    </row>
    <row r="906" spans="4:14" x14ac:dyDescent="0.2">
      <c r="D906">
        <f t="shared" si="151"/>
        <v>883</v>
      </c>
      <c r="E906" s="1">
        <f t="shared" si="152"/>
        <v>-6.8790341686902927</v>
      </c>
      <c r="F906" s="1">
        <f t="shared" si="153"/>
        <v>-9.2147438832200237</v>
      </c>
      <c r="G906" s="1">
        <f t="shared" si="150"/>
        <v>9.9560616999610029E-5</v>
      </c>
      <c r="H906" s="1">
        <f t="shared" si="143"/>
        <v>1.0238903973918839E-6</v>
      </c>
      <c r="I906">
        <f t="shared" si="144"/>
        <v>10</v>
      </c>
      <c r="J906">
        <f t="shared" si="145"/>
        <v>869</v>
      </c>
      <c r="K906" s="5">
        <f t="shared" si="146"/>
        <v>0</v>
      </c>
      <c r="L906">
        <f t="shared" si="147"/>
        <v>95</v>
      </c>
      <c r="M906">
        <f t="shared" si="148"/>
        <v>1</v>
      </c>
      <c r="N906">
        <f t="shared" si="149"/>
        <v>0</v>
      </c>
    </row>
    <row r="907" spans="4:14" x14ac:dyDescent="0.2">
      <c r="D907">
        <f t="shared" si="151"/>
        <v>884</v>
      </c>
      <c r="E907" s="1">
        <f t="shared" si="152"/>
        <v>-6.8895054685575889</v>
      </c>
      <c r="F907" s="1">
        <f t="shared" si="153"/>
        <v>-9.2252151830873181</v>
      </c>
      <c r="G907" s="1">
        <f t="shared" si="150"/>
        <v>9.852352723919751E-5</v>
      </c>
      <c r="H907" s="1">
        <f t="shared" si="143"/>
        <v>1.0132248724190525E-6</v>
      </c>
      <c r="I907">
        <f t="shared" si="144"/>
        <v>10</v>
      </c>
      <c r="J907">
        <f t="shared" si="145"/>
        <v>870</v>
      </c>
      <c r="K907" s="5">
        <f t="shared" si="146"/>
        <v>0</v>
      </c>
      <c r="L907">
        <f t="shared" si="147"/>
        <v>95</v>
      </c>
      <c r="M907">
        <f t="shared" si="148"/>
        <v>1</v>
      </c>
      <c r="N907">
        <f t="shared" si="149"/>
        <v>0</v>
      </c>
    </row>
    <row r="908" spans="4:14" x14ac:dyDescent="0.2">
      <c r="D908">
        <f t="shared" si="151"/>
        <v>885</v>
      </c>
      <c r="E908" s="1">
        <f t="shared" si="152"/>
        <v>-6.8999767684248852</v>
      </c>
      <c r="F908" s="1">
        <f t="shared" si="153"/>
        <v>-9.2356864829546161</v>
      </c>
      <c r="G908" s="1">
        <f t="shared" si="150"/>
        <v>9.749724049712229E-5</v>
      </c>
      <c r="H908" s="1">
        <f t="shared" si="143"/>
        <v>1.0026704466646849E-6</v>
      </c>
      <c r="I908">
        <f t="shared" si="144"/>
        <v>10</v>
      </c>
      <c r="J908">
        <f t="shared" si="145"/>
        <v>871</v>
      </c>
      <c r="K908" s="5">
        <f t="shared" si="146"/>
        <v>0</v>
      </c>
      <c r="L908">
        <f t="shared" si="147"/>
        <v>95</v>
      </c>
      <c r="M908">
        <f t="shared" si="148"/>
        <v>1</v>
      </c>
      <c r="N908">
        <f t="shared" si="149"/>
        <v>0</v>
      </c>
    </row>
    <row r="909" spans="4:14" x14ac:dyDescent="0.2">
      <c r="D909">
        <f t="shared" si="151"/>
        <v>886</v>
      </c>
      <c r="E909" s="1">
        <f t="shared" si="152"/>
        <v>-6.9104480682921814</v>
      </c>
      <c r="F909" s="1">
        <f t="shared" si="153"/>
        <v>-9.2461577828219106</v>
      </c>
      <c r="G909" s="1">
        <f t="shared" si="150"/>
        <v>9.6481644241944026E-5</v>
      </c>
      <c r="H909" s="1">
        <f t="shared" si="143"/>
        <v>9.9222596284526196E-7</v>
      </c>
      <c r="I909">
        <f t="shared" si="144"/>
        <v>10</v>
      </c>
      <c r="J909">
        <f t="shared" si="145"/>
        <v>872</v>
      </c>
      <c r="K909" s="5">
        <f t="shared" si="146"/>
        <v>0</v>
      </c>
      <c r="L909">
        <f t="shared" si="147"/>
        <v>95</v>
      </c>
      <c r="M909">
        <f t="shared" si="148"/>
        <v>1</v>
      </c>
      <c r="N909">
        <f t="shared" si="149"/>
        <v>0</v>
      </c>
    </row>
    <row r="910" spans="4:14" x14ac:dyDescent="0.2">
      <c r="D910">
        <f t="shared" si="151"/>
        <v>887</v>
      </c>
      <c r="E910" s="1">
        <f t="shared" si="152"/>
        <v>-6.9209193681594776</v>
      </c>
      <c r="F910" s="1">
        <f t="shared" si="153"/>
        <v>-9.2566290826892086</v>
      </c>
      <c r="G910" s="1">
        <f t="shared" si="150"/>
        <v>9.547662711442352E-5</v>
      </c>
      <c r="H910" s="1">
        <f t="shared" si="143"/>
        <v>9.8189027573228799E-7</v>
      </c>
      <c r="I910">
        <f t="shared" si="144"/>
        <v>10</v>
      </c>
      <c r="J910">
        <f t="shared" si="145"/>
        <v>873</v>
      </c>
      <c r="K910" s="5">
        <f t="shared" si="146"/>
        <v>0</v>
      </c>
      <c r="L910">
        <f t="shared" si="147"/>
        <v>95</v>
      </c>
      <c r="M910">
        <f t="shared" si="148"/>
        <v>1</v>
      </c>
      <c r="N910">
        <f t="shared" si="149"/>
        <v>0</v>
      </c>
    </row>
    <row r="911" spans="4:14" x14ac:dyDescent="0.2">
      <c r="D911">
        <f t="shared" si="151"/>
        <v>888</v>
      </c>
      <c r="E911" s="1">
        <f t="shared" si="152"/>
        <v>-6.9313906680267738</v>
      </c>
      <c r="F911" s="1">
        <f t="shared" si="153"/>
        <v>-9.267100382556503</v>
      </c>
      <c r="G911" s="1">
        <f t="shared" si="150"/>
        <v>9.4482078915315032E-5</v>
      </c>
      <c r="H911" s="1">
        <f t="shared" si="143"/>
        <v>9.7166225202674424E-7</v>
      </c>
      <c r="I911">
        <f t="shared" si="144"/>
        <v>10</v>
      </c>
      <c r="J911">
        <f t="shared" si="145"/>
        <v>874</v>
      </c>
      <c r="K911" s="5">
        <f t="shared" si="146"/>
        <v>0</v>
      </c>
      <c r="L911">
        <f t="shared" si="147"/>
        <v>95</v>
      </c>
      <c r="M911">
        <f t="shared" si="148"/>
        <v>1</v>
      </c>
      <c r="N911">
        <f t="shared" si="149"/>
        <v>0</v>
      </c>
    </row>
    <row r="912" spans="4:14" x14ac:dyDescent="0.2">
      <c r="D912">
        <f t="shared" si="151"/>
        <v>889</v>
      </c>
      <c r="E912" s="1">
        <f t="shared" si="152"/>
        <v>-6.9418619678940701</v>
      </c>
      <c r="F912" s="1">
        <f t="shared" si="153"/>
        <v>-9.277571682423801</v>
      </c>
      <c r="G912" s="1">
        <f t="shared" si="150"/>
        <v>9.3497890593280264E-5</v>
      </c>
      <c r="H912" s="1">
        <f t="shared" si="143"/>
        <v>9.6154077023479659E-7</v>
      </c>
      <c r="I912">
        <f t="shared" si="144"/>
        <v>10</v>
      </c>
      <c r="J912">
        <f t="shared" si="145"/>
        <v>875</v>
      </c>
      <c r="K912" s="5">
        <f t="shared" si="146"/>
        <v>0</v>
      </c>
      <c r="L912">
        <f t="shared" si="147"/>
        <v>95</v>
      </c>
      <c r="M912">
        <f t="shared" si="148"/>
        <v>1</v>
      </c>
      <c r="N912">
        <f t="shared" si="149"/>
        <v>0</v>
      </c>
    </row>
    <row r="913" spans="4:14" x14ac:dyDescent="0.2">
      <c r="D913">
        <f t="shared" si="151"/>
        <v>890</v>
      </c>
      <c r="E913" s="1">
        <f t="shared" si="152"/>
        <v>-6.9523332677613663</v>
      </c>
      <c r="F913" s="1">
        <f t="shared" si="153"/>
        <v>-9.2880429822910955</v>
      </c>
      <c r="G913" s="1">
        <f t="shared" si="150"/>
        <v>9.2523954232933686E-5</v>
      </c>
      <c r="H913" s="1">
        <f t="shared" si="143"/>
        <v>9.5152472054485162E-7</v>
      </c>
      <c r="I913">
        <f t="shared" si="144"/>
        <v>10</v>
      </c>
      <c r="J913">
        <f t="shared" si="145"/>
        <v>876</v>
      </c>
      <c r="K913" s="5">
        <f t="shared" si="146"/>
        <v>0</v>
      </c>
      <c r="L913">
        <f t="shared" si="147"/>
        <v>95</v>
      </c>
      <c r="M913">
        <f t="shared" si="148"/>
        <v>1</v>
      </c>
      <c r="N913">
        <f t="shared" si="149"/>
        <v>0</v>
      </c>
    </row>
    <row r="914" spans="4:14" x14ac:dyDescent="0.2">
      <c r="D914">
        <f t="shared" si="151"/>
        <v>891</v>
      </c>
      <c r="E914" s="1">
        <f t="shared" si="152"/>
        <v>-6.9628045676286625</v>
      </c>
      <c r="F914" s="1">
        <f t="shared" si="153"/>
        <v>-9.2985142821583935</v>
      </c>
      <c r="G914" s="1">
        <f t="shared" si="150"/>
        <v>9.1560163043007044E-5</v>
      </c>
      <c r="H914" s="1">
        <f t="shared" si="143"/>
        <v>9.4161300470584025E-7</v>
      </c>
      <c r="I914">
        <f t="shared" si="144"/>
        <v>10</v>
      </c>
      <c r="J914">
        <f t="shared" si="145"/>
        <v>877</v>
      </c>
      <c r="K914" s="5">
        <f t="shared" si="146"/>
        <v>0</v>
      </c>
      <c r="L914">
        <f t="shared" si="147"/>
        <v>95</v>
      </c>
      <c r="M914">
        <f t="shared" si="148"/>
        <v>1</v>
      </c>
      <c r="N914">
        <f t="shared" si="149"/>
        <v>0</v>
      </c>
    </row>
    <row r="915" spans="4:14" x14ac:dyDescent="0.2">
      <c r="D915">
        <f t="shared" si="151"/>
        <v>892</v>
      </c>
      <c r="E915" s="1">
        <f t="shared" si="152"/>
        <v>-6.9732758674959587</v>
      </c>
      <c r="F915" s="1">
        <f t="shared" si="153"/>
        <v>-9.3089855820256879</v>
      </c>
      <c r="G915" s="1">
        <f t="shared" si="150"/>
        <v>9.0606411344642477E-5</v>
      </c>
      <c r="H915" s="1">
        <f t="shared" si="143"/>
        <v>9.3180453590682199E-7</v>
      </c>
      <c r="I915">
        <f t="shared" si="144"/>
        <v>10</v>
      </c>
      <c r="J915">
        <f t="shared" si="145"/>
        <v>878</v>
      </c>
      <c r="K915" s="5">
        <f t="shared" si="146"/>
        <v>0</v>
      </c>
      <c r="L915">
        <f t="shared" si="147"/>
        <v>95</v>
      </c>
      <c r="M915">
        <f t="shared" si="148"/>
        <v>1</v>
      </c>
      <c r="N915">
        <f t="shared" si="149"/>
        <v>0</v>
      </c>
    </row>
    <row r="916" spans="4:14" x14ac:dyDescent="0.2">
      <c r="D916">
        <f t="shared" si="151"/>
        <v>893</v>
      </c>
      <c r="E916" s="1">
        <f t="shared" si="152"/>
        <v>-6.983747167363255</v>
      </c>
      <c r="F916" s="1">
        <f t="shared" si="153"/>
        <v>-9.3194568818929859</v>
      </c>
      <c r="G916" s="1">
        <f t="shared" si="150"/>
        <v>8.9662594559802226E-5</v>
      </c>
      <c r="H916" s="1">
        <f t="shared" si="143"/>
        <v>9.2209823865779022E-7</v>
      </c>
      <c r="I916">
        <f t="shared" si="144"/>
        <v>10</v>
      </c>
      <c r="J916">
        <f t="shared" si="145"/>
        <v>879</v>
      </c>
      <c r="K916" s="5">
        <f t="shared" si="146"/>
        <v>0</v>
      </c>
      <c r="L916">
        <f t="shared" si="147"/>
        <v>95</v>
      </c>
      <c r="M916">
        <f t="shared" si="148"/>
        <v>1</v>
      </c>
      <c r="N916">
        <f t="shared" si="149"/>
        <v>0</v>
      </c>
    </row>
    <row r="917" spans="4:14" x14ac:dyDescent="0.2">
      <c r="D917">
        <f t="shared" si="151"/>
        <v>894</v>
      </c>
      <c r="E917" s="1">
        <f t="shared" si="152"/>
        <v>-6.9942184672305512</v>
      </c>
      <c r="F917" s="1">
        <f t="shared" si="153"/>
        <v>-9.3299281817602804</v>
      </c>
      <c r="G917" s="1">
        <f t="shared" si="150"/>
        <v>8.8728609199804367E-5</v>
      </c>
      <c r="H917" s="1">
        <f t="shared" si="143"/>
        <v>9.1249304867177244E-7</v>
      </c>
      <c r="I917">
        <f t="shared" si="144"/>
        <v>10</v>
      </c>
      <c r="J917">
        <f t="shared" si="145"/>
        <v>880</v>
      </c>
      <c r="K917" s="5">
        <f t="shared" si="146"/>
        <v>0</v>
      </c>
      <c r="L917">
        <f t="shared" si="147"/>
        <v>95</v>
      </c>
      <c r="M917">
        <f t="shared" si="148"/>
        <v>1</v>
      </c>
      <c r="N917">
        <f t="shared" si="149"/>
        <v>0</v>
      </c>
    </row>
    <row r="918" spans="4:14" x14ac:dyDescent="0.2">
      <c r="D918">
        <f t="shared" si="151"/>
        <v>895</v>
      </c>
      <c r="E918" s="1">
        <f t="shared" si="152"/>
        <v>-7.0046897670978474</v>
      </c>
      <c r="F918" s="1">
        <f t="shared" si="153"/>
        <v>-9.3403994816275784</v>
      </c>
      <c r="G918" s="1">
        <f t="shared" si="150"/>
        <v>8.7804352853972849E-5</v>
      </c>
      <c r="H918" s="1">
        <f t="shared" si="143"/>
        <v>9.0298791274810581E-7</v>
      </c>
      <c r="I918">
        <f t="shared" si="144"/>
        <v>10</v>
      </c>
      <c r="J918">
        <f t="shared" si="145"/>
        <v>881</v>
      </c>
      <c r="K918" s="5">
        <f t="shared" si="146"/>
        <v>0</v>
      </c>
      <c r="L918">
        <f t="shared" si="147"/>
        <v>95</v>
      </c>
      <c r="M918">
        <f t="shared" si="148"/>
        <v>1</v>
      </c>
      <c r="N918">
        <f t="shared" si="149"/>
        <v>0</v>
      </c>
    </row>
    <row r="919" spans="4:14" x14ac:dyDescent="0.2">
      <c r="D919">
        <f t="shared" si="151"/>
        <v>896</v>
      </c>
      <c r="E919" s="1">
        <f t="shared" si="152"/>
        <v>-7.0151610669651436</v>
      </c>
      <c r="F919" s="1">
        <f t="shared" si="153"/>
        <v>-9.3508707814948728</v>
      </c>
      <c r="G919" s="1">
        <f t="shared" si="150"/>
        <v>8.6889724178410707E-5</v>
      </c>
      <c r="H919" s="1">
        <f t="shared" ref="H919:H982" si="154">G919/$G$21</f>
        <v>8.9358178865698058E-7</v>
      </c>
      <c r="I919">
        <f t="shared" ref="I919:I982" si="155">IF($F$11&lt;=D919, IF(D919&lt;=$A$15,D919-$F$11,$C$11),0)</f>
        <v>10</v>
      </c>
      <c r="J919">
        <f t="shared" ref="J919:J982" si="156">IF(D919&lt;=$A$15,0,D919-$A$15)</f>
        <v>882</v>
      </c>
      <c r="K919" s="5">
        <f t="shared" ref="K919:K982" si="157">IF(D919&lt;$F$11,H919,0)</f>
        <v>0</v>
      </c>
      <c r="L919">
        <f t="shared" ref="L919:L982" si="158">IF(D919&lt;$A$15,$D$11,$D$11*(1-$H$11))</f>
        <v>95</v>
      </c>
      <c r="M919">
        <f t="shared" ref="M919:M982" si="159">IF(D919&lt;$A$15,0,1)</f>
        <v>1</v>
      </c>
      <c r="N919">
        <f t="shared" ref="N919:N982" si="160">IF(SUM(I919:J919)&lt;=($G$11/60*$F$11/($E$11/60)),1,0)</f>
        <v>0</v>
      </c>
    </row>
    <row r="920" spans="4:14" x14ac:dyDescent="0.2">
      <c r="D920">
        <f t="shared" si="151"/>
        <v>897</v>
      </c>
      <c r="E920" s="1">
        <f t="shared" si="152"/>
        <v>-7.0256323668324399</v>
      </c>
      <c r="F920" s="1">
        <f t="shared" si="153"/>
        <v>-9.3613420813621708</v>
      </c>
      <c r="G920" s="1">
        <f t="shared" ref="G920:G983" si="161">EXP(F920)</f>
        <v>8.5984622884885376E-5</v>
      </c>
      <c r="H920" s="1">
        <f t="shared" si="154"/>
        <v>8.842736450251347E-7</v>
      </c>
      <c r="I920">
        <f t="shared" si="155"/>
        <v>10</v>
      </c>
      <c r="J920">
        <f t="shared" si="156"/>
        <v>883</v>
      </c>
      <c r="K920" s="5">
        <f t="shared" si="157"/>
        <v>0</v>
      </c>
      <c r="L920">
        <f t="shared" si="158"/>
        <v>95</v>
      </c>
      <c r="M920">
        <f t="shared" si="159"/>
        <v>1</v>
      </c>
      <c r="N920">
        <f t="shared" si="160"/>
        <v>0</v>
      </c>
    </row>
    <row r="921" spans="4:14" x14ac:dyDescent="0.2">
      <c r="D921">
        <f t="shared" ref="D921:D984" si="162">1+D920</f>
        <v>898</v>
      </c>
      <c r="E921" s="1">
        <f t="shared" ref="E921:E984" si="163">IF($H$11=1,IF(D921&lt;=$A$15, E920+LN($D$11)-LN(60/$E$11)-LN(MIN(D921,$F$11)), E920-LN(60/$E$11)-LN(MIN(D921,$F$11))), IF(D921&lt;=$A$15, E920+LN($D$11)-LN(60/$E$11)-LN(MIN(D921,$F$11)), E920+LN($D$11)+LN(1-$H$11)-LN(60/$E$11)-LN(MIN(D921,$F$11))))</f>
        <v>-7.0361036666997361</v>
      </c>
      <c r="F921" s="1">
        <f t="shared" ref="F921:F984" si="164">E921-$E$21</f>
        <v>-9.3718133812294653</v>
      </c>
      <c r="G921" s="1">
        <f t="shared" si="161"/>
        <v>8.5088949729834567E-5</v>
      </c>
      <c r="H921" s="1">
        <f t="shared" si="154"/>
        <v>8.750624612227904E-7</v>
      </c>
      <c r="I921">
        <f t="shared" si="155"/>
        <v>10</v>
      </c>
      <c r="J921">
        <f t="shared" si="156"/>
        <v>884</v>
      </c>
      <c r="K921" s="5">
        <f t="shared" si="157"/>
        <v>0</v>
      </c>
      <c r="L921">
        <f t="shared" si="158"/>
        <v>95</v>
      </c>
      <c r="M921">
        <f t="shared" si="159"/>
        <v>1</v>
      </c>
      <c r="N921">
        <f t="shared" si="160"/>
        <v>0</v>
      </c>
    </row>
    <row r="922" spans="4:14" x14ac:dyDescent="0.2">
      <c r="D922">
        <f t="shared" si="162"/>
        <v>899</v>
      </c>
      <c r="E922" s="1">
        <f t="shared" si="163"/>
        <v>-7.0465749665670323</v>
      </c>
      <c r="F922" s="1">
        <f t="shared" si="164"/>
        <v>-9.3822846810967633</v>
      </c>
      <c r="G922" s="1">
        <f t="shared" si="161"/>
        <v>8.4202606503481909E-5</v>
      </c>
      <c r="H922" s="1">
        <f t="shared" si="154"/>
        <v>8.6594722725171749E-7</v>
      </c>
      <c r="I922">
        <f t="shared" si="155"/>
        <v>10</v>
      </c>
      <c r="J922">
        <f t="shared" si="156"/>
        <v>885</v>
      </c>
      <c r="K922" s="5">
        <f t="shared" si="157"/>
        <v>0</v>
      </c>
      <c r="L922">
        <f t="shared" si="158"/>
        <v>95</v>
      </c>
      <c r="M922">
        <f t="shared" si="159"/>
        <v>1</v>
      </c>
      <c r="N922">
        <f t="shared" si="160"/>
        <v>0</v>
      </c>
    </row>
    <row r="923" spans="4:14" x14ac:dyDescent="0.2">
      <c r="D923">
        <f t="shared" si="162"/>
        <v>900</v>
      </c>
      <c r="E923" s="1">
        <f t="shared" si="163"/>
        <v>-7.0570462664343285</v>
      </c>
      <c r="F923" s="1">
        <f t="shared" si="164"/>
        <v>-9.3927559809640577</v>
      </c>
      <c r="G923" s="1">
        <f t="shared" si="161"/>
        <v>8.3325496019070712E-5</v>
      </c>
      <c r="H923" s="1">
        <f t="shared" si="154"/>
        <v>8.5692694363451282E-7</v>
      </c>
      <c r="I923">
        <f t="shared" si="155"/>
        <v>10</v>
      </c>
      <c r="J923">
        <f t="shared" si="156"/>
        <v>886</v>
      </c>
      <c r="K923" s="5">
        <f t="shared" si="157"/>
        <v>0</v>
      </c>
      <c r="L923">
        <f t="shared" si="158"/>
        <v>95</v>
      </c>
      <c r="M923">
        <f t="shared" si="159"/>
        <v>1</v>
      </c>
      <c r="N923">
        <f t="shared" si="160"/>
        <v>0</v>
      </c>
    </row>
    <row r="924" spans="4:14" x14ac:dyDescent="0.2">
      <c r="D924">
        <f t="shared" si="162"/>
        <v>901</v>
      </c>
      <c r="E924" s="1">
        <f t="shared" si="163"/>
        <v>-7.0675175663016248</v>
      </c>
      <c r="F924" s="1">
        <f t="shared" si="164"/>
        <v>-9.4032272808313557</v>
      </c>
      <c r="G924" s="1">
        <f t="shared" si="161"/>
        <v>8.2457522102205179E-5</v>
      </c>
      <c r="H924" s="1">
        <f t="shared" si="154"/>
        <v>8.4800062130498448E-7</v>
      </c>
      <c r="I924">
        <f t="shared" si="155"/>
        <v>10</v>
      </c>
      <c r="J924">
        <f t="shared" si="156"/>
        <v>887</v>
      </c>
      <c r="K924" s="5">
        <f t="shared" si="157"/>
        <v>0</v>
      </c>
      <c r="L924">
        <f t="shared" si="158"/>
        <v>95</v>
      </c>
      <c r="M924">
        <f t="shared" si="159"/>
        <v>1</v>
      </c>
      <c r="N924">
        <f t="shared" si="160"/>
        <v>0</v>
      </c>
    </row>
    <row r="925" spans="4:14" x14ac:dyDescent="0.2">
      <c r="D925">
        <f t="shared" si="162"/>
        <v>902</v>
      </c>
      <c r="E925" s="1">
        <f t="shared" si="163"/>
        <v>-7.077988866168921</v>
      </c>
      <c r="F925" s="1">
        <f t="shared" si="164"/>
        <v>-9.4136985806986502</v>
      </c>
      <c r="G925" s="1">
        <f t="shared" si="161"/>
        <v>8.1598589580307292E-5</v>
      </c>
      <c r="H925" s="1">
        <f t="shared" si="154"/>
        <v>8.3916728149972503E-7</v>
      </c>
      <c r="I925">
        <f t="shared" si="155"/>
        <v>10</v>
      </c>
      <c r="J925">
        <f t="shared" si="156"/>
        <v>888</v>
      </c>
      <c r="K925" s="5">
        <f t="shared" si="157"/>
        <v>0</v>
      </c>
      <c r="L925">
        <f t="shared" si="158"/>
        <v>95</v>
      </c>
      <c r="M925">
        <f t="shared" si="159"/>
        <v>1</v>
      </c>
      <c r="N925">
        <f t="shared" si="160"/>
        <v>0</v>
      </c>
    </row>
    <row r="926" spans="4:14" x14ac:dyDescent="0.2">
      <c r="D926">
        <f t="shared" si="162"/>
        <v>903</v>
      </c>
      <c r="E926" s="1">
        <f t="shared" si="163"/>
        <v>-7.0884601660362172</v>
      </c>
      <c r="F926" s="1">
        <f t="shared" si="164"/>
        <v>-9.4241698805659482</v>
      </c>
      <c r="G926" s="1">
        <f t="shared" si="161"/>
        <v>8.0748604272178878E-5</v>
      </c>
      <c r="H926" s="1">
        <f t="shared" si="154"/>
        <v>8.3042595565076742E-7</v>
      </c>
      <c r="I926">
        <f t="shared" si="155"/>
        <v>10</v>
      </c>
      <c r="J926">
        <f t="shared" si="156"/>
        <v>889</v>
      </c>
      <c r="K926" s="5">
        <f t="shared" si="157"/>
        <v>0</v>
      </c>
      <c r="L926">
        <f t="shared" si="158"/>
        <v>95</v>
      </c>
      <c r="M926">
        <f t="shared" si="159"/>
        <v>1</v>
      </c>
      <c r="N926">
        <f t="shared" si="160"/>
        <v>0</v>
      </c>
    </row>
    <row r="927" spans="4:14" x14ac:dyDescent="0.2">
      <c r="D927">
        <f t="shared" si="162"/>
        <v>904</v>
      </c>
      <c r="E927" s="1">
        <f t="shared" si="163"/>
        <v>-7.0989314659035134</v>
      </c>
      <c r="F927" s="1">
        <f t="shared" si="164"/>
        <v>-9.4346411804332426</v>
      </c>
      <c r="G927" s="1">
        <f t="shared" si="161"/>
        <v>7.990747297767709E-5</v>
      </c>
      <c r="H927" s="1">
        <f t="shared" si="154"/>
        <v>8.21775685279406E-7</v>
      </c>
      <c r="I927">
        <f t="shared" si="155"/>
        <v>10</v>
      </c>
      <c r="J927">
        <f t="shared" si="156"/>
        <v>890</v>
      </c>
      <c r="K927" s="5">
        <f t="shared" si="157"/>
        <v>0</v>
      </c>
      <c r="L927">
        <f t="shared" si="158"/>
        <v>95</v>
      </c>
      <c r="M927">
        <f t="shared" si="159"/>
        <v>1</v>
      </c>
      <c r="N927">
        <f t="shared" si="160"/>
        <v>0</v>
      </c>
    </row>
    <row r="928" spans="4:14" x14ac:dyDescent="0.2">
      <c r="D928">
        <f t="shared" si="162"/>
        <v>905</v>
      </c>
      <c r="E928" s="1">
        <f t="shared" si="163"/>
        <v>-7.1094027657708097</v>
      </c>
      <c r="F928" s="1">
        <f t="shared" si="164"/>
        <v>-9.4451124803005406</v>
      </c>
      <c r="G928" s="1">
        <f t="shared" si="161"/>
        <v>7.907510346749275E-5</v>
      </c>
      <c r="H928" s="1">
        <f t="shared" si="154"/>
        <v>8.1321552189107673E-7</v>
      </c>
      <c r="I928">
        <f t="shared" si="155"/>
        <v>10</v>
      </c>
      <c r="J928">
        <f t="shared" si="156"/>
        <v>891</v>
      </c>
      <c r="K928" s="5">
        <f t="shared" si="157"/>
        <v>0</v>
      </c>
      <c r="L928">
        <f t="shared" si="158"/>
        <v>95</v>
      </c>
      <c r="M928">
        <f t="shared" si="159"/>
        <v>1</v>
      </c>
      <c r="N928">
        <f t="shared" si="160"/>
        <v>0</v>
      </c>
    </row>
    <row r="929" spans="4:14" x14ac:dyDescent="0.2">
      <c r="D929">
        <f t="shared" si="162"/>
        <v>906</v>
      </c>
      <c r="E929" s="1">
        <f t="shared" si="163"/>
        <v>-7.1198740656381059</v>
      </c>
      <c r="F929" s="1">
        <f t="shared" si="164"/>
        <v>-9.4555837801678351</v>
      </c>
      <c r="G929" s="1">
        <f t="shared" si="161"/>
        <v>7.8251404473039771E-5</v>
      </c>
      <c r="H929" s="1">
        <f t="shared" si="154"/>
        <v>8.0474452687137874E-7</v>
      </c>
      <c r="I929">
        <f t="shared" si="155"/>
        <v>10</v>
      </c>
      <c r="J929">
        <f t="shared" si="156"/>
        <v>892</v>
      </c>
      <c r="K929" s="5">
        <f t="shared" si="157"/>
        <v>0</v>
      </c>
      <c r="L929">
        <f t="shared" si="158"/>
        <v>95</v>
      </c>
      <c r="M929">
        <f t="shared" si="159"/>
        <v>1</v>
      </c>
      <c r="N929">
        <f t="shared" si="160"/>
        <v>0</v>
      </c>
    </row>
    <row r="930" spans="4:14" x14ac:dyDescent="0.2">
      <c r="D930">
        <f t="shared" si="162"/>
        <v>907</v>
      </c>
      <c r="E930" s="1">
        <f t="shared" si="163"/>
        <v>-7.1303453655054021</v>
      </c>
      <c r="F930" s="1">
        <f t="shared" si="164"/>
        <v>-9.4660550800351331</v>
      </c>
      <c r="G930" s="1">
        <f t="shared" si="161"/>
        <v>7.7436285676445412E-5</v>
      </c>
      <c r="H930" s="1">
        <f t="shared" si="154"/>
        <v>7.9636177138313326E-7</v>
      </c>
      <c r="I930">
        <f t="shared" si="155"/>
        <v>10</v>
      </c>
      <c r="J930">
        <f t="shared" si="156"/>
        <v>893</v>
      </c>
      <c r="K930" s="5">
        <f t="shared" si="157"/>
        <v>0</v>
      </c>
      <c r="L930">
        <f t="shared" si="158"/>
        <v>95</v>
      </c>
      <c r="M930">
        <f t="shared" si="159"/>
        <v>1</v>
      </c>
      <c r="N930">
        <f t="shared" si="160"/>
        <v>0</v>
      </c>
    </row>
    <row r="931" spans="4:14" x14ac:dyDescent="0.2">
      <c r="D931">
        <f t="shared" si="162"/>
        <v>908</v>
      </c>
      <c r="E931" s="1">
        <f t="shared" si="163"/>
        <v>-7.1408166653726983</v>
      </c>
      <c r="F931" s="1">
        <f t="shared" si="164"/>
        <v>-9.4765263799024275</v>
      </c>
      <c r="G931" s="1">
        <f t="shared" si="161"/>
        <v>7.6629657700649179E-5</v>
      </c>
      <c r="H931" s="1">
        <f t="shared" si="154"/>
        <v>7.8806633626455971E-7</v>
      </c>
      <c r="I931">
        <f t="shared" si="155"/>
        <v>10</v>
      </c>
      <c r="J931">
        <f t="shared" si="156"/>
        <v>894</v>
      </c>
      <c r="K931" s="5">
        <f t="shared" si="157"/>
        <v>0</v>
      </c>
      <c r="L931">
        <f t="shared" si="158"/>
        <v>95</v>
      </c>
      <c r="M931">
        <f t="shared" si="159"/>
        <v>1</v>
      </c>
      <c r="N931">
        <f t="shared" si="160"/>
        <v>0</v>
      </c>
    </row>
    <row r="932" spans="4:14" x14ac:dyDescent="0.2">
      <c r="D932">
        <f t="shared" si="162"/>
        <v>909</v>
      </c>
      <c r="E932" s="1">
        <f t="shared" si="163"/>
        <v>-7.1512879652399945</v>
      </c>
      <c r="F932" s="1">
        <f t="shared" si="164"/>
        <v>-9.4869976797697255</v>
      </c>
      <c r="G932" s="1">
        <f t="shared" si="161"/>
        <v>7.5831432099600552E-5</v>
      </c>
      <c r="H932" s="1">
        <f t="shared" si="154"/>
        <v>7.7985731192846848E-7</v>
      </c>
      <c r="I932">
        <f t="shared" si="155"/>
        <v>10</v>
      </c>
      <c r="J932">
        <f t="shared" si="156"/>
        <v>895</v>
      </c>
      <c r="K932" s="5">
        <f t="shared" si="157"/>
        <v>0</v>
      </c>
      <c r="L932">
        <f t="shared" si="158"/>
        <v>95</v>
      </c>
      <c r="M932">
        <f t="shared" si="159"/>
        <v>1</v>
      </c>
      <c r="N932">
        <f t="shared" si="160"/>
        <v>0</v>
      </c>
    </row>
    <row r="933" spans="4:14" x14ac:dyDescent="0.2">
      <c r="D933">
        <f t="shared" si="162"/>
        <v>910</v>
      </c>
      <c r="E933" s="1">
        <f t="shared" si="163"/>
        <v>-7.1617592651072908</v>
      </c>
      <c r="F933" s="1">
        <f t="shared" si="164"/>
        <v>-9.49746897963702</v>
      </c>
      <c r="G933" s="1">
        <f t="shared" si="161"/>
        <v>7.5041521348563118E-5</v>
      </c>
      <c r="H933" s="1">
        <f t="shared" si="154"/>
        <v>7.7173379826254766E-7</v>
      </c>
      <c r="I933">
        <f t="shared" si="155"/>
        <v>10</v>
      </c>
      <c r="J933">
        <f t="shared" si="156"/>
        <v>896</v>
      </c>
      <c r="K933" s="5">
        <f t="shared" si="157"/>
        <v>0</v>
      </c>
      <c r="L933">
        <f t="shared" si="158"/>
        <v>95</v>
      </c>
      <c r="M933">
        <f t="shared" si="159"/>
        <v>1</v>
      </c>
      <c r="N933">
        <f t="shared" si="160"/>
        <v>0</v>
      </c>
    </row>
    <row r="934" spans="4:14" x14ac:dyDescent="0.2">
      <c r="D934">
        <f t="shared" si="162"/>
        <v>911</v>
      </c>
      <c r="E934" s="1">
        <f t="shared" si="163"/>
        <v>-7.172230564974587</v>
      </c>
      <c r="F934" s="1">
        <f t="shared" si="164"/>
        <v>-9.507940279504318</v>
      </c>
      <c r="G934" s="1">
        <f t="shared" si="161"/>
        <v>7.4259838834515393E-5</v>
      </c>
      <c r="H934" s="1">
        <f t="shared" si="154"/>
        <v>7.6369490453064415E-7</v>
      </c>
      <c r="I934">
        <f t="shared" si="155"/>
        <v>10</v>
      </c>
      <c r="J934">
        <f t="shared" si="156"/>
        <v>897</v>
      </c>
      <c r="K934" s="5">
        <f t="shared" si="157"/>
        <v>0</v>
      </c>
      <c r="L934">
        <f t="shared" si="158"/>
        <v>95</v>
      </c>
      <c r="M934">
        <f t="shared" si="159"/>
        <v>1</v>
      </c>
      <c r="N934">
        <f t="shared" si="160"/>
        <v>0</v>
      </c>
    </row>
    <row r="935" spans="4:14" x14ac:dyDescent="0.2">
      <c r="D935">
        <f t="shared" si="162"/>
        <v>912</v>
      </c>
      <c r="E935" s="1">
        <f t="shared" si="163"/>
        <v>-7.1827018648418832</v>
      </c>
      <c r="F935" s="1">
        <f t="shared" si="164"/>
        <v>-9.5184115793716124</v>
      </c>
      <c r="G935" s="1">
        <f t="shared" si="161"/>
        <v>7.3486298846655925E-5</v>
      </c>
      <c r="H935" s="1">
        <f t="shared" si="154"/>
        <v>7.5573974927511737E-7</v>
      </c>
      <c r="I935">
        <f t="shared" si="155"/>
        <v>10</v>
      </c>
      <c r="J935">
        <f t="shared" si="156"/>
        <v>898</v>
      </c>
      <c r="K935" s="5">
        <f t="shared" si="157"/>
        <v>0</v>
      </c>
      <c r="L935">
        <f t="shared" si="158"/>
        <v>95</v>
      </c>
      <c r="M935">
        <f t="shared" si="159"/>
        <v>1</v>
      </c>
      <c r="N935">
        <f t="shared" si="160"/>
        <v>0</v>
      </c>
    </row>
    <row r="936" spans="4:14" x14ac:dyDescent="0.2">
      <c r="D936">
        <f t="shared" si="162"/>
        <v>913</v>
      </c>
      <c r="E936" s="1">
        <f t="shared" si="163"/>
        <v>-7.1931731647091794</v>
      </c>
      <c r="F936" s="1">
        <f t="shared" si="164"/>
        <v>-9.5288828792389104</v>
      </c>
      <c r="G936" s="1">
        <f t="shared" si="161"/>
        <v>7.2720816567003069E-5</v>
      </c>
      <c r="H936" s="1">
        <f t="shared" si="154"/>
        <v>7.4786746022016619E-7</v>
      </c>
      <c r="I936">
        <f t="shared" si="155"/>
        <v>10</v>
      </c>
      <c r="J936">
        <f t="shared" si="156"/>
        <v>899</v>
      </c>
      <c r="K936" s="5">
        <f t="shared" si="157"/>
        <v>0</v>
      </c>
      <c r="L936">
        <f t="shared" si="158"/>
        <v>95</v>
      </c>
      <c r="M936">
        <f t="shared" si="159"/>
        <v>1</v>
      </c>
      <c r="N936">
        <f t="shared" si="160"/>
        <v>0</v>
      </c>
    </row>
    <row r="937" spans="4:14" x14ac:dyDescent="0.2">
      <c r="D937">
        <f t="shared" si="162"/>
        <v>914</v>
      </c>
      <c r="E937" s="1">
        <f t="shared" si="163"/>
        <v>-7.2036444645764757</v>
      </c>
      <c r="F937" s="1">
        <f t="shared" si="164"/>
        <v>-9.5393541791062049</v>
      </c>
      <c r="G937" s="1">
        <f t="shared" si="161"/>
        <v>7.1963308061096857E-5</v>
      </c>
      <c r="H937" s="1">
        <f t="shared" si="154"/>
        <v>7.400771741762069E-7</v>
      </c>
      <c r="I937">
        <f t="shared" si="155"/>
        <v>10</v>
      </c>
      <c r="J937">
        <f t="shared" si="156"/>
        <v>900</v>
      </c>
      <c r="K937" s="5">
        <f t="shared" si="157"/>
        <v>0</v>
      </c>
      <c r="L937">
        <f t="shared" si="158"/>
        <v>95</v>
      </c>
      <c r="M937">
        <f t="shared" si="159"/>
        <v>1</v>
      </c>
      <c r="N937">
        <f t="shared" si="160"/>
        <v>0</v>
      </c>
    </row>
    <row r="938" spans="4:14" x14ac:dyDescent="0.2">
      <c r="D938">
        <f t="shared" si="162"/>
        <v>915</v>
      </c>
      <c r="E938" s="1">
        <f t="shared" si="163"/>
        <v>-7.2141157644437719</v>
      </c>
      <c r="F938" s="1">
        <f t="shared" si="164"/>
        <v>-9.5498254789735029</v>
      </c>
      <c r="G938" s="1">
        <f t="shared" si="161"/>
        <v>7.1213690268793578E-5</v>
      </c>
      <c r="H938" s="1">
        <f t="shared" si="154"/>
        <v>7.3236803694520275E-7</v>
      </c>
      <c r="I938">
        <f t="shared" si="155"/>
        <v>10</v>
      </c>
      <c r="J938">
        <f t="shared" si="156"/>
        <v>901</v>
      </c>
      <c r="K938" s="5">
        <f t="shared" si="157"/>
        <v>0</v>
      </c>
      <c r="L938">
        <f t="shared" si="158"/>
        <v>95</v>
      </c>
      <c r="M938">
        <f t="shared" si="159"/>
        <v>1</v>
      </c>
      <c r="N938">
        <f t="shared" si="160"/>
        <v>0</v>
      </c>
    </row>
    <row r="939" spans="4:14" x14ac:dyDescent="0.2">
      <c r="D939">
        <f t="shared" si="162"/>
        <v>916</v>
      </c>
      <c r="E939" s="1">
        <f t="shared" si="163"/>
        <v>-7.2245870643110681</v>
      </c>
      <c r="F939" s="1">
        <f t="shared" si="164"/>
        <v>-9.5602967788407973</v>
      </c>
      <c r="G939" s="1">
        <f t="shared" si="161"/>
        <v>7.0471880995160379E-5</v>
      </c>
      <c r="H939" s="1">
        <f t="shared" si="154"/>
        <v>7.2473920322702435E-7</v>
      </c>
      <c r="I939">
        <f t="shared" si="155"/>
        <v>10</v>
      </c>
      <c r="J939">
        <f t="shared" si="156"/>
        <v>902</v>
      </c>
      <c r="K939" s="5">
        <f t="shared" si="157"/>
        <v>0</v>
      </c>
      <c r="L939">
        <f t="shared" si="158"/>
        <v>95</v>
      </c>
      <c r="M939">
        <f t="shared" si="159"/>
        <v>1</v>
      </c>
      <c r="N939">
        <f t="shared" si="160"/>
        <v>0</v>
      </c>
    </row>
    <row r="940" spans="4:14" x14ac:dyDescent="0.2">
      <c r="D940">
        <f t="shared" si="162"/>
        <v>917</v>
      </c>
      <c r="E940" s="1">
        <f t="shared" si="163"/>
        <v>-7.2350583641783643</v>
      </c>
      <c r="F940" s="1">
        <f t="shared" si="164"/>
        <v>-9.5707680787080953</v>
      </c>
      <c r="G940" s="1">
        <f t="shared" si="161"/>
        <v>6.9737798901460611E-5</v>
      </c>
      <c r="H940" s="1">
        <f t="shared" si="154"/>
        <v>7.1718983652674096E-7</v>
      </c>
      <c r="I940">
        <f t="shared" si="155"/>
        <v>10</v>
      </c>
      <c r="J940">
        <f t="shared" si="156"/>
        <v>903</v>
      </c>
      <c r="K940" s="5">
        <f t="shared" si="157"/>
        <v>0</v>
      </c>
      <c r="L940">
        <f t="shared" si="158"/>
        <v>95</v>
      </c>
      <c r="M940">
        <f t="shared" si="159"/>
        <v>1</v>
      </c>
      <c r="N940">
        <f t="shared" si="160"/>
        <v>0</v>
      </c>
    </row>
    <row r="941" spans="4:14" x14ac:dyDescent="0.2">
      <c r="D941">
        <f t="shared" si="162"/>
        <v>918</v>
      </c>
      <c r="E941" s="1">
        <f t="shared" si="163"/>
        <v>-7.2455296640456606</v>
      </c>
      <c r="F941" s="1">
        <f t="shared" si="164"/>
        <v>-9.5812393785753898</v>
      </c>
      <c r="G941" s="1">
        <f t="shared" si="161"/>
        <v>6.9011363496237132E-5</v>
      </c>
      <c r="H941" s="1">
        <f t="shared" si="154"/>
        <v>7.0971910906292145E-7</v>
      </c>
      <c r="I941">
        <f t="shared" si="155"/>
        <v>10</v>
      </c>
      <c r="J941">
        <f t="shared" si="156"/>
        <v>904</v>
      </c>
      <c r="K941" s="5">
        <f t="shared" si="157"/>
        <v>0</v>
      </c>
      <c r="L941">
        <f t="shared" si="158"/>
        <v>95</v>
      </c>
      <c r="M941">
        <f t="shared" si="159"/>
        <v>1</v>
      </c>
      <c r="N941">
        <f t="shared" si="160"/>
        <v>0</v>
      </c>
    </row>
    <row r="942" spans="4:14" x14ac:dyDescent="0.2">
      <c r="D942">
        <f t="shared" si="162"/>
        <v>919</v>
      </c>
      <c r="E942" s="1">
        <f t="shared" si="163"/>
        <v>-7.2560009639129568</v>
      </c>
      <c r="F942" s="1">
        <f t="shared" si="164"/>
        <v>-9.5917106784426878</v>
      </c>
      <c r="G942" s="1">
        <f t="shared" si="161"/>
        <v>6.8292495126484479E-5</v>
      </c>
      <c r="H942" s="1">
        <f t="shared" si="154"/>
        <v>7.023262016768474E-7</v>
      </c>
      <c r="I942">
        <f t="shared" si="155"/>
        <v>10</v>
      </c>
      <c r="J942">
        <f t="shared" si="156"/>
        <v>905</v>
      </c>
      <c r="K942" s="5">
        <f t="shared" si="157"/>
        <v>0</v>
      </c>
      <c r="L942">
        <f t="shared" si="158"/>
        <v>95</v>
      </c>
      <c r="M942">
        <f t="shared" si="159"/>
        <v>1</v>
      </c>
      <c r="N942">
        <f t="shared" si="160"/>
        <v>0</v>
      </c>
    </row>
    <row r="943" spans="4:14" x14ac:dyDescent="0.2">
      <c r="D943">
        <f t="shared" si="162"/>
        <v>920</v>
      </c>
      <c r="E943" s="1">
        <f t="shared" si="163"/>
        <v>-7.266472263780253</v>
      </c>
      <c r="F943" s="1">
        <f t="shared" si="164"/>
        <v>-9.6021819783099822</v>
      </c>
      <c r="G943" s="1">
        <f t="shared" si="161"/>
        <v>6.7581114968916998E-5</v>
      </c>
      <c r="H943" s="1">
        <f t="shared" si="154"/>
        <v>6.9501030374271429E-7</v>
      </c>
      <c r="I943">
        <f t="shared" si="155"/>
        <v>10</v>
      </c>
      <c r="J943">
        <f t="shared" si="156"/>
        <v>906</v>
      </c>
      <c r="K943" s="5">
        <f t="shared" si="157"/>
        <v>0</v>
      </c>
      <c r="L943">
        <f t="shared" si="158"/>
        <v>95</v>
      </c>
      <c r="M943">
        <f t="shared" si="159"/>
        <v>1</v>
      </c>
      <c r="N943">
        <f t="shared" si="160"/>
        <v>0</v>
      </c>
    </row>
    <row r="944" spans="4:14" x14ac:dyDescent="0.2">
      <c r="D944">
        <f t="shared" si="162"/>
        <v>921</v>
      </c>
      <c r="E944" s="1">
        <f t="shared" si="163"/>
        <v>-7.2769435636475492</v>
      </c>
      <c r="F944" s="1">
        <f t="shared" si="164"/>
        <v>-9.6126532781772802</v>
      </c>
      <c r="G944" s="1">
        <f t="shared" si="161"/>
        <v>6.6877145021323946E-5</v>
      </c>
      <c r="H944" s="1">
        <f t="shared" si="154"/>
        <v>6.8777061307872602E-7</v>
      </c>
      <c r="I944">
        <f t="shared" si="155"/>
        <v>10</v>
      </c>
      <c r="J944">
        <f t="shared" si="156"/>
        <v>907</v>
      </c>
      <c r="K944" s="5">
        <f t="shared" si="157"/>
        <v>0</v>
      </c>
      <c r="L944">
        <f t="shared" si="158"/>
        <v>95</v>
      </c>
      <c r="M944">
        <f t="shared" si="159"/>
        <v>1</v>
      </c>
      <c r="N944">
        <f t="shared" si="160"/>
        <v>0</v>
      </c>
    </row>
    <row r="945" spans="4:14" x14ac:dyDescent="0.2">
      <c r="D945">
        <f t="shared" si="162"/>
        <v>922</v>
      </c>
      <c r="E945" s="1">
        <f t="shared" si="163"/>
        <v>-7.2874148635148455</v>
      </c>
      <c r="F945" s="1">
        <f t="shared" si="164"/>
        <v>-9.6231245780445747</v>
      </c>
      <c r="G945" s="1">
        <f t="shared" si="161"/>
        <v>6.6180508094018553E-5</v>
      </c>
      <c r="H945" s="1">
        <f t="shared" si="154"/>
        <v>6.8060633585915653E-7</v>
      </c>
      <c r="I945">
        <f t="shared" si="155"/>
        <v>10</v>
      </c>
      <c r="J945">
        <f t="shared" si="156"/>
        <v>908</v>
      </c>
      <c r="K945" s="5">
        <f t="shared" si="157"/>
        <v>0</v>
      </c>
      <c r="L945">
        <f t="shared" si="158"/>
        <v>95</v>
      </c>
      <c r="M945">
        <f t="shared" si="159"/>
        <v>1</v>
      </c>
      <c r="N945">
        <f t="shared" si="160"/>
        <v>0</v>
      </c>
    </row>
    <row r="946" spans="4:14" x14ac:dyDescent="0.2">
      <c r="D946">
        <f t="shared" si="162"/>
        <v>923</v>
      </c>
      <c r="E946" s="1">
        <f t="shared" si="163"/>
        <v>-7.2978861633821417</v>
      </c>
      <c r="F946" s="1">
        <f t="shared" si="164"/>
        <v>-9.6335958779118727</v>
      </c>
      <c r="G946" s="1">
        <f t="shared" si="161"/>
        <v>6.549112780137235E-5</v>
      </c>
      <c r="H946" s="1">
        <f t="shared" si="154"/>
        <v>6.7351668652728855E-7</v>
      </c>
      <c r="I946">
        <f t="shared" si="155"/>
        <v>10</v>
      </c>
      <c r="J946">
        <f t="shared" si="156"/>
        <v>909</v>
      </c>
      <c r="K946" s="5">
        <f t="shared" si="157"/>
        <v>0</v>
      </c>
      <c r="L946">
        <f t="shared" si="158"/>
        <v>95</v>
      </c>
      <c r="M946">
        <f t="shared" si="159"/>
        <v>1</v>
      </c>
      <c r="N946">
        <f t="shared" si="160"/>
        <v>0</v>
      </c>
    </row>
    <row r="947" spans="4:14" x14ac:dyDescent="0.2">
      <c r="D947">
        <f t="shared" si="162"/>
        <v>924</v>
      </c>
      <c r="E947" s="1">
        <f t="shared" si="163"/>
        <v>-7.3083574632494379</v>
      </c>
      <c r="F947" s="1">
        <f t="shared" si="164"/>
        <v>-9.6440671777791671</v>
      </c>
      <c r="G947" s="1">
        <f t="shared" si="161"/>
        <v>6.4808928553441447E-5</v>
      </c>
      <c r="H947" s="1">
        <f t="shared" si="154"/>
        <v>6.6650088770929653E-7</v>
      </c>
      <c r="I947">
        <f t="shared" si="155"/>
        <v>10</v>
      </c>
      <c r="J947">
        <f t="shared" si="156"/>
        <v>910</v>
      </c>
      <c r="K947" s="5">
        <f t="shared" si="157"/>
        <v>0</v>
      </c>
      <c r="L947">
        <f t="shared" si="158"/>
        <v>95</v>
      </c>
      <c r="M947">
        <f t="shared" si="159"/>
        <v>1</v>
      </c>
      <c r="N947">
        <f t="shared" si="160"/>
        <v>0</v>
      </c>
    </row>
    <row r="948" spans="4:14" x14ac:dyDescent="0.2">
      <c r="D948">
        <f t="shared" si="162"/>
        <v>925</v>
      </c>
      <c r="E948" s="1">
        <f t="shared" si="163"/>
        <v>-7.3188287631167341</v>
      </c>
      <c r="F948" s="1">
        <f t="shared" si="164"/>
        <v>-9.6545384776464651</v>
      </c>
      <c r="G948" s="1">
        <f t="shared" si="161"/>
        <v>6.4133835547676272E-5</v>
      </c>
      <c r="H948" s="1">
        <f t="shared" si="154"/>
        <v>6.5955817012898977E-7</v>
      </c>
      <c r="I948">
        <f t="shared" si="155"/>
        <v>10</v>
      </c>
      <c r="J948">
        <f t="shared" si="156"/>
        <v>911</v>
      </c>
      <c r="K948" s="5">
        <f t="shared" si="157"/>
        <v>0</v>
      </c>
      <c r="L948">
        <f t="shared" si="158"/>
        <v>95</v>
      </c>
      <c r="M948">
        <f t="shared" si="159"/>
        <v>1</v>
      </c>
      <c r="N948">
        <f t="shared" si="160"/>
        <v>0</v>
      </c>
    </row>
    <row r="949" spans="4:14" x14ac:dyDescent="0.2">
      <c r="D949">
        <f t="shared" si="162"/>
        <v>926</v>
      </c>
      <c r="E949" s="1">
        <f t="shared" si="163"/>
        <v>-7.3293000629840304</v>
      </c>
      <c r="F949" s="1">
        <f t="shared" si="164"/>
        <v>-9.6650097775137596</v>
      </c>
      <c r="G949" s="1">
        <f t="shared" si="161"/>
        <v>6.3465774760721374E-5</v>
      </c>
      <c r="H949" s="1">
        <f t="shared" si="154"/>
        <v>6.5268777252348015E-7</v>
      </c>
      <c r="I949">
        <f t="shared" si="155"/>
        <v>10</v>
      </c>
      <c r="J949">
        <f t="shared" si="156"/>
        <v>912</v>
      </c>
      <c r="K949" s="5">
        <f t="shared" si="157"/>
        <v>0</v>
      </c>
      <c r="L949">
        <f t="shared" si="158"/>
        <v>95</v>
      </c>
      <c r="M949">
        <f t="shared" si="159"/>
        <v>1</v>
      </c>
      <c r="N949">
        <f t="shared" si="160"/>
        <v>0</v>
      </c>
    </row>
    <row r="950" spans="4:14" x14ac:dyDescent="0.2">
      <c r="D950">
        <f t="shared" si="162"/>
        <v>927</v>
      </c>
      <c r="E950" s="1">
        <f t="shared" si="163"/>
        <v>-7.3397713628513266</v>
      </c>
      <c r="F950" s="1">
        <f t="shared" si="164"/>
        <v>-9.6754810773810576</v>
      </c>
      <c r="G950" s="1">
        <f t="shared" si="161"/>
        <v>6.2804672940297023E-5</v>
      </c>
      <c r="H950" s="1">
        <f t="shared" si="154"/>
        <v>6.458889415596921E-7</v>
      </c>
      <c r="I950">
        <f t="shared" si="155"/>
        <v>10</v>
      </c>
      <c r="J950">
        <f t="shared" si="156"/>
        <v>913</v>
      </c>
      <c r="K950" s="5">
        <f t="shared" si="157"/>
        <v>0</v>
      </c>
      <c r="L950">
        <f t="shared" si="158"/>
        <v>95</v>
      </c>
      <c r="M950">
        <f t="shared" si="159"/>
        <v>1</v>
      </c>
      <c r="N950">
        <f t="shared" si="160"/>
        <v>0</v>
      </c>
    </row>
    <row r="951" spans="4:14" x14ac:dyDescent="0.2">
      <c r="D951">
        <f t="shared" si="162"/>
        <v>928</v>
      </c>
      <c r="E951" s="1">
        <f t="shared" si="163"/>
        <v>-7.3502426627186228</v>
      </c>
      <c r="F951" s="1">
        <f t="shared" si="164"/>
        <v>-9.685952377248352</v>
      </c>
      <c r="G951" s="1">
        <f t="shared" si="161"/>
        <v>6.2150457597168985E-5</v>
      </c>
      <c r="H951" s="1">
        <f t="shared" si="154"/>
        <v>6.3916093175177922E-7</v>
      </c>
      <c r="I951">
        <f t="shared" si="155"/>
        <v>10</v>
      </c>
      <c r="J951">
        <f t="shared" si="156"/>
        <v>914</v>
      </c>
      <c r="K951" s="5">
        <f t="shared" si="157"/>
        <v>0</v>
      </c>
      <c r="L951">
        <f t="shared" si="158"/>
        <v>95</v>
      </c>
      <c r="M951">
        <f t="shared" si="159"/>
        <v>1</v>
      </c>
      <c r="N951">
        <f t="shared" si="160"/>
        <v>0</v>
      </c>
    </row>
    <row r="952" spans="4:14" x14ac:dyDescent="0.2">
      <c r="D952">
        <f t="shared" si="162"/>
        <v>929</v>
      </c>
      <c r="E952" s="1">
        <f t="shared" si="163"/>
        <v>-7.360713962585919</v>
      </c>
      <c r="F952" s="1">
        <f t="shared" si="164"/>
        <v>-9.69642367711565</v>
      </c>
      <c r="G952" s="1">
        <f t="shared" si="161"/>
        <v>6.1503056997198313E-5</v>
      </c>
      <c r="H952" s="1">
        <f t="shared" si="154"/>
        <v>6.3250300537936316E-7</v>
      </c>
      <c r="I952">
        <f t="shared" si="155"/>
        <v>10</v>
      </c>
      <c r="J952">
        <f t="shared" si="156"/>
        <v>915</v>
      </c>
      <c r="K952" s="5">
        <f t="shared" si="157"/>
        <v>0</v>
      </c>
      <c r="L952">
        <f t="shared" si="158"/>
        <v>95</v>
      </c>
      <c r="M952">
        <f t="shared" si="159"/>
        <v>1</v>
      </c>
      <c r="N952">
        <f t="shared" si="160"/>
        <v>0</v>
      </c>
    </row>
    <row r="953" spans="4:14" x14ac:dyDescent="0.2">
      <c r="D953">
        <f t="shared" si="162"/>
        <v>930</v>
      </c>
      <c r="E953" s="1">
        <f t="shared" si="163"/>
        <v>-7.3711852624532153</v>
      </c>
      <c r="F953" s="1">
        <f t="shared" si="164"/>
        <v>-9.7068949769829445</v>
      </c>
      <c r="G953" s="1">
        <f t="shared" si="161"/>
        <v>6.0862400153477561E-5</v>
      </c>
      <c r="H953" s="1">
        <f t="shared" si="154"/>
        <v>6.2591443240666217E-7</v>
      </c>
      <c r="I953">
        <f t="shared" si="155"/>
        <v>10</v>
      </c>
      <c r="J953">
        <f t="shared" si="156"/>
        <v>916</v>
      </c>
      <c r="K953" s="5">
        <f t="shared" si="157"/>
        <v>0</v>
      </c>
      <c r="L953">
        <f t="shared" si="158"/>
        <v>95</v>
      </c>
      <c r="M953">
        <f t="shared" si="159"/>
        <v>1</v>
      </c>
      <c r="N953">
        <f t="shared" si="160"/>
        <v>0</v>
      </c>
    </row>
    <row r="954" spans="4:14" x14ac:dyDescent="0.2">
      <c r="D954">
        <f t="shared" si="162"/>
        <v>931</v>
      </c>
      <c r="E954" s="1">
        <f t="shared" si="163"/>
        <v>-7.3816565623205115</v>
      </c>
      <c r="F954" s="1">
        <f t="shared" si="164"/>
        <v>-9.7173662768502425</v>
      </c>
      <c r="G954" s="1">
        <f t="shared" si="161"/>
        <v>6.022841681854535E-5</v>
      </c>
      <c r="H954" s="1">
        <f t="shared" si="154"/>
        <v>6.1939449040242448E-7</v>
      </c>
      <c r="I954">
        <f t="shared" si="155"/>
        <v>10</v>
      </c>
      <c r="J954">
        <f t="shared" si="156"/>
        <v>917</v>
      </c>
      <c r="K954" s="5">
        <f t="shared" si="157"/>
        <v>0</v>
      </c>
      <c r="L954">
        <f t="shared" si="158"/>
        <v>95</v>
      </c>
      <c r="M954">
        <f t="shared" si="159"/>
        <v>1</v>
      </c>
      <c r="N954">
        <f t="shared" si="160"/>
        <v>0</v>
      </c>
    </row>
    <row r="955" spans="4:14" x14ac:dyDescent="0.2">
      <c r="D955">
        <f t="shared" si="162"/>
        <v>932</v>
      </c>
      <c r="E955" s="1">
        <f t="shared" si="163"/>
        <v>-7.3921278621878077</v>
      </c>
      <c r="F955" s="1">
        <f t="shared" si="164"/>
        <v>-9.7278375767175369</v>
      </c>
      <c r="G955" s="1">
        <f t="shared" si="161"/>
        <v>5.960103747668556E-5</v>
      </c>
      <c r="H955" s="1">
        <f t="shared" si="154"/>
        <v>6.1294246446073317E-7</v>
      </c>
      <c r="I955">
        <f t="shared" si="155"/>
        <v>10</v>
      </c>
      <c r="J955">
        <f t="shared" si="156"/>
        <v>918</v>
      </c>
      <c r="K955" s="5">
        <f t="shared" si="157"/>
        <v>0</v>
      </c>
      <c r="L955">
        <f t="shared" si="158"/>
        <v>95</v>
      </c>
      <c r="M955">
        <f t="shared" si="159"/>
        <v>1</v>
      </c>
      <c r="N955">
        <f t="shared" si="160"/>
        <v>0</v>
      </c>
    </row>
    <row r="956" spans="4:14" x14ac:dyDescent="0.2">
      <c r="D956">
        <f t="shared" si="162"/>
        <v>933</v>
      </c>
      <c r="E956" s="1">
        <f t="shared" si="163"/>
        <v>-7.4025991620551039</v>
      </c>
      <c r="F956" s="1">
        <f t="shared" si="164"/>
        <v>-9.7383088765848349</v>
      </c>
      <c r="G956" s="1">
        <f t="shared" si="161"/>
        <v>5.898019333630326E-5</v>
      </c>
      <c r="H956" s="1">
        <f t="shared" si="154"/>
        <v>6.0655764712259885E-7</v>
      </c>
      <c r="I956">
        <f t="shared" si="155"/>
        <v>10</v>
      </c>
      <c r="J956">
        <f t="shared" si="156"/>
        <v>919</v>
      </c>
      <c r="K956" s="5">
        <f t="shared" si="157"/>
        <v>0</v>
      </c>
      <c r="L956">
        <f t="shared" si="158"/>
        <v>95</v>
      </c>
      <c r="M956">
        <f t="shared" si="159"/>
        <v>1</v>
      </c>
      <c r="N956">
        <f t="shared" si="160"/>
        <v>0</v>
      </c>
    </row>
    <row r="957" spans="4:14" x14ac:dyDescent="0.2">
      <c r="D957">
        <f t="shared" si="162"/>
        <v>934</v>
      </c>
      <c r="E957" s="1">
        <f t="shared" si="163"/>
        <v>-7.4130704619224002</v>
      </c>
      <c r="F957" s="1">
        <f t="shared" si="164"/>
        <v>-9.7487801764521294</v>
      </c>
      <c r="G957" s="1">
        <f t="shared" si="161"/>
        <v>5.8365816322383491E-5</v>
      </c>
      <c r="H957" s="1">
        <f t="shared" si="154"/>
        <v>6.0023933829840575E-7</v>
      </c>
      <c r="I957">
        <f t="shared" si="155"/>
        <v>10</v>
      </c>
      <c r="J957">
        <f t="shared" si="156"/>
        <v>920</v>
      </c>
      <c r="K957" s="5">
        <f t="shared" si="157"/>
        <v>0</v>
      </c>
      <c r="L957">
        <f t="shared" si="158"/>
        <v>95</v>
      </c>
      <c r="M957">
        <f t="shared" si="159"/>
        <v>1</v>
      </c>
      <c r="N957">
        <f t="shared" si="160"/>
        <v>0</v>
      </c>
    </row>
    <row r="958" spans="4:14" x14ac:dyDescent="0.2">
      <c r="D958">
        <f t="shared" si="162"/>
        <v>935</v>
      </c>
      <c r="E958" s="1">
        <f t="shared" si="163"/>
        <v>-7.4235417617896964</v>
      </c>
      <c r="F958" s="1">
        <f t="shared" si="164"/>
        <v>-9.7592514763194274</v>
      </c>
      <c r="G958" s="1">
        <f t="shared" si="161"/>
        <v>5.775783906902518E-5</v>
      </c>
      <c r="H958" s="1">
        <f t="shared" si="154"/>
        <v>5.9398684519112915E-7</v>
      </c>
      <c r="I958">
        <f t="shared" si="155"/>
        <v>10</v>
      </c>
      <c r="J958">
        <f t="shared" si="156"/>
        <v>921</v>
      </c>
      <c r="K958" s="5">
        <f t="shared" si="157"/>
        <v>0</v>
      </c>
      <c r="L958">
        <f t="shared" si="158"/>
        <v>95</v>
      </c>
      <c r="M958">
        <f t="shared" si="159"/>
        <v>1</v>
      </c>
      <c r="N958">
        <f t="shared" si="160"/>
        <v>0</v>
      </c>
    </row>
    <row r="959" spans="4:14" x14ac:dyDescent="0.2">
      <c r="D959">
        <f t="shared" si="162"/>
        <v>936</v>
      </c>
      <c r="E959" s="1">
        <f t="shared" si="163"/>
        <v>-7.4340130616569926</v>
      </c>
      <c r="F959" s="1">
        <f t="shared" si="164"/>
        <v>-9.7697227761867218</v>
      </c>
      <c r="G959" s="1">
        <f t="shared" si="161"/>
        <v>5.7156194912056221E-5</v>
      </c>
      <c r="H959" s="1">
        <f t="shared" si="154"/>
        <v>5.877994822203888E-7</v>
      </c>
      <c r="I959">
        <f t="shared" si="155"/>
        <v>10</v>
      </c>
      <c r="J959">
        <f t="shared" si="156"/>
        <v>922</v>
      </c>
      <c r="K959" s="5">
        <f t="shared" si="157"/>
        <v>0</v>
      </c>
      <c r="L959">
        <f t="shared" si="158"/>
        <v>95</v>
      </c>
      <c r="M959">
        <f t="shared" si="159"/>
        <v>1</v>
      </c>
      <c r="N959">
        <f t="shared" si="160"/>
        <v>0</v>
      </c>
    </row>
    <row r="960" spans="4:14" x14ac:dyDescent="0.2">
      <c r="D960">
        <f t="shared" si="162"/>
        <v>937</v>
      </c>
      <c r="E960" s="1">
        <f t="shared" si="163"/>
        <v>-7.4444843615242888</v>
      </c>
      <c r="F960" s="1">
        <f t="shared" si="164"/>
        <v>-9.7801940760540198</v>
      </c>
      <c r="G960" s="1">
        <f t="shared" si="161"/>
        <v>5.6560817881722161E-5</v>
      </c>
      <c r="H960" s="1">
        <f t="shared" si="154"/>
        <v>5.8167657094725823E-7</v>
      </c>
      <c r="I960">
        <f t="shared" si="155"/>
        <v>10</v>
      </c>
      <c r="J960">
        <f t="shared" si="156"/>
        <v>923</v>
      </c>
      <c r="K960" s="5">
        <f t="shared" si="157"/>
        <v>0</v>
      </c>
      <c r="L960">
        <f t="shared" si="158"/>
        <v>95</v>
      </c>
      <c r="M960">
        <f t="shared" si="159"/>
        <v>1</v>
      </c>
      <c r="N960">
        <f t="shared" si="160"/>
        <v>0</v>
      </c>
    </row>
    <row r="961" spans="4:14" x14ac:dyDescent="0.2">
      <c r="D961">
        <f t="shared" si="162"/>
        <v>938</v>
      </c>
      <c r="E961" s="1">
        <f t="shared" si="163"/>
        <v>-7.4549556613915851</v>
      </c>
      <c r="F961" s="1">
        <f t="shared" si="164"/>
        <v>-9.7906653759213143</v>
      </c>
      <c r="G961" s="1">
        <f t="shared" si="161"/>
        <v>5.5971642695454273E-5</v>
      </c>
      <c r="H961" s="1">
        <f t="shared" si="154"/>
        <v>5.7561743999989147E-7</v>
      </c>
      <c r="I961">
        <f t="shared" si="155"/>
        <v>10</v>
      </c>
      <c r="J961">
        <f t="shared" si="156"/>
        <v>924</v>
      </c>
      <c r="K961" s="5">
        <f t="shared" si="157"/>
        <v>0</v>
      </c>
      <c r="L961">
        <f t="shared" si="158"/>
        <v>95</v>
      </c>
      <c r="M961">
        <f t="shared" si="159"/>
        <v>1</v>
      </c>
      <c r="N961">
        <f t="shared" si="160"/>
        <v>0</v>
      </c>
    </row>
    <row r="962" spans="4:14" x14ac:dyDescent="0.2">
      <c r="D962">
        <f t="shared" si="162"/>
        <v>939</v>
      </c>
      <c r="E962" s="1">
        <f t="shared" si="163"/>
        <v>-7.4654269612588813</v>
      </c>
      <c r="F962" s="1">
        <f t="shared" si="164"/>
        <v>-9.8011366757886123</v>
      </c>
      <c r="G962" s="1">
        <f t="shared" si="161"/>
        <v>5.5388604750709815E-5</v>
      </c>
      <c r="H962" s="1">
        <f t="shared" si="154"/>
        <v>5.6962142499989118E-7</v>
      </c>
      <c r="I962">
        <f t="shared" si="155"/>
        <v>10</v>
      </c>
      <c r="J962">
        <f t="shared" si="156"/>
        <v>925</v>
      </c>
      <c r="K962" s="5">
        <f t="shared" si="157"/>
        <v>0</v>
      </c>
      <c r="L962">
        <f t="shared" si="158"/>
        <v>95</v>
      </c>
      <c r="M962">
        <f t="shared" si="159"/>
        <v>1</v>
      </c>
      <c r="N962">
        <f t="shared" si="160"/>
        <v>0</v>
      </c>
    </row>
    <row r="963" spans="4:14" x14ac:dyDescent="0.2">
      <c r="D963">
        <f t="shared" si="162"/>
        <v>940</v>
      </c>
      <c r="E963" s="1">
        <f t="shared" si="163"/>
        <v>-7.4758982611261775</v>
      </c>
      <c r="F963" s="1">
        <f t="shared" si="164"/>
        <v>-9.8116079756559067</v>
      </c>
      <c r="G963" s="1">
        <f t="shared" si="161"/>
        <v>5.4811640117889969E-5</v>
      </c>
      <c r="H963" s="1">
        <f t="shared" si="154"/>
        <v>5.6368786848947613E-7</v>
      </c>
      <c r="I963">
        <f t="shared" si="155"/>
        <v>10</v>
      </c>
      <c r="J963">
        <f t="shared" si="156"/>
        <v>926</v>
      </c>
      <c r="K963" s="5">
        <f t="shared" si="157"/>
        <v>0</v>
      </c>
      <c r="L963">
        <f t="shared" si="158"/>
        <v>95</v>
      </c>
      <c r="M963">
        <f t="shared" si="159"/>
        <v>1</v>
      </c>
      <c r="N963">
        <f t="shared" si="160"/>
        <v>0</v>
      </c>
    </row>
    <row r="964" spans="4:14" x14ac:dyDescent="0.2">
      <c r="D964">
        <f t="shared" si="162"/>
        <v>941</v>
      </c>
      <c r="E964" s="1">
        <f t="shared" si="163"/>
        <v>-7.4863695609934737</v>
      </c>
      <c r="F964" s="1">
        <f t="shared" si="164"/>
        <v>-9.8220792755232047</v>
      </c>
      <c r="G964" s="1">
        <f t="shared" si="161"/>
        <v>5.4240685533328477E-5</v>
      </c>
      <c r="H964" s="1">
        <f t="shared" si="154"/>
        <v>5.5781611985937602E-7</v>
      </c>
      <c r="I964">
        <f t="shared" si="155"/>
        <v>10</v>
      </c>
      <c r="J964">
        <f t="shared" si="156"/>
        <v>927</v>
      </c>
      <c r="K964" s="5">
        <f t="shared" si="157"/>
        <v>0</v>
      </c>
      <c r="L964">
        <f t="shared" si="158"/>
        <v>95</v>
      </c>
      <c r="M964">
        <f t="shared" si="159"/>
        <v>1</v>
      </c>
      <c r="N964">
        <f t="shared" si="160"/>
        <v>0</v>
      </c>
    </row>
    <row r="965" spans="4:14" x14ac:dyDescent="0.2">
      <c r="D965">
        <f t="shared" si="162"/>
        <v>942</v>
      </c>
      <c r="E965" s="1">
        <f t="shared" si="163"/>
        <v>-7.49684086086077</v>
      </c>
      <c r="F965" s="1">
        <f t="shared" si="164"/>
        <v>-9.8325505753904991</v>
      </c>
      <c r="G965" s="1">
        <f t="shared" si="161"/>
        <v>5.3675678392356359E-5</v>
      </c>
      <c r="H965" s="1">
        <f t="shared" si="154"/>
        <v>5.5200553527750804E-7</v>
      </c>
      <c r="I965">
        <f t="shared" si="155"/>
        <v>10</v>
      </c>
      <c r="J965">
        <f t="shared" si="156"/>
        <v>928</v>
      </c>
      <c r="K965" s="5">
        <f t="shared" si="157"/>
        <v>0</v>
      </c>
      <c r="L965">
        <f t="shared" si="158"/>
        <v>95</v>
      </c>
      <c r="M965">
        <f t="shared" si="159"/>
        <v>1</v>
      </c>
      <c r="N965">
        <f t="shared" si="160"/>
        <v>0</v>
      </c>
    </row>
    <row r="966" spans="4:14" x14ac:dyDescent="0.2">
      <c r="D966">
        <f t="shared" si="162"/>
        <v>943</v>
      </c>
      <c r="E966" s="1">
        <f t="shared" si="163"/>
        <v>-7.5073121607280662</v>
      </c>
      <c r="F966" s="1">
        <f t="shared" si="164"/>
        <v>-9.8430218752577971</v>
      </c>
      <c r="G966" s="1">
        <f t="shared" si="161"/>
        <v>5.3116556742435842E-5</v>
      </c>
      <c r="H966" s="1">
        <f t="shared" si="154"/>
        <v>5.4625547761836595E-7</v>
      </c>
      <c r="I966">
        <f t="shared" si="155"/>
        <v>10</v>
      </c>
      <c r="J966">
        <f t="shared" si="156"/>
        <v>929</v>
      </c>
      <c r="K966" s="5">
        <f t="shared" si="157"/>
        <v>0</v>
      </c>
      <c r="L966">
        <f t="shared" si="158"/>
        <v>95</v>
      </c>
      <c r="M966">
        <f t="shared" si="159"/>
        <v>1</v>
      </c>
      <c r="N966">
        <f t="shared" si="160"/>
        <v>0</v>
      </c>
    </row>
    <row r="967" spans="4:14" x14ac:dyDescent="0.2">
      <c r="D967">
        <f t="shared" si="162"/>
        <v>944</v>
      </c>
      <c r="E967" s="1">
        <f t="shared" si="163"/>
        <v>-7.5177834605953624</v>
      </c>
      <c r="F967" s="1">
        <f t="shared" si="164"/>
        <v>-9.8534931751250916</v>
      </c>
      <c r="G967" s="1">
        <f t="shared" si="161"/>
        <v>5.2563259276368853E-5</v>
      </c>
      <c r="H967" s="1">
        <f t="shared" si="154"/>
        <v>5.4056531639317515E-7</v>
      </c>
      <c r="I967">
        <f t="shared" si="155"/>
        <v>10</v>
      </c>
      <c r="J967">
        <f t="shared" si="156"/>
        <v>930</v>
      </c>
      <c r="K967" s="5">
        <f t="shared" si="157"/>
        <v>0</v>
      </c>
      <c r="L967">
        <f t="shared" si="158"/>
        <v>95</v>
      </c>
      <c r="M967">
        <f t="shared" si="159"/>
        <v>1</v>
      </c>
      <c r="N967">
        <f t="shared" si="160"/>
        <v>0</v>
      </c>
    </row>
    <row r="968" spans="4:14" x14ac:dyDescent="0.2">
      <c r="D968">
        <f t="shared" si="162"/>
        <v>945</v>
      </c>
      <c r="E968" s="1">
        <f t="shared" si="163"/>
        <v>-7.5282547604626586</v>
      </c>
      <c r="F968" s="1">
        <f t="shared" si="164"/>
        <v>-9.8639644749923896</v>
      </c>
      <c r="G968" s="1">
        <f t="shared" si="161"/>
        <v>5.2015725325573206E-5</v>
      </c>
      <c r="H968" s="1">
        <f t="shared" si="154"/>
        <v>5.3493442768074482E-7</v>
      </c>
      <c r="I968">
        <f t="shared" si="155"/>
        <v>10</v>
      </c>
      <c r="J968">
        <f t="shared" si="156"/>
        <v>931</v>
      </c>
      <c r="K968" s="5">
        <f t="shared" si="157"/>
        <v>0</v>
      </c>
      <c r="L968">
        <f t="shared" si="158"/>
        <v>95</v>
      </c>
      <c r="M968">
        <f t="shared" si="159"/>
        <v>1</v>
      </c>
      <c r="N968">
        <f t="shared" si="160"/>
        <v>0</v>
      </c>
    </row>
    <row r="969" spans="4:14" x14ac:dyDescent="0.2">
      <c r="D969">
        <f t="shared" si="162"/>
        <v>946</v>
      </c>
      <c r="E969" s="1">
        <f t="shared" si="163"/>
        <v>-7.5387260603299548</v>
      </c>
      <c r="F969" s="1">
        <f t="shared" si="164"/>
        <v>-9.874435774859684</v>
      </c>
      <c r="G969" s="1">
        <f t="shared" si="161"/>
        <v>5.1473894853431867E-5</v>
      </c>
      <c r="H969" s="1">
        <f t="shared" si="154"/>
        <v>5.2936219405907085E-7</v>
      </c>
      <c r="I969">
        <f t="shared" si="155"/>
        <v>10</v>
      </c>
      <c r="J969">
        <f t="shared" si="156"/>
        <v>932</v>
      </c>
      <c r="K969" s="5">
        <f t="shared" si="157"/>
        <v>0</v>
      </c>
      <c r="L969">
        <f t="shared" si="158"/>
        <v>95</v>
      </c>
      <c r="M969">
        <f t="shared" si="159"/>
        <v>1</v>
      </c>
      <c r="N969">
        <f t="shared" si="160"/>
        <v>0</v>
      </c>
    </row>
    <row r="970" spans="4:14" x14ac:dyDescent="0.2">
      <c r="D970">
        <f t="shared" si="162"/>
        <v>947</v>
      </c>
      <c r="E970" s="1">
        <f t="shared" si="163"/>
        <v>-7.5491973601972511</v>
      </c>
      <c r="F970" s="1">
        <f t="shared" si="164"/>
        <v>-9.884907074726982</v>
      </c>
      <c r="G970" s="1">
        <f t="shared" si="161"/>
        <v>5.0937708448708488E-5</v>
      </c>
      <c r="H970" s="1">
        <f t="shared" si="154"/>
        <v>5.2384800453762085E-7</v>
      </c>
      <c r="I970">
        <f t="shared" si="155"/>
        <v>10</v>
      </c>
      <c r="J970">
        <f t="shared" si="156"/>
        <v>933</v>
      </c>
      <c r="K970" s="5">
        <f t="shared" si="157"/>
        <v>0</v>
      </c>
      <c r="L970">
        <f t="shared" si="158"/>
        <v>95</v>
      </c>
      <c r="M970">
        <f t="shared" si="159"/>
        <v>1</v>
      </c>
      <c r="N970">
        <f t="shared" si="160"/>
        <v>0</v>
      </c>
    </row>
    <row r="971" spans="4:14" x14ac:dyDescent="0.2">
      <c r="D971">
        <f t="shared" si="162"/>
        <v>948</v>
      </c>
      <c r="E971" s="1">
        <f t="shared" si="163"/>
        <v>-7.5596686600645473</v>
      </c>
      <c r="F971" s="1">
        <f t="shared" si="164"/>
        <v>-9.8953783745942765</v>
      </c>
      <c r="G971" s="1">
        <f t="shared" si="161"/>
        <v>5.0407107319034492E-5</v>
      </c>
      <c r="H971" s="1">
        <f t="shared" si="154"/>
        <v>5.1839125449035449E-7</v>
      </c>
      <c r="I971">
        <f t="shared" si="155"/>
        <v>10</v>
      </c>
      <c r="J971">
        <f t="shared" si="156"/>
        <v>934</v>
      </c>
      <c r="K971" s="5">
        <f t="shared" si="157"/>
        <v>0</v>
      </c>
      <c r="L971">
        <f t="shared" si="158"/>
        <v>95</v>
      </c>
      <c r="M971">
        <f t="shared" si="159"/>
        <v>1</v>
      </c>
      <c r="N971">
        <f t="shared" si="160"/>
        <v>0</v>
      </c>
    </row>
    <row r="972" spans="4:14" x14ac:dyDescent="0.2">
      <c r="D972">
        <f t="shared" si="162"/>
        <v>949</v>
      </c>
      <c r="E972" s="1">
        <f t="shared" si="163"/>
        <v>-7.5701399599318435</v>
      </c>
      <c r="F972" s="1">
        <f t="shared" si="164"/>
        <v>-9.9058496744615745</v>
      </c>
      <c r="G972" s="1">
        <f t="shared" si="161"/>
        <v>4.9882033284461085E-5</v>
      </c>
      <c r="H972" s="1">
        <f t="shared" si="154"/>
        <v>5.1299134558941195E-7</v>
      </c>
      <c r="I972">
        <f t="shared" si="155"/>
        <v>10</v>
      </c>
      <c r="J972">
        <f t="shared" si="156"/>
        <v>935</v>
      </c>
      <c r="K972" s="5">
        <f t="shared" si="157"/>
        <v>0</v>
      </c>
      <c r="L972">
        <f t="shared" si="158"/>
        <v>95</v>
      </c>
      <c r="M972">
        <f t="shared" si="159"/>
        <v>1</v>
      </c>
      <c r="N972">
        <f t="shared" si="160"/>
        <v>0</v>
      </c>
    </row>
    <row r="973" spans="4:14" x14ac:dyDescent="0.2">
      <c r="D973">
        <f t="shared" si="162"/>
        <v>950</v>
      </c>
      <c r="E973" s="1">
        <f t="shared" si="163"/>
        <v>-7.5806112597991397</v>
      </c>
      <c r="F973" s="1">
        <f t="shared" si="164"/>
        <v>-9.9163209743288689</v>
      </c>
      <c r="G973" s="1">
        <f t="shared" si="161"/>
        <v>4.9362428771081329E-5</v>
      </c>
      <c r="H973" s="1">
        <f t="shared" si="154"/>
        <v>5.0764768573952275E-7</v>
      </c>
      <c r="I973">
        <f t="shared" si="155"/>
        <v>10</v>
      </c>
      <c r="J973">
        <f t="shared" si="156"/>
        <v>936</v>
      </c>
      <c r="K973" s="5">
        <f t="shared" si="157"/>
        <v>0</v>
      </c>
      <c r="L973">
        <f t="shared" si="158"/>
        <v>95</v>
      </c>
      <c r="M973">
        <f t="shared" si="159"/>
        <v>1</v>
      </c>
      <c r="N973">
        <f t="shared" si="160"/>
        <v>0</v>
      </c>
    </row>
    <row r="974" spans="4:14" x14ac:dyDescent="0.2">
      <c r="D974">
        <f t="shared" si="162"/>
        <v>951</v>
      </c>
      <c r="E974" s="1">
        <f t="shared" si="163"/>
        <v>-7.591082559666436</v>
      </c>
      <c r="F974" s="1">
        <f t="shared" si="164"/>
        <v>-9.9267922741961669</v>
      </c>
      <c r="G974" s="1">
        <f t="shared" si="161"/>
        <v>4.8848236804715767E-5</v>
      </c>
      <c r="H974" s="1">
        <f t="shared" si="154"/>
        <v>5.0235968901306807E-7</v>
      </c>
      <c r="I974">
        <f t="shared" si="155"/>
        <v>10</v>
      </c>
      <c r="J974">
        <f t="shared" si="156"/>
        <v>937</v>
      </c>
      <c r="K974" s="5">
        <f t="shared" si="157"/>
        <v>0</v>
      </c>
      <c r="L974">
        <f t="shared" si="158"/>
        <v>95</v>
      </c>
      <c r="M974">
        <f t="shared" si="159"/>
        <v>1</v>
      </c>
      <c r="N974">
        <f t="shared" si="160"/>
        <v>0</v>
      </c>
    </row>
    <row r="975" spans="4:14" x14ac:dyDescent="0.2">
      <c r="D975">
        <f t="shared" si="162"/>
        <v>952</v>
      </c>
      <c r="E975" s="1">
        <f t="shared" si="163"/>
        <v>-7.6015538595337322</v>
      </c>
      <c r="F975" s="1">
        <f t="shared" si="164"/>
        <v>-9.9372635740634614</v>
      </c>
      <c r="G975" s="1">
        <f t="shared" si="161"/>
        <v>4.8339401004666694E-5</v>
      </c>
      <c r="H975" s="1">
        <f t="shared" si="154"/>
        <v>4.9712677558584907E-7</v>
      </c>
      <c r="I975">
        <f t="shared" si="155"/>
        <v>10</v>
      </c>
      <c r="J975">
        <f t="shared" si="156"/>
        <v>938</v>
      </c>
      <c r="K975" s="5">
        <f t="shared" si="157"/>
        <v>0</v>
      </c>
      <c r="L975">
        <f t="shared" si="158"/>
        <v>95</v>
      </c>
      <c r="M975">
        <f t="shared" si="159"/>
        <v>1</v>
      </c>
      <c r="N975">
        <f t="shared" si="160"/>
        <v>0</v>
      </c>
    </row>
    <row r="976" spans="4:14" x14ac:dyDescent="0.2">
      <c r="D976">
        <f t="shared" si="162"/>
        <v>953</v>
      </c>
      <c r="E976" s="1">
        <f t="shared" si="163"/>
        <v>-7.6120251594010284</v>
      </c>
      <c r="F976" s="1">
        <f t="shared" si="164"/>
        <v>-9.9477348739307594</v>
      </c>
      <c r="G976" s="1">
        <f t="shared" si="161"/>
        <v>4.7835865577534627E-5</v>
      </c>
      <c r="H976" s="1">
        <f t="shared" si="154"/>
        <v>4.919483716734953E-7</v>
      </c>
      <c r="I976">
        <f t="shared" si="155"/>
        <v>10</v>
      </c>
      <c r="J976">
        <f t="shared" si="156"/>
        <v>939</v>
      </c>
      <c r="K976" s="5">
        <f t="shared" si="157"/>
        <v>0</v>
      </c>
      <c r="L976">
        <f t="shared" si="158"/>
        <v>95</v>
      </c>
      <c r="M976">
        <f t="shared" si="159"/>
        <v>1</v>
      </c>
      <c r="N976">
        <f t="shared" si="160"/>
        <v>0</v>
      </c>
    </row>
    <row r="977" spans="4:14" x14ac:dyDescent="0.2">
      <c r="D977">
        <f t="shared" si="162"/>
        <v>954</v>
      </c>
      <c r="E977" s="1">
        <f t="shared" si="163"/>
        <v>-7.6224964592683246</v>
      </c>
      <c r="F977" s="1">
        <f t="shared" si="164"/>
        <v>-9.9582061737980538</v>
      </c>
      <c r="G977" s="1">
        <f t="shared" si="161"/>
        <v>4.7337575311102019E-5</v>
      </c>
      <c r="H977" s="1">
        <f t="shared" si="154"/>
        <v>4.8682390946856344E-7</v>
      </c>
      <c r="I977">
        <f t="shared" si="155"/>
        <v>10</v>
      </c>
      <c r="J977">
        <f t="shared" si="156"/>
        <v>940</v>
      </c>
      <c r="K977" s="5">
        <f t="shared" si="157"/>
        <v>0</v>
      </c>
      <c r="L977">
        <f t="shared" si="158"/>
        <v>95</v>
      </c>
      <c r="M977">
        <f t="shared" si="159"/>
        <v>1</v>
      </c>
      <c r="N977">
        <f t="shared" si="160"/>
        <v>0</v>
      </c>
    </row>
    <row r="978" spans="4:14" x14ac:dyDescent="0.2">
      <c r="D978">
        <f t="shared" si="162"/>
        <v>955</v>
      </c>
      <c r="E978" s="1">
        <f t="shared" si="163"/>
        <v>-7.6329677591356209</v>
      </c>
      <c r="F978" s="1">
        <f t="shared" si="164"/>
        <v>-9.9686774736653518</v>
      </c>
      <c r="G978" s="1">
        <f t="shared" si="161"/>
        <v>4.6844475568277915E-5</v>
      </c>
      <c r="H978" s="1">
        <f t="shared" si="154"/>
        <v>4.8175282707826465E-7</v>
      </c>
      <c r="I978">
        <f t="shared" si="155"/>
        <v>10</v>
      </c>
      <c r="J978">
        <f t="shared" si="156"/>
        <v>941</v>
      </c>
      <c r="K978" s="5">
        <f t="shared" si="157"/>
        <v>0</v>
      </c>
      <c r="L978">
        <f t="shared" si="158"/>
        <v>95</v>
      </c>
      <c r="M978">
        <f t="shared" si="159"/>
        <v>1</v>
      </c>
      <c r="N978">
        <f t="shared" si="160"/>
        <v>0</v>
      </c>
    </row>
    <row r="979" spans="4:14" x14ac:dyDescent="0.2">
      <c r="D979">
        <f t="shared" si="162"/>
        <v>956</v>
      </c>
      <c r="E979" s="1">
        <f t="shared" si="163"/>
        <v>-7.6434390590029171</v>
      </c>
      <c r="F979" s="1">
        <f t="shared" si="164"/>
        <v>-9.9791487735326463</v>
      </c>
      <c r="G979" s="1">
        <f t="shared" si="161"/>
        <v>4.6356512281108397E-5</v>
      </c>
      <c r="H979" s="1">
        <f t="shared" si="154"/>
        <v>4.7673456846286651E-7</v>
      </c>
      <c r="I979">
        <f t="shared" si="155"/>
        <v>10</v>
      </c>
      <c r="J979">
        <f t="shared" si="156"/>
        <v>942</v>
      </c>
      <c r="K979" s="5">
        <f t="shared" si="157"/>
        <v>0</v>
      </c>
      <c r="L979">
        <f t="shared" si="158"/>
        <v>95</v>
      </c>
      <c r="M979">
        <f t="shared" si="159"/>
        <v>1</v>
      </c>
      <c r="N979">
        <f t="shared" si="160"/>
        <v>0</v>
      </c>
    </row>
    <row r="980" spans="4:14" x14ac:dyDescent="0.2">
      <c r="D980">
        <f t="shared" si="162"/>
        <v>957</v>
      </c>
      <c r="E980" s="1">
        <f t="shared" si="163"/>
        <v>-7.6539103588702133</v>
      </c>
      <c r="F980" s="1">
        <f t="shared" si="164"/>
        <v>-9.9896200733999443</v>
      </c>
      <c r="G980" s="1">
        <f t="shared" si="161"/>
        <v>4.5873631944846732E-5</v>
      </c>
      <c r="H980" s="1">
        <f t="shared" si="154"/>
        <v>4.7176858337471043E-7</v>
      </c>
      <c r="I980">
        <f t="shared" si="155"/>
        <v>10</v>
      </c>
      <c r="J980">
        <f t="shared" si="156"/>
        <v>943</v>
      </c>
      <c r="K980" s="5">
        <f t="shared" si="157"/>
        <v>0</v>
      </c>
      <c r="L980">
        <f t="shared" si="158"/>
        <v>95</v>
      </c>
      <c r="M980">
        <f t="shared" si="159"/>
        <v>1</v>
      </c>
      <c r="N980">
        <f t="shared" si="160"/>
        <v>0</v>
      </c>
    </row>
    <row r="981" spans="4:14" x14ac:dyDescent="0.2">
      <c r="D981">
        <f t="shared" si="162"/>
        <v>958</v>
      </c>
      <c r="E981" s="1">
        <f t="shared" si="163"/>
        <v>-7.6643816587375095</v>
      </c>
      <c r="F981" s="1">
        <f t="shared" si="164"/>
        <v>-10.000091373267239</v>
      </c>
      <c r="G981" s="1">
        <f t="shared" si="161"/>
        <v>4.5395781612087961E-5</v>
      </c>
      <c r="H981" s="1">
        <f t="shared" si="154"/>
        <v>4.6685432729789101E-7</v>
      </c>
      <c r="I981">
        <f t="shared" si="155"/>
        <v>10</v>
      </c>
      <c r="J981">
        <f t="shared" si="156"/>
        <v>944</v>
      </c>
      <c r="K981" s="5">
        <f t="shared" si="157"/>
        <v>0</v>
      </c>
      <c r="L981">
        <f t="shared" si="158"/>
        <v>95</v>
      </c>
      <c r="M981">
        <f t="shared" si="159"/>
        <v>1</v>
      </c>
      <c r="N981">
        <f t="shared" si="160"/>
        <v>0</v>
      </c>
    </row>
    <row r="982" spans="4:14" x14ac:dyDescent="0.2">
      <c r="D982">
        <f t="shared" si="162"/>
        <v>959</v>
      </c>
      <c r="E982" s="1">
        <f t="shared" si="163"/>
        <v>-7.6748529586048058</v>
      </c>
      <c r="F982" s="1">
        <f t="shared" si="164"/>
        <v>-10.010562673134537</v>
      </c>
      <c r="G982" s="1">
        <f t="shared" si="161"/>
        <v>4.4922908886961923E-5</v>
      </c>
      <c r="H982" s="1">
        <f t="shared" si="154"/>
        <v>4.6199126138853676E-7</v>
      </c>
      <c r="I982">
        <f t="shared" si="155"/>
        <v>10</v>
      </c>
      <c r="J982">
        <f t="shared" si="156"/>
        <v>945</v>
      </c>
      <c r="K982" s="5">
        <f t="shared" si="157"/>
        <v>0</v>
      </c>
      <c r="L982">
        <f t="shared" si="158"/>
        <v>95</v>
      </c>
      <c r="M982">
        <f t="shared" si="159"/>
        <v>1</v>
      </c>
      <c r="N982">
        <f t="shared" si="160"/>
        <v>0</v>
      </c>
    </row>
    <row r="983" spans="4:14" x14ac:dyDescent="0.2">
      <c r="D983">
        <f t="shared" si="162"/>
        <v>960</v>
      </c>
      <c r="E983" s="1">
        <f t="shared" si="163"/>
        <v>-7.685324258472102</v>
      </c>
      <c r="F983" s="1">
        <f t="shared" si="164"/>
        <v>-10.021033973001831</v>
      </c>
      <c r="G983" s="1">
        <f t="shared" si="161"/>
        <v>4.445496191938945E-5</v>
      </c>
      <c r="H983" s="1">
        <f t="shared" ref="H983:H1046" si="165">G983/$G$21</f>
        <v>4.5717885241573996E-7</v>
      </c>
      <c r="I983">
        <f t="shared" ref="I983:I1046" si="166">IF($F$11&lt;=D983, IF(D983&lt;=$A$15,D983-$F$11,$C$11),0)</f>
        <v>10</v>
      </c>
      <c r="J983">
        <f t="shared" ref="J983:J1046" si="167">IF(D983&lt;=$A$15,0,D983-$A$15)</f>
        <v>946</v>
      </c>
      <c r="K983" s="5">
        <f t="shared" ref="K983:K1046" si="168">IF(D983&lt;$F$11,H983,0)</f>
        <v>0</v>
      </c>
      <c r="L983">
        <f t="shared" ref="L983:L1046" si="169">IF(D983&lt;$A$15,$D$11,$D$11*(1-$H$11))</f>
        <v>95</v>
      </c>
      <c r="M983">
        <f t="shared" ref="M983:M1046" si="170">IF(D983&lt;$A$15,0,1)</f>
        <v>1</v>
      </c>
      <c r="N983">
        <f t="shared" ref="N983:N1046" si="171">IF(SUM(I983:J983)&lt;=($G$11/60*$F$11/($E$11/60)),1,0)</f>
        <v>0</v>
      </c>
    </row>
    <row r="984" spans="4:14" x14ac:dyDescent="0.2">
      <c r="D984">
        <f t="shared" si="162"/>
        <v>961</v>
      </c>
      <c r="E984" s="1">
        <f t="shared" si="163"/>
        <v>-7.6957955583393982</v>
      </c>
      <c r="F984" s="1">
        <f t="shared" si="164"/>
        <v>-10.031505272869129</v>
      </c>
      <c r="G984" s="1">
        <f t="shared" ref="G984:G1047" si="172">EXP(F984)</f>
        <v>4.3991889399395691E-5</v>
      </c>
      <c r="H984" s="1">
        <f t="shared" si="165"/>
        <v>4.5241657270307475E-7</v>
      </c>
      <c r="I984">
        <f t="shared" si="166"/>
        <v>10</v>
      </c>
      <c r="J984">
        <f t="shared" si="167"/>
        <v>947</v>
      </c>
      <c r="K984" s="5">
        <f t="shared" si="168"/>
        <v>0</v>
      </c>
      <c r="L984">
        <f t="shared" si="169"/>
        <v>95</v>
      </c>
      <c r="M984">
        <f t="shared" si="170"/>
        <v>1</v>
      </c>
      <c r="N984">
        <f t="shared" si="171"/>
        <v>0</v>
      </c>
    </row>
    <row r="985" spans="4:14" x14ac:dyDescent="0.2">
      <c r="D985">
        <f t="shared" ref="D985:D1048" si="173">1+D984</f>
        <v>962</v>
      </c>
      <c r="E985" s="1">
        <f t="shared" ref="E985:E1048" si="174">IF($H$11=1,IF(D985&lt;=$A$15, E984+LN($D$11)-LN(60/$E$11)-LN(MIN(D985,$F$11)), E984-LN(60/$E$11)-LN(MIN(D985,$F$11))), IF(D985&lt;=$A$15, E984+LN($D$11)-LN(60/$E$11)-LN(MIN(D985,$F$11)), E984+LN($D$11)+LN(1-$H$11)-LN(60/$E$11)-LN(MIN(D985,$F$11))))</f>
        <v>-7.7062668582066944</v>
      </c>
      <c r="F985" s="1">
        <f t="shared" ref="F985:F1048" si="175">E985-$E$21</f>
        <v>-10.041976572736424</v>
      </c>
      <c r="G985" s="1">
        <f t="shared" si="172"/>
        <v>4.353364055148536E-5</v>
      </c>
      <c r="H985" s="1">
        <f t="shared" si="165"/>
        <v>4.4770390007075153E-7</v>
      </c>
      <c r="I985">
        <f t="shared" si="166"/>
        <v>10</v>
      </c>
      <c r="J985">
        <f t="shared" si="167"/>
        <v>948</v>
      </c>
      <c r="K985" s="5">
        <f t="shared" si="168"/>
        <v>0</v>
      </c>
      <c r="L985">
        <f t="shared" si="169"/>
        <v>95</v>
      </c>
      <c r="M985">
        <f t="shared" si="170"/>
        <v>1</v>
      </c>
      <c r="N985">
        <f t="shared" si="171"/>
        <v>0</v>
      </c>
    </row>
    <row r="986" spans="4:14" x14ac:dyDescent="0.2">
      <c r="D986">
        <f t="shared" si="173"/>
        <v>963</v>
      </c>
      <c r="E986" s="1">
        <f t="shared" si="174"/>
        <v>-7.7167381580739907</v>
      </c>
      <c r="F986" s="1">
        <f t="shared" si="175"/>
        <v>-10.052447872603722</v>
      </c>
      <c r="G986" s="1">
        <f t="shared" si="172"/>
        <v>4.3080165129073942E-5</v>
      </c>
      <c r="H986" s="1">
        <f t="shared" si="165"/>
        <v>4.4304031777834669E-7</v>
      </c>
      <c r="I986">
        <f t="shared" si="166"/>
        <v>10</v>
      </c>
      <c r="J986">
        <f t="shared" si="167"/>
        <v>949</v>
      </c>
      <c r="K986" s="5">
        <f t="shared" si="168"/>
        <v>0</v>
      </c>
      <c r="L986">
        <f t="shared" si="169"/>
        <v>95</v>
      </c>
      <c r="M986">
        <f t="shared" si="170"/>
        <v>1</v>
      </c>
      <c r="N986">
        <f t="shared" si="171"/>
        <v>0</v>
      </c>
    </row>
    <row r="987" spans="4:14" x14ac:dyDescent="0.2">
      <c r="D987">
        <f t="shared" si="173"/>
        <v>964</v>
      </c>
      <c r="E987" s="1">
        <f t="shared" si="174"/>
        <v>-7.7272094579412869</v>
      </c>
      <c r="F987" s="1">
        <f t="shared" si="175"/>
        <v>-10.062919172471016</v>
      </c>
      <c r="G987" s="1">
        <f t="shared" si="172"/>
        <v>4.2631413408979466E-5</v>
      </c>
      <c r="H987" s="1">
        <f t="shared" si="165"/>
        <v>4.3842531446815605E-7</v>
      </c>
      <c r="I987">
        <f t="shared" si="166"/>
        <v>10</v>
      </c>
      <c r="J987">
        <f t="shared" si="167"/>
        <v>950</v>
      </c>
      <c r="K987" s="5">
        <f t="shared" si="168"/>
        <v>0</v>
      </c>
      <c r="L987">
        <f t="shared" si="169"/>
        <v>95</v>
      </c>
      <c r="M987">
        <f t="shared" si="170"/>
        <v>1</v>
      </c>
      <c r="N987">
        <f t="shared" si="171"/>
        <v>0</v>
      </c>
    </row>
    <row r="988" spans="4:14" x14ac:dyDescent="0.2">
      <c r="D988">
        <f t="shared" si="173"/>
        <v>965</v>
      </c>
      <c r="E988" s="1">
        <f t="shared" si="174"/>
        <v>-7.7376807578085831</v>
      </c>
      <c r="F988" s="1">
        <f t="shared" si="175"/>
        <v>-10.073390472338314</v>
      </c>
      <c r="G988" s="1">
        <f t="shared" si="172"/>
        <v>4.2187336185969153E-5</v>
      </c>
      <c r="H988" s="1">
        <f t="shared" si="165"/>
        <v>4.3385838410911162E-7</v>
      </c>
      <c r="I988">
        <f t="shared" si="166"/>
        <v>10</v>
      </c>
      <c r="J988">
        <f t="shared" si="167"/>
        <v>951</v>
      </c>
      <c r="K988" s="5">
        <f t="shared" si="168"/>
        <v>0</v>
      </c>
      <c r="L988">
        <f t="shared" si="169"/>
        <v>95</v>
      </c>
      <c r="M988">
        <f t="shared" si="170"/>
        <v>1</v>
      </c>
      <c r="N988">
        <f t="shared" si="171"/>
        <v>0</v>
      </c>
    </row>
    <row r="989" spans="4:14" x14ac:dyDescent="0.2">
      <c r="D989">
        <f t="shared" si="173"/>
        <v>966</v>
      </c>
      <c r="E989" s="1">
        <f t="shared" si="174"/>
        <v>-7.7481520576758793</v>
      </c>
      <c r="F989" s="1">
        <f t="shared" si="175"/>
        <v>-10.083861772205609</v>
      </c>
      <c r="G989" s="1">
        <f t="shared" si="172"/>
        <v>4.1747884767365348E-5</v>
      </c>
      <c r="H989" s="1">
        <f t="shared" si="165"/>
        <v>4.2933902594130879E-7</v>
      </c>
      <c r="I989">
        <f t="shared" si="166"/>
        <v>10</v>
      </c>
      <c r="J989">
        <f t="shared" si="167"/>
        <v>952</v>
      </c>
      <c r="K989" s="5">
        <f t="shared" si="168"/>
        <v>0</v>
      </c>
      <c r="L989">
        <f t="shared" si="169"/>
        <v>95</v>
      </c>
      <c r="M989">
        <f t="shared" si="170"/>
        <v>1</v>
      </c>
      <c r="N989">
        <f t="shared" si="171"/>
        <v>0</v>
      </c>
    </row>
    <row r="990" spans="4:14" x14ac:dyDescent="0.2">
      <c r="D990">
        <f t="shared" si="173"/>
        <v>967</v>
      </c>
      <c r="E990" s="1">
        <f t="shared" si="174"/>
        <v>-7.7586233575431756</v>
      </c>
      <c r="F990" s="1">
        <f t="shared" si="175"/>
        <v>-10.094333072072907</v>
      </c>
      <c r="G990" s="1">
        <f t="shared" si="172"/>
        <v>4.1313010967705187E-5</v>
      </c>
      <c r="H990" s="1">
        <f t="shared" si="165"/>
        <v>4.2486674442108571E-7</v>
      </c>
      <c r="I990">
        <f t="shared" si="166"/>
        <v>10</v>
      </c>
      <c r="J990">
        <f t="shared" si="167"/>
        <v>953</v>
      </c>
      <c r="K990" s="5">
        <f t="shared" si="168"/>
        <v>0</v>
      </c>
      <c r="L990">
        <f t="shared" si="169"/>
        <v>95</v>
      </c>
      <c r="M990">
        <f t="shared" si="170"/>
        <v>1</v>
      </c>
      <c r="N990">
        <f t="shared" si="171"/>
        <v>0</v>
      </c>
    </row>
    <row r="991" spans="4:14" x14ac:dyDescent="0.2">
      <c r="D991">
        <f t="shared" si="173"/>
        <v>968</v>
      </c>
      <c r="E991" s="1">
        <f t="shared" si="174"/>
        <v>-7.7690946574104718</v>
      </c>
      <c r="F991" s="1">
        <f t="shared" si="175"/>
        <v>-10.104804371940201</v>
      </c>
      <c r="G991" s="1">
        <f t="shared" si="172"/>
        <v>4.0882667103458295E-5</v>
      </c>
      <c r="H991" s="1">
        <f t="shared" si="165"/>
        <v>4.2044104916669981E-7</v>
      </c>
      <c r="I991">
        <f t="shared" si="166"/>
        <v>10</v>
      </c>
      <c r="J991">
        <f t="shared" si="167"/>
        <v>954</v>
      </c>
      <c r="K991" s="5">
        <f t="shared" si="168"/>
        <v>0</v>
      </c>
      <c r="L991">
        <f t="shared" si="169"/>
        <v>95</v>
      </c>
      <c r="M991">
        <f t="shared" si="170"/>
        <v>1</v>
      </c>
      <c r="N991">
        <f t="shared" si="171"/>
        <v>0</v>
      </c>
    </row>
    <row r="992" spans="4:14" x14ac:dyDescent="0.2">
      <c r="D992">
        <f t="shared" si="173"/>
        <v>969</v>
      </c>
      <c r="E992" s="1">
        <f t="shared" si="174"/>
        <v>-7.779565957277768</v>
      </c>
      <c r="F992" s="1">
        <f t="shared" si="175"/>
        <v>-10.115275671807499</v>
      </c>
      <c r="G992" s="1">
        <f t="shared" si="172"/>
        <v>4.0456805987797167E-5</v>
      </c>
      <c r="H992" s="1">
        <f t="shared" si="165"/>
        <v>4.160614549045456E-7</v>
      </c>
      <c r="I992">
        <f t="shared" si="166"/>
        <v>10</v>
      </c>
      <c r="J992">
        <f t="shared" si="167"/>
        <v>955</v>
      </c>
      <c r="K992" s="5">
        <f t="shared" si="168"/>
        <v>0</v>
      </c>
      <c r="L992">
        <f t="shared" si="169"/>
        <v>95</v>
      </c>
      <c r="M992">
        <f t="shared" si="170"/>
        <v>1</v>
      </c>
      <c r="N992">
        <f t="shared" si="171"/>
        <v>0</v>
      </c>
    </row>
    <row r="993" spans="4:14" x14ac:dyDescent="0.2">
      <c r="D993">
        <f t="shared" si="173"/>
        <v>970</v>
      </c>
      <c r="E993" s="1">
        <f t="shared" si="174"/>
        <v>-7.7900372571450642</v>
      </c>
      <c r="F993" s="1">
        <f t="shared" si="175"/>
        <v>-10.125746971674793</v>
      </c>
      <c r="G993" s="1">
        <f t="shared" si="172"/>
        <v>4.003538092542432E-5</v>
      </c>
      <c r="H993" s="1">
        <f t="shared" si="165"/>
        <v>4.1172748141595699E-7</v>
      </c>
      <c r="I993">
        <f t="shared" si="166"/>
        <v>10</v>
      </c>
      <c r="J993">
        <f t="shared" si="167"/>
        <v>956</v>
      </c>
      <c r="K993" s="5">
        <f t="shared" si="168"/>
        <v>0</v>
      </c>
      <c r="L993">
        <f t="shared" si="169"/>
        <v>95</v>
      </c>
      <c r="M993">
        <f t="shared" si="170"/>
        <v>1</v>
      </c>
      <c r="N993">
        <f t="shared" si="171"/>
        <v>0</v>
      </c>
    </row>
    <row r="994" spans="4:14" x14ac:dyDescent="0.2">
      <c r="D994">
        <f t="shared" si="173"/>
        <v>971</v>
      </c>
      <c r="E994" s="1">
        <f t="shared" si="174"/>
        <v>-7.8005085570123605</v>
      </c>
      <c r="F994" s="1">
        <f t="shared" si="175"/>
        <v>-10.136218271542091</v>
      </c>
      <c r="G994" s="1">
        <f t="shared" si="172"/>
        <v>3.9618345707451041E-5</v>
      </c>
      <c r="H994" s="1">
        <f t="shared" si="165"/>
        <v>4.0743865348453968E-7</v>
      </c>
      <c r="I994">
        <f t="shared" si="166"/>
        <v>10</v>
      </c>
      <c r="J994">
        <f t="shared" si="167"/>
        <v>957</v>
      </c>
      <c r="K994" s="5">
        <f t="shared" si="168"/>
        <v>0</v>
      </c>
      <c r="L994">
        <f t="shared" si="169"/>
        <v>95</v>
      </c>
      <c r="M994">
        <f t="shared" si="170"/>
        <v>1</v>
      </c>
      <c r="N994">
        <f t="shared" si="171"/>
        <v>0</v>
      </c>
    </row>
    <row r="995" spans="4:14" x14ac:dyDescent="0.2">
      <c r="D995">
        <f t="shared" si="173"/>
        <v>972</v>
      </c>
      <c r="E995" s="1">
        <f t="shared" si="174"/>
        <v>-7.8109798568796567</v>
      </c>
      <c r="F995" s="1">
        <f t="shared" si="175"/>
        <v>-10.146689571409386</v>
      </c>
      <c r="G995" s="1">
        <f t="shared" si="172"/>
        <v>3.9205654606331802E-5</v>
      </c>
      <c r="H995" s="1">
        <f t="shared" si="165"/>
        <v>4.0319450084407613E-7</v>
      </c>
      <c r="I995">
        <f t="shared" si="166"/>
        <v>10</v>
      </c>
      <c r="J995">
        <f t="shared" si="167"/>
        <v>958</v>
      </c>
      <c r="K995" s="5">
        <f t="shared" si="168"/>
        <v>0</v>
      </c>
      <c r="L995">
        <f t="shared" si="169"/>
        <v>95</v>
      </c>
      <c r="M995">
        <f t="shared" si="170"/>
        <v>1</v>
      </c>
      <c r="N995">
        <f t="shared" si="171"/>
        <v>0</v>
      </c>
    </row>
    <row r="996" spans="4:14" x14ac:dyDescent="0.2">
      <c r="D996">
        <f t="shared" si="173"/>
        <v>973</v>
      </c>
      <c r="E996" s="1">
        <f t="shared" si="174"/>
        <v>-7.8214511567469529</v>
      </c>
      <c r="F996" s="1">
        <f t="shared" si="175"/>
        <v>-10.157160871276684</v>
      </c>
      <c r="G996" s="1">
        <f t="shared" si="172"/>
        <v>3.8797262370849074E-5</v>
      </c>
      <c r="H996" s="1">
        <f t="shared" si="165"/>
        <v>3.9899455812694929E-7</v>
      </c>
      <c r="I996">
        <f t="shared" si="166"/>
        <v>10</v>
      </c>
      <c r="J996">
        <f t="shared" si="167"/>
        <v>959</v>
      </c>
      <c r="K996" s="5">
        <f t="shared" si="168"/>
        <v>0</v>
      </c>
      <c r="L996">
        <f t="shared" si="169"/>
        <v>95</v>
      </c>
      <c r="M996">
        <f t="shared" si="170"/>
        <v>1</v>
      </c>
      <c r="N996">
        <f t="shared" si="171"/>
        <v>0</v>
      </c>
    </row>
    <row r="997" spans="4:14" x14ac:dyDescent="0.2">
      <c r="D997">
        <f t="shared" si="173"/>
        <v>974</v>
      </c>
      <c r="E997" s="1">
        <f t="shared" si="174"/>
        <v>-7.8319224566142491</v>
      </c>
      <c r="F997" s="1">
        <f t="shared" si="175"/>
        <v>-10.167632171143978</v>
      </c>
      <c r="G997" s="1">
        <f t="shared" si="172"/>
        <v>3.839312422115277E-5</v>
      </c>
      <c r="H997" s="1">
        <f t="shared" si="165"/>
        <v>3.9483836481312728E-7</v>
      </c>
      <c r="I997">
        <f t="shared" si="166"/>
        <v>10</v>
      </c>
      <c r="J997">
        <f t="shared" si="167"/>
        <v>960</v>
      </c>
      <c r="K997" s="5">
        <f t="shared" si="168"/>
        <v>0</v>
      </c>
      <c r="L997">
        <f t="shared" si="169"/>
        <v>95</v>
      </c>
      <c r="M997">
        <f t="shared" si="170"/>
        <v>1</v>
      </c>
      <c r="N997">
        <f t="shared" si="171"/>
        <v>0</v>
      </c>
    </row>
    <row r="998" spans="4:14" x14ac:dyDescent="0.2">
      <c r="D998">
        <f t="shared" si="173"/>
        <v>975</v>
      </c>
      <c r="E998" s="1">
        <f t="shared" si="174"/>
        <v>-7.8423937564815454</v>
      </c>
      <c r="F998" s="1">
        <f t="shared" si="175"/>
        <v>-10.178103471011276</v>
      </c>
      <c r="G998" s="1">
        <f t="shared" si="172"/>
        <v>3.7993195843848998E-5</v>
      </c>
      <c r="H998" s="1">
        <f t="shared" si="165"/>
        <v>3.9072546517965624E-7</v>
      </c>
      <c r="I998">
        <f t="shared" si="166"/>
        <v>10</v>
      </c>
      <c r="J998">
        <f t="shared" si="167"/>
        <v>961</v>
      </c>
      <c r="K998" s="5">
        <f t="shared" si="168"/>
        <v>0</v>
      </c>
      <c r="L998">
        <f t="shared" si="169"/>
        <v>95</v>
      </c>
      <c r="M998">
        <f t="shared" si="170"/>
        <v>1</v>
      </c>
      <c r="N998">
        <f t="shared" si="171"/>
        <v>0</v>
      </c>
    </row>
    <row r="999" spans="4:14" x14ac:dyDescent="0.2">
      <c r="D999">
        <f t="shared" si="173"/>
        <v>976</v>
      </c>
      <c r="E999" s="1">
        <f t="shared" si="174"/>
        <v>-7.8528650563488416</v>
      </c>
      <c r="F999" s="1">
        <f t="shared" si="175"/>
        <v>-10.188574770878571</v>
      </c>
      <c r="G999" s="1">
        <f t="shared" si="172"/>
        <v>3.7597433387142274E-5</v>
      </c>
      <c r="H999" s="1">
        <f t="shared" si="165"/>
        <v>3.8665540825070186E-7</v>
      </c>
      <c r="I999">
        <f t="shared" si="166"/>
        <v>10</v>
      </c>
      <c r="J999">
        <f t="shared" si="167"/>
        <v>962</v>
      </c>
      <c r="K999" s="5">
        <f t="shared" si="168"/>
        <v>0</v>
      </c>
      <c r="L999">
        <f t="shared" si="169"/>
        <v>95</v>
      </c>
      <c r="M999">
        <f t="shared" si="170"/>
        <v>1</v>
      </c>
      <c r="N999">
        <f t="shared" si="171"/>
        <v>0</v>
      </c>
    </row>
    <row r="1000" spans="4:14" x14ac:dyDescent="0.2">
      <c r="D1000">
        <f t="shared" si="173"/>
        <v>977</v>
      </c>
      <c r="E1000" s="1">
        <f t="shared" si="174"/>
        <v>-7.8633363562161378</v>
      </c>
      <c r="F1000" s="1">
        <f t="shared" si="175"/>
        <v>-10.199046070745869</v>
      </c>
      <c r="G1000" s="1">
        <f t="shared" si="172"/>
        <v>3.7205793456026109E-5</v>
      </c>
      <c r="H1000" s="1">
        <f t="shared" si="165"/>
        <v>3.8262774774808935E-7</v>
      </c>
      <c r="I1000">
        <f t="shared" si="166"/>
        <v>10</v>
      </c>
      <c r="J1000">
        <f t="shared" si="167"/>
        <v>963</v>
      </c>
      <c r="K1000" s="5">
        <f t="shared" si="168"/>
        <v>0</v>
      </c>
      <c r="L1000">
        <f t="shared" si="169"/>
        <v>95</v>
      </c>
      <c r="M1000">
        <f t="shared" si="170"/>
        <v>1</v>
      </c>
      <c r="N1000">
        <f t="shared" si="171"/>
        <v>0</v>
      </c>
    </row>
    <row r="1001" spans="4:14" x14ac:dyDescent="0.2">
      <c r="D1001">
        <f t="shared" si="173"/>
        <v>978</v>
      </c>
      <c r="E1001" s="1">
        <f t="shared" si="174"/>
        <v>-7.873807656083434</v>
      </c>
      <c r="F1001" s="1">
        <f t="shared" si="175"/>
        <v>-10.209517370613163</v>
      </c>
      <c r="G1001" s="1">
        <f t="shared" si="172"/>
        <v>3.6818233107525869E-5</v>
      </c>
      <c r="H1001" s="1">
        <f t="shared" si="165"/>
        <v>3.786420420423804E-7</v>
      </c>
      <c r="I1001">
        <f t="shared" si="166"/>
        <v>10</v>
      </c>
      <c r="J1001">
        <f t="shared" si="167"/>
        <v>964</v>
      </c>
      <c r="K1001" s="5">
        <f t="shared" si="168"/>
        <v>0</v>
      </c>
      <c r="L1001">
        <f t="shared" si="169"/>
        <v>95</v>
      </c>
      <c r="M1001">
        <f t="shared" si="170"/>
        <v>1</v>
      </c>
      <c r="N1001">
        <f t="shared" si="171"/>
        <v>0</v>
      </c>
    </row>
    <row r="1002" spans="4:14" x14ac:dyDescent="0.2">
      <c r="D1002">
        <f t="shared" si="173"/>
        <v>979</v>
      </c>
      <c r="E1002" s="1">
        <f t="shared" si="174"/>
        <v>-7.8842789559507302</v>
      </c>
      <c r="F1002" s="1">
        <f t="shared" si="175"/>
        <v>-10.219988670480461</v>
      </c>
      <c r="G1002" s="1">
        <f t="shared" si="172"/>
        <v>3.6434709845989047E-5</v>
      </c>
      <c r="H1002" s="1">
        <f t="shared" si="165"/>
        <v>3.7469785410443798E-7</v>
      </c>
      <c r="I1002">
        <f t="shared" si="166"/>
        <v>10</v>
      </c>
      <c r="J1002">
        <f t="shared" si="167"/>
        <v>965</v>
      </c>
      <c r="K1002" s="5">
        <f t="shared" si="168"/>
        <v>0</v>
      </c>
      <c r="L1002">
        <f t="shared" si="169"/>
        <v>95</v>
      </c>
      <c r="M1002">
        <f t="shared" si="170"/>
        <v>1</v>
      </c>
      <c r="N1002">
        <f t="shared" si="171"/>
        <v>0</v>
      </c>
    </row>
    <row r="1003" spans="4:14" x14ac:dyDescent="0.2">
      <c r="D1003">
        <f t="shared" si="173"/>
        <v>980</v>
      </c>
      <c r="E1003" s="1">
        <f t="shared" si="174"/>
        <v>-7.8947502558180265</v>
      </c>
      <c r="F1003" s="1">
        <f t="shared" si="175"/>
        <v>-10.230459970347756</v>
      </c>
      <c r="G1003" s="1">
        <f t="shared" si="172"/>
        <v>3.6055181618426698E-5</v>
      </c>
      <c r="H1003" s="1">
        <f t="shared" si="165"/>
        <v>3.7079475145751715E-7</v>
      </c>
      <c r="I1003">
        <f t="shared" si="166"/>
        <v>10</v>
      </c>
      <c r="J1003">
        <f t="shared" si="167"/>
        <v>966</v>
      </c>
      <c r="K1003" s="5">
        <f t="shared" si="168"/>
        <v>0</v>
      </c>
      <c r="L1003">
        <f t="shared" si="169"/>
        <v>95</v>
      </c>
      <c r="M1003">
        <f t="shared" si="170"/>
        <v>1</v>
      </c>
      <c r="N1003">
        <f t="shared" si="171"/>
        <v>0</v>
      </c>
    </row>
    <row r="1004" spans="4:14" x14ac:dyDescent="0.2">
      <c r="D1004">
        <f t="shared" si="173"/>
        <v>981</v>
      </c>
      <c r="E1004" s="1">
        <f t="shared" si="174"/>
        <v>-7.9052215556853227</v>
      </c>
      <c r="F1004" s="1">
        <f t="shared" si="175"/>
        <v>-10.240931270215054</v>
      </c>
      <c r="G1004" s="1">
        <f t="shared" si="172"/>
        <v>3.5679606809901326E-5</v>
      </c>
      <c r="H1004" s="1">
        <f t="shared" si="165"/>
        <v>3.669323061298337E-7</v>
      </c>
      <c r="I1004">
        <f t="shared" si="166"/>
        <v>10</v>
      </c>
      <c r="J1004">
        <f t="shared" si="167"/>
        <v>967</v>
      </c>
      <c r="K1004" s="5">
        <f t="shared" si="168"/>
        <v>0</v>
      </c>
      <c r="L1004">
        <f t="shared" si="169"/>
        <v>95</v>
      </c>
      <c r="M1004">
        <f t="shared" si="170"/>
        <v>1</v>
      </c>
      <c r="N1004">
        <f t="shared" si="171"/>
        <v>0</v>
      </c>
    </row>
    <row r="1005" spans="4:14" x14ac:dyDescent="0.2">
      <c r="D1005">
        <f t="shared" si="173"/>
        <v>982</v>
      </c>
      <c r="E1005" s="1">
        <f t="shared" si="174"/>
        <v>-7.9156928555526189</v>
      </c>
      <c r="F1005" s="1">
        <f t="shared" si="175"/>
        <v>-10.251402570082348</v>
      </c>
      <c r="G1005" s="1">
        <f t="shared" si="172"/>
        <v>3.5307944238964889E-5</v>
      </c>
      <c r="H1005" s="1">
        <f t="shared" si="165"/>
        <v>3.631100946076483E-7</v>
      </c>
      <c r="I1005">
        <f t="shared" si="166"/>
        <v>10</v>
      </c>
      <c r="J1005">
        <f t="shared" si="167"/>
        <v>968</v>
      </c>
      <c r="K1005" s="5">
        <f t="shared" si="168"/>
        <v>0</v>
      </c>
      <c r="L1005">
        <f t="shared" si="169"/>
        <v>95</v>
      </c>
      <c r="M1005">
        <f t="shared" si="170"/>
        <v>1</v>
      </c>
      <c r="N1005">
        <f t="shared" si="171"/>
        <v>0</v>
      </c>
    </row>
    <row r="1006" spans="4:14" x14ac:dyDescent="0.2">
      <c r="D1006">
        <f t="shared" si="173"/>
        <v>983</v>
      </c>
      <c r="E1006" s="1">
        <f t="shared" si="174"/>
        <v>-7.9261641554199151</v>
      </c>
      <c r="F1006" s="1">
        <f t="shared" si="175"/>
        <v>-10.261873869949646</v>
      </c>
      <c r="G1006" s="1">
        <f t="shared" si="172"/>
        <v>3.4940153153142248E-5</v>
      </c>
      <c r="H1006" s="1">
        <f t="shared" si="165"/>
        <v>3.5932769778881768E-7</v>
      </c>
      <c r="I1006">
        <f t="shared" si="166"/>
        <v>10</v>
      </c>
      <c r="J1006">
        <f t="shared" si="167"/>
        <v>969</v>
      </c>
      <c r="K1006" s="5">
        <f t="shared" si="168"/>
        <v>0</v>
      </c>
      <c r="L1006">
        <f t="shared" si="169"/>
        <v>95</v>
      </c>
      <c r="M1006">
        <f t="shared" si="170"/>
        <v>1</v>
      </c>
      <c r="N1006">
        <f t="shared" si="171"/>
        <v>0</v>
      </c>
    </row>
    <row r="1007" spans="4:14" x14ac:dyDescent="0.2">
      <c r="D1007">
        <f t="shared" si="173"/>
        <v>984</v>
      </c>
      <c r="E1007" s="1">
        <f t="shared" si="174"/>
        <v>-7.9366354552872114</v>
      </c>
      <c r="F1007" s="1">
        <f t="shared" si="175"/>
        <v>-10.272345169816941</v>
      </c>
      <c r="G1007" s="1">
        <f t="shared" si="172"/>
        <v>3.4576193224463714E-5</v>
      </c>
      <c r="H1007" s="1">
        <f t="shared" si="165"/>
        <v>3.5558470093685117E-7</v>
      </c>
      <c r="I1007">
        <f t="shared" si="166"/>
        <v>10</v>
      </c>
      <c r="J1007">
        <f t="shared" si="167"/>
        <v>970</v>
      </c>
      <c r="K1007" s="5">
        <f t="shared" si="168"/>
        <v>0</v>
      </c>
      <c r="L1007">
        <f t="shared" si="169"/>
        <v>95</v>
      </c>
      <c r="M1007">
        <f t="shared" si="170"/>
        <v>1</v>
      </c>
      <c r="N1007">
        <f t="shared" si="171"/>
        <v>0</v>
      </c>
    </row>
    <row r="1008" spans="4:14" x14ac:dyDescent="0.2">
      <c r="D1008">
        <f t="shared" si="173"/>
        <v>985</v>
      </c>
      <c r="E1008" s="1">
        <f t="shared" si="174"/>
        <v>-7.9471067551545076</v>
      </c>
      <c r="F1008" s="1">
        <f t="shared" si="175"/>
        <v>-10.282816469684239</v>
      </c>
      <c r="G1008" s="1">
        <f t="shared" si="172"/>
        <v>3.4216024545042132E-5</v>
      </c>
      <c r="H1008" s="1">
        <f t="shared" si="165"/>
        <v>3.5188069363542477E-7</v>
      </c>
      <c r="I1008">
        <f t="shared" si="166"/>
        <v>10</v>
      </c>
      <c r="J1008">
        <f t="shared" si="167"/>
        <v>971</v>
      </c>
      <c r="K1008" s="5">
        <f t="shared" si="168"/>
        <v>0</v>
      </c>
      <c r="L1008">
        <f t="shared" si="169"/>
        <v>95</v>
      </c>
      <c r="M1008">
        <f t="shared" si="170"/>
        <v>1</v>
      </c>
      <c r="N1008">
        <f t="shared" si="171"/>
        <v>0</v>
      </c>
    </row>
    <row r="1009" spans="4:14" x14ac:dyDescent="0.2">
      <c r="D1009">
        <f t="shared" si="173"/>
        <v>986</v>
      </c>
      <c r="E1009" s="1">
        <f t="shared" si="174"/>
        <v>-7.9575780550218038</v>
      </c>
      <c r="F1009" s="1">
        <f t="shared" si="175"/>
        <v>-10.293287769551533</v>
      </c>
      <c r="G1009" s="1">
        <f t="shared" si="172"/>
        <v>3.3859607622697975E-5</v>
      </c>
      <c r="H1009" s="1">
        <f t="shared" si="165"/>
        <v>3.4821526974338938E-7</v>
      </c>
      <c r="I1009">
        <f t="shared" si="166"/>
        <v>10</v>
      </c>
      <c r="J1009">
        <f t="shared" si="167"/>
        <v>972</v>
      </c>
      <c r="K1009" s="5">
        <f t="shared" si="168"/>
        <v>0</v>
      </c>
      <c r="L1009">
        <f t="shared" si="169"/>
        <v>95</v>
      </c>
      <c r="M1009">
        <f t="shared" si="170"/>
        <v>1</v>
      </c>
      <c r="N1009">
        <f t="shared" si="171"/>
        <v>0</v>
      </c>
    </row>
    <row r="1010" spans="4:14" x14ac:dyDescent="0.2">
      <c r="D1010">
        <f t="shared" si="173"/>
        <v>987</v>
      </c>
      <c r="E1010" s="1">
        <f t="shared" si="174"/>
        <v>-7.9680493548891</v>
      </c>
      <c r="F1010" s="1">
        <f t="shared" si="175"/>
        <v>-10.303759069418831</v>
      </c>
      <c r="G1010" s="1">
        <f t="shared" si="172"/>
        <v>3.3506903376628115E-5</v>
      </c>
      <c r="H1010" s="1">
        <f t="shared" si="165"/>
        <v>3.445880273502282E-7</v>
      </c>
      <c r="I1010">
        <f t="shared" si="166"/>
        <v>10</v>
      </c>
      <c r="J1010">
        <f t="shared" si="167"/>
        <v>973</v>
      </c>
      <c r="K1010" s="5">
        <f t="shared" si="168"/>
        <v>0</v>
      </c>
      <c r="L1010">
        <f t="shared" si="169"/>
        <v>95</v>
      </c>
      <c r="M1010">
        <f t="shared" si="170"/>
        <v>1</v>
      </c>
      <c r="N1010">
        <f t="shared" si="171"/>
        <v>0</v>
      </c>
    </row>
    <row r="1011" spans="4:14" x14ac:dyDescent="0.2">
      <c r="D1011">
        <f t="shared" si="173"/>
        <v>988</v>
      </c>
      <c r="E1011" s="1">
        <f t="shared" si="174"/>
        <v>-7.9785206547563963</v>
      </c>
      <c r="F1011" s="1">
        <f t="shared" si="175"/>
        <v>-10.314230369286125</v>
      </c>
      <c r="G1011" s="1">
        <f t="shared" si="172"/>
        <v>3.3157873133121605E-5</v>
      </c>
      <c r="H1011" s="1">
        <f t="shared" si="165"/>
        <v>3.4099856873199697E-7</v>
      </c>
      <c r="I1011">
        <f t="shared" si="166"/>
        <v>10</v>
      </c>
      <c r="J1011">
        <f t="shared" si="167"/>
        <v>974</v>
      </c>
      <c r="K1011" s="5">
        <f t="shared" si="168"/>
        <v>0</v>
      </c>
      <c r="L1011">
        <f t="shared" si="169"/>
        <v>95</v>
      </c>
      <c r="M1011">
        <f t="shared" si="170"/>
        <v>1</v>
      </c>
      <c r="N1011">
        <f t="shared" si="171"/>
        <v>0</v>
      </c>
    </row>
    <row r="1012" spans="4:14" x14ac:dyDescent="0.2">
      <c r="D1012">
        <f t="shared" si="173"/>
        <v>989</v>
      </c>
      <c r="E1012" s="1">
        <f t="shared" si="174"/>
        <v>-7.9889919546236925</v>
      </c>
      <c r="F1012" s="1">
        <f t="shared" si="175"/>
        <v>-10.324701669153423</v>
      </c>
      <c r="G1012" s="1">
        <f t="shared" si="172"/>
        <v>3.2812478621318167E-5</v>
      </c>
      <c r="H1012" s="1">
        <f t="shared" si="165"/>
        <v>3.3744650030770442E-7</v>
      </c>
      <c r="I1012">
        <f t="shared" si="166"/>
        <v>10</v>
      </c>
      <c r="J1012">
        <f t="shared" si="167"/>
        <v>975</v>
      </c>
      <c r="K1012" s="5">
        <f t="shared" si="168"/>
        <v>0</v>
      </c>
      <c r="L1012">
        <f t="shared" si="169"/>
        <v>95</v>
      </c>
      <c r="M1012">
        <f t="shared" si="170"/>
        <v>1</v>
      </c>
      <c r="N1012">
        <f t="shared" si="171"/>
        <v>0</v>
      </c>
    </row>
    <row r="1013" spans="4:14" x14ac:dyDescent="0.2">
      <c r="D1013">
        <f t="shared" si="173"/>
        <v>990</v>
      </c>
      <c r="E1013" s="1">
        <f t="shared" si="174"/>
        <v>-7.9994632544909887</v>
      </c>
      <c r="F1013" s="1">
        <f t="shared" si="175"/>
        <v>-10.335172969020718</v>
      </c>
      <c r="G1013" s="1">
        <f t="shared" si="172"/>
        <v>3.2470681969012802E-5</v>
      </c>
      <c r="H1013" s="1">
        <f t="shared" si="165"/>
        <v>3.3393143259616617E-7</v>
      </c>
      <c r="I1013">
        <f t="shared" si="166"/>
        <v>10</v>
      </c>
      <c r="J1013">
        <f t="shared" si="167"/>
        <v>976</v>
      </c>
      <c r="K1013" s="5">
        <f t="shared" si="168"/>
        <v>0</v>
      </c>
      <c r="L1013">
        <f t="shared" si="169"/>
        <v>95</v>
      </c>
      <c r="M1013">
        <f t="shared" si="170"/>
        <v>1</v>
      </c>
      <c r="N1013">
        <f t="shared" si="171"/>
        <v>0</v>
      </c>
    </row>
    <row r="1014" spans="4:14" x14ac:dyDescent="0.2">
      <c r="D1014">
        <f t="shared" si="173"/>
        <v>991</v>
      </c>
      <c r="E1014" s="1">
        <f t="shared" si="174"/>
        <v>-8.0099345543582849</v>
      </c>
      <c r="F1014" s="1">
        <f t="shared" si="175"/>
        <v>-10.345644268888016</v>
      </c>
      <c r="G1014" s="1">
        <f t="shared" si="172"/>
        <v>3.213244569850217E-5</v>
      </c>
      <c r="H1014" s="1">
        <f t="shared" si="165"/>
        <v>3.304529801732886E-7</v>
      </c>
      <c r="I1014">
        <f t="shared" si="166"/>
        <v>10</v>
      </c>
      <c r="J1014">
        <f t="shared" si="167"/>
        <v>977</v>
      </c>
      <c r="K1014" s="5">
        <f t="shared" si="168"/>
        <v>0</v>
      </c>
      <c r="L1014">
        <f t="shared" si="169"/>
        <v>95</v>
      </c>
      <c r="M1014">
        <f t="shared" si="170"/>
        <v>1</v>
      </c>
      <c r="N1014">
        <f t="shared" si="171"/>
        <v>0</v>
      </c>
    </row>
    <row r="1015" spans="4:14" x14ac:dyDescent="0.2">
      <c r="D1015">
        <f t="shared" si="173"/>
        <v>992</v>
      </c>
      <c r="E1015" s="1">
        <f t="shared" si="174"/>
        <v>-8.0204058542255812</v>
      </c>
      <c r="F1015" s="1">
        <f t="shared" si="175"/>
        <v>-10.35611556875531</v>
      </c>
      <c r="G1015" s="1">
        <f t="shared" si="172"/>
        <v>3.1797732722476132E-5</v>
      </c>
      <c r="H1015" s="1">
        <f t="shared" si="165"/>
        <v>3.2701076162981714E-7</v>
      </c>
      <c r="I1015">
        <f t="shared" si="166"/>
        <v>10</v>
      </c>
      <c r="J1015">
        <f t="shared" si="167"/>
        <v>978</v>
      </c>
      <c r="K1015" s="5">
        <f t="shared" si="168"/>
        <v>0</v>
      </c>
      <c r="L1015">
        <f t="shared" si="169"/>
        <v>95</v>
      </c>
      <c r="M1015">
        <f t="shared" si="170"/>
        <v>1</v>
      </c>
      <c r="N1015">
        <f t="shared" si="171"/>
        <v>0</v>
      </c>
    </row>
    <row r="1016" spans="4:14" x14ac:dyDescent="0.2">
      <c r="D1016">
        <f t="shared" si="173"/>
        <v>993</v>
      </c>
      <c r="E1016" s="1">
        <f t="shared" si="174"/>
        <v>-8.0308771540928774</v>
      </c>
      <c r="F1016" s="1">
        <f t="shared" si="175"/>
        <v>-10.366586868622608</v>
      </c>
      <c r="G1016" s="1">
        <f t="shared" si="172"/>
        <v>3.146650633995026E-5</v>
      </c>
      <c r="H1016" s="1">
        <f t="shared" si="165"/>
        <v>3.2360439952950574E-7</v>
      </c>
      <c r="I1016">
        <f t="shared" si="166"/>
        <v>10</v>
      </c>
      <c r="J1016">
        <f t="shared" si="167"/>
        <v>979</v>
      </c>
      <c r="K1016" s="5">
        <f t="shared" si="168"/>
        <v>0</v>
      </c>
      <c r="L1016">
        <f t="shared" si="169"/>
        <v>95</v>
      </c>
      <c r="M1016">
        <f t="shared" si="170"/>
        <v>1</v>
      </c>
      <c r="N1016">
        <f t="shared" si="171"/>
        <v>0</v>
      </c>
    </row>
    <row r="1017" spans="4:14" x14ac:dyDescent="0.2">
      <c r="D1017">
        <f t="shared" si="173"/>
        <v>994</v>
      </c>
      <c r="E1017" s="1">
        <f t="shared" si="174"/>
        <v>-8.0413484539601736</v>
      </c>
      <c r="F1017" s="1">
        <f t="shared" si="175"/>
        <v>-10.377058168489903</v>
      </c>
      <c r="G1017" s="1">
        <f t="shared" si="172"/>
        <v>3.1138730232242478E-5</v>
      </c>
      <c r="H1017" s="1">
        <f t="shared" si="165"/>
        <v>3.2023352036774037E-7</v>
      </c>
      <c r="I1017">
        <f t="shared" si="166"/>
        <v>10</v>
      </c>
      <c r="J1017">
        <f t="shared" si="167"/>
        <v>980</v>
      </c>
      <c r="K1017" s="5">
        <f t="shared" si="168"/>
        <v>0</v>
      </c>
      <c r="L1017">
        <f t="shared" si="169"/>
        <v>95</v>
      </c>
      <c r="M1017">
        <f t="shared" si="170"/>
        <v>1</v>
      </c>
      <c r="N1017">
        <f t="shared" si="171"/>
        <v>0</v>
      </c>
    </row>
    <row r="1018" spans="4:14" x14ac:dyDescent="0.2">
      <c r="D1018">
        <f t="shared" si="173"/>
        <v>995</v>
      </c>
      <c r="E1018" s="1">
        <f t="shared" si="174"/>
        <v>-8.0518197538274698</v>
      </c>
      <c r="F1018" s="1">
        <f t="shared" si="175"/>
        <v>-10.387529468357201</v>
      </c>
      <c r="G1018" s="1">
        <f t="shared" si="172"/>
        <v>3.0814368458989868E-5</v>
      </c>
      <c r="H1018" s="1">
        <f t="shared" si="165"/>
        <v>3.1689775453057555E-7</v>
      </c>
      <c r="I1018">
        <f t="shared" si="166"/>
        <v>10</v>
      </c>
      <c r="J1018">
        <f t="shared" si="167"/>
        <v>981</v>
      </c>
      <c r="K1018" s="5">
        <f t="shared" si="168"/>
        <v>0</v>
      </c>
      <c r="L1018">
        <f t="shared" si="169"/>
        <v>95</v>
      </c>
      <c r="M1018">
        <f t="shared" si="170"/>
        <v>1</v>
      </c>
      <c r="N1018">
        <f t="shared" si="171"/>
        <v>0</v>
      </c>
    </row>
    <row r="1019" spans="4:14" x14ac:dyDescent="0.2">
      <c r="D1019">
        <f t="shared" si="173"/>
        <v>996</v>
      </c>
      <c r="E1019" s="1">
        <f t="shared" si="174"/>
        <v>-8.0622910536947661</v>
      </c>
      <c r="F1019" s="1">
        <f t="shared" si="175"/>
        <v>-10.398000768224495</v>
      </c>
      <c r="G1019" s="1">
        <f t="shared" si="172"/>
        <v>3.0493385454208754E-5</v>
      </c>
      <c r="H1019" s="1">
        <f t="shared" si="165"/>
        <v>3.1359673625421568E-7</v>
      </c>
      <c r="I1019">
        <f t="shared" si="166"/>
        <v>10</v>
      </c>
      <c r="J1019">
        <f t="shared" si="167"/>
        <v>982</v>
      </c>
      <c r="K1019" s="5">
        <f t="shared" si="168"/>
        <v>0</v>
      </c>
      <c r="L1019">
        <f t="shared" si="169"/>
        <v>95</v>
      </c>
      <c r="M1019">
        <f t="shared" si="170"/>
        <v>1</v>
      </c>
      <c r="N1019">
        <f t="shared" si="171"/>
        <v>0</v>
      </c>
    </row>
    <row r="1020" spans="4:14" x14ac:dyDescent="0.2">
      <c r="D1020">
        <f t="shared" si="173"/>
        <v>997</v>
      </c>
      <c r="E1020" s="1">
        <f t="shared" si="174"/>
        <v>-8.0727623535620623</v>
      </c>
      <c r="F1020" s="1">
        <f t="shared" si="175"/>
        <v>-10.408472068091793</v>
      </c>
      <c r="G1020" s="1">
        <f t="shared" si="172"/>
        <v>3.0175746022394002E-5</v>
      </c>
      <c r="H1020" s="1">
        <f t="shared" si="165"/>
        <v>3.1033010358490013E-7</v>
      </c>
      <c r="I1020">
        <f t="shared" si="166"/>
        <v>10</v>
      </c>
      <c r="J1020">
        <f t="shared" si="167"/>
        <v>983</v>
      </c>
      <c r="K1020" s="5">
        <f t="shared" si="168"/>
        <v>0</v>
      </c>
      <c r="L1020">
        <f t="shared" si="169"/>
        <v>95</v>
      </c>
      <c r="M1020">
        <f t="shared" si="170"/>
        <v>1</v>
      </c>
      <c r="N1020">
        <f t="shared" si="171"/>
        <v>0</v>
      </c>
    </row>
    <row r="1021" spans="4:14" x14ac:dyDescent="0.2">
      <c r="D1021">
        <f t="shared" si="173"/>
        <v>998</v>
      </c>
      <c r="E1021" s="1">
        <f t="shared" si="174"/>
        <v>-8.0832336534293585</v>
      </c>
      <c r="F1021" s="1">
        <f t="shared" si="175"/>
        <v>-10.418943367959088</v>
      </c>
      <c r="G1021" s="1">
        <f t="shared" si="172"/>
        <v>2.9861415334660759E-5</v>
      </c>
      <c r="H1021" s="1">
        <f t="shared" si="165"/>
        <v>3.0709749833922438E-7</v>
      </c>
      <c r="I1021">
        <f t="shared" si="166"/>
        <v>10</v>
      </c>
      <c r="J1021">
        <f t="shared" si="167"/>
        <v>984</v>
      </c>
      <c r="K1021" s="5">
        <f t="shared" si="168"/>
        <v>0</v>
      </c>
      <c r="L1021">
        <f t="shared" si="169"/>
        <v>95</v>
      </c>
      <c r="M1021">
        <f t="shared" si="170"/>
        <v>1</v>
      </c>
      <c r="N1021">
        <f t="shared" si="171"/>
        <v>0</v>
      </c>
    </row>
    <row r="1022" spans="4:14" x14ac:dyDescent="0.2">
      <c r="D1022">
        <f t="shared" si="173"/>
        <v>999</v>
      </c>
      <c r="E1022" s="1">
        <f t="shared" si="174"/>
        <v>-8.0937049532966547</v>
      </c>
      <c r="F1022" s="1">
        <f t="shared" si="175"/>
        <v>-10.429414667826386</v>
      </c>
      <c r="G1022" s="1">
        <f t="shared" si="172"/>
        <v>2.9550358924924633E-5</v>
      </c>
      <c r="H1022" s="1">
        <f t="shared" si="165"/>
        <v>3.0389856606485668E-7</v>
      </c>
      <c r="I1022">
        <f t="shared" si="166"/>
        <v>10</v>
      </c>
      <c r="J1022">
        <f t="shared" si="167"/>
        <v>985</v>
      </c>
      <c r="K1022" s="5">
        <f t="shared" si="168"/>
        <v>0</v>
      </c>
      <c r="L1022">
        <f t="shared" si="169"/>
        <v>95</v>
      </c>
      <c r="M1022">
        <f t="shared" si="170"/>
        <v>1</v>
      </c>
      <c r="N1022">
        <f t="shared" si="171"/>
        <v>0</v>
      </c>
    </row>
    <row r="1023" spans="4:14" x14ac:dyDescent="0.2">
      <c r="D1023">
        <f t="shared" si="173"/>
        <v>1000</v>
      </c>
      <c r="E1023" s="1">
        <f t="shared" si="174"/>
        <v>-8.104176253163951</v>
      </c>
      <c r="F1023" s="1">
        <f t="shared" si="175"/>
        <v>-10.43988596769368</v>
      </c>
      <c r="G1023" s="1">
        <f t="shared" si="172"/>
        <v>2.924254268612336E-5</v>
      </c>
      <c r="H1023" s="1">
        <f t="shared" si="165"/>
        <v>3.0073295600168136E-7</v>
      </c>
      <c r="I1023">
        <f t="shared" si="166"/>
        <v>10</v>
      </c>
      <c r="J1023">
        <f t="shared" si="167"/>
        <v>986</v>
      </c>
      <c r="K1023" s="5">
        <f t="shared" si="168"/>
        <v>0</v>
      </c>
      <c r="L1023">
        <f t="shared" si="169"/>
        <v>95</v>
      </c>
      <c r="M1023">
        <f t="shared" si="170"/>
        <v>1</v>
      </c>
      <c r="N1023">
        <f t="shared" si="171"/>
        <v>0</v>
      </c>
    </row>
    <row r="1024" spans="4:14" x14ac:dyDescent="0.2">
      <c r="D1024">
        <f t="shared" si="173"/>
        <v>1001</v>
      </c>
      <c r="E1024" s="1">
        <f t="shared" si="174"/>
        <v>-8.1146475530312472</v>
      </c>
      <c r="F1024" s="1">
        <f t="shared" si="175"/>
        <v>-10.450357267560978</v>
      </c>
      <c r="G1024" s="1">
        <f t="shared" si="172"/>
        <v>2.8937932866476169E-5</v>
      </c>
      <c r="H1024" s="1">
        <f t="shared" si="165"/>
        <v>2.9760032104332978E-7</v>
      </c>
      <c r="I1024">
        <f t="shared" si="166"/>
        <v>10</v>
      </c>
      <c r="J1024">
        <f t="shared" si="167"/>
        <v>987</v>
      </c>
      <c r="K1024" s="5">
        <f t="shared" si="168"/>
        <v>0</v>
      </c>
      <c r="L1024">
        <f t="shared" si="169"/>
        <v>95</v>
      </c>
      <c r="M1024">
        <f t="shared" si="170"/>
        <v>1</v>
      </c>
      <c r="N1024">
        <f t="shared" si="171"/>
        <v>0</v>
      </c>
    </row>
    <row r="1025" spans="4:14" x14ac:dyDescent="0.2">
      <c r="D1025">
        <f t="shared" si="173"/>
        <v>1002</v>
      </c>
      <c r="E1025" s="1">
        <f t="shared" si="174"/>
        <v>-8.1251188528985434</v>
      </c>
      <c r="F1025" s="1">
        <f t="shared" si="175"/>
        <v>-10.460828567428273</v>
      </c>
      <c r="G1025" s="1">
        <f t="shared" si="172"/>
        <v>2.8636496065783735E-5</v>
      </c>
      <c r="H1025" s="1">
        <f t="shared" si="165"/>
        <v>2.9450031769912869E-7</v>
      </c>
      <c r="I1025">
        <f t="shared" si="166"/>
        <v>10</v>
      </c>
      <c r="J1025">
        <f t="shared" si="167"/>
        <v>988</v>
      </c>
      <c r="K1025" s="5">
        <f t="shared" si="168"/>
        <v>0</v>
      </c>
      <c r="L1025">
        <f t="shared" si="169"/>
        <v>95</v>
      </c>
      <c r="M1025">
        <f t="shared" si="170"/>
        <v>1</v>
      </c>
      <c r="N1025">
        <f t="shared" si="171"/>
        <v>0</v>
      </c>
    </row>
    <row r="1026" spans="4:14" x14ac:dyDescent="0.2">
      <c r="D1026">
        <f t="shared" si="173"/>
        <v>1003</v>
      </c>
      <c r="E1026" s="1">
        <f t="shared" si="174"/>
        <v>-8.1355901527658396</v>
      </c>
      <c r="F1026" s="1">
        <f t="shared" si="175"/>
        <v>-10.471299867295571</v>
      </c>
      <c r="G1026" s="1">
        <f t="shared" si="172"/>
        <v>2.833819923176508E-5</v>
      </c>
      <c r="H1026" s="1">
        <f t="shared" si="165"/>
        <v>2.9143260605642863E-7</v>
      </c>
      <c r="I1026">
        <f t="shared" si="166"/>
        <v>10</v>
      </c>
      <c r="J1026">
        <f t="shared" si="167"/>
        <v>989</v>
      </c>
      <c r="K1026" s="5">
        <f t="shared" si="168"/>
        <v>0</v>
      </c>
      <c r="L1026">
        <f t="shared" si="169"/>
        <v>95</v>
      </c>
      <c r="M1026">
        <f t="shared" si="170"/>
        <v>1</v>
      </c>
      <c r="N1026">
        <f t="shared" si="171"/>
        <v>0</v>
      </c>
    </row>
    <row r="1027" spans="4:14" x14ac:dyDescent="0.2">
      <c r="D1027">
        <f t="shared" si="173"/>
        <v>1004</v>
      </c>
      <c r="E1027" s="1">
        <f t="shared" si="174"/>
        <v>-8.1460614526331359</v>
      </c>
      <c r="F1027" s="1">
        <f t="shared" si="175"/>
        <v>-10.481771167162865</v>
      </c>
      <c r="G1027" s="1">
        <f t="shared" si="172"/>
        <v>2.8043009656434221E-5</v>
      </c>
      <c r="H1027" s="1">
        <f t="shared" si="165"/>
        <v>2.8839684974334115E-7</v>
      </c>
      <c r="I1027">
        <f t="shared" si="166"/>
        <v>10</v>
      </c>
      <c r="J1027">
        <f t="shared" si="167"/>
        <v>990</v>
      </c>
      <c r="K1027" s="5">
        <f t="shared" si="168"/>
        <v>0</v>
      </c>
      <c r="L1027">
        <f t="shared" si="169"/>
        <v>95</v>
      </c>
      <c r="M1027">
        <f t="shared" si="170"/>
        <v>1</v>
      </c>
      <c r="N1027">
        <f t="shared" si="171"/>
        <v>0</v>
      </c>
    </row>
    <row r="1028" spans="4:14" x14ac:dyDescent="0.2">
      <c r="D1028">
        <f t="shared" si="173"/>
        <v>1005</v>
      </c>
      <c r="E1028" s="1">
        <f t="shared" si="174"/>
        <v>-8.1565327525004321</v>
      </c>
      <c r="F1028" s="1">
        <f t="shared" si="175"/>
        <v>-10.492242467030163</v>
      </c>
      <c r="G1028" s="1">
        <f t="shared" si="172"/>
        <v>2.7750894972512959E-5</v>
      </c>
      <c r="H1028" s="1">
        <f t="shared" si="165"/>
        <v>2.8539271589184728E-7</v>
      </c>
      <c r="I1028">
        <f t="shared" si="166"/>
        <v>10</v>
      </c>
      <c r="J1028">
        <f t="shared" si="167"/>
        <v>991</v>
      </c>
      <c r="K1028" s="5">
        <f t="shared" si="168"/>
        <v>0</v>
      </c>
      <c r="L1028">
        <f t="shared" si="169"/>
        <v>95</v>
      </c>
      <c r="M1028">
        <f t="shared" si="170"/>
        <v>1</v>
      </c>
      <c r="N1028">
        <f t="shared" si="171"/>
        <v>0</v>
      </c>
    </row>
    <row r="1029" spans="4:14" x14ac:dyDescent="0.2">
      <c r="D1029">
        <f t="shared" si="173"/>
        <v>1006</v>
      </c>
      <c r="E1029" s="1">
        <f t="shared" si="174"/>
        <v>-8.1670040523677283</v>
      </c>
      <c r="F1029" s="1">
        <f t="shared" si="175"/>
        <v>-10.502713766897458</v>
      </c>
      <c r="G1029" s="1">
        <f t="shared" si="172"/>
        <v>2.7461823149882644E-5</v>
      </c>
      <c r="H1029" s="1">
        <f t="shared" si="165"/>
        <v>2.8241987510130745E-7</v>
      </c>
      <c r="I1029">
        <f t="shared" si="166"/>
        <v>10</v>
      </c>
      <c r="J1029">
        <f t="shared" si="167"/>
        <v>992</v>
      </c>
      <c r="K1029" s="5">
        <f t="shared" si="168"/>
        <v>0</v>
      </c>
      <c r="L1029">
        <f t="shared" si="169"/>
        <v>95</v>
      </c>
      <c r="M1029">
        <f t="shared" si="170"/>
        <v>1</v>
      </c>
      <c r="N1029">
        <f t="shared" si="171"/>
        <v>0</v>
      </c>
    </row>
    <row r="1030" spans="4:14" x14ac:dyDescent="0.2">
      <c r="D1030">
        <f t="shared" si="173"/>
        <v>1007</v>
      </c>
      <c r="E1030" s="1">
        <f t="shared" si="174"/>
        <v>-8.1774753522350245</v>
      </c>
      <c r="F1030" s="1">
        <f t="shared" si="175"/>
        <v>-10.513185066764756</v>
      </c>
      <c r="G1030" s="1">
        <f t="shared" si="172"/>
        <v>2.7175762492071296E-5</v>
      </c>
      <c r="H1030" s="1">
        <f t="shared" si="165"/>
        <v>2.7947800140233479E-7</v>
      </c>
      <c r="I1030">
        <f t="shared" si="166"/>
        <v>10</v>
      </c>
      <c r="J1030">
        <f t="shared" si="167"/>
        <v>993</v>
      </c>
      <c r="K1030" s="5">
        <f t="shared" si="168"/>
        <v>0</v>
      </c>
      <c r="L1030">
        <f t="shared" si="169"/>
        <v>95</v>
      </c>
      <c r="M1030">
        <f t="shared" si="170"/>
        <v>1</v>
      </c>
      <c r="N1030">
        <f t="shared" si="171"/>
        <v>0</v>
      </c>
    </row>
    <row r="1031" spans="4:14" x14ac:dyDescent="0.2">
      <c r="D1031">
        <f t="shared" si="173"/>
        <v>1008</v>
      </c>
      <c r="E1031" s="1">
        <f t="shared" si="174"/>
        <v>-8.1879466521023208</v>
      </c>
      <c r="F1031" s="1">
        <f t="shared" si="175"/>
        <v>-10.52365636663205</v>
      </c>
      <c r="G1031" s="1">
        <f t="shared" si="172"/>
        <v>2.689268163277891E-5</v>
      </c>
      <c r="H1031" s="1">
        <f t="shared" si="165"/>
        <v>2.7656677222106071E-7</v>
      </c>
      <c r="I1031">
        <f t="shared" si="166"/>
        <v>10</v>
      </c>
      <c r="J1031">
        <f t="shared" si="167"/>
        <v>994</v>
      </c>
      <c r="K1031" s="5">
        <f t="shared" si="168"/>
        <v>0</v>
      </c>
      <c r="L1031">
        <f t="shared" si="169"/>
        <v>95</v>
      </c>
      <c r="M1031">
        <f t="shared" si="170"/>
        <v>1</v>
      </c>
      <c r="N1031">
        <f t="shared" si="171"/>
        <v>0</v>
      </c>
    </row>
    <row r="1032" spans="4:14" x14ac:dyDescent="0.2">
      <c r="D1032">
        <f t="shared" si="173"/>
        <v>1009</v>
      </c>
      <c r="E1032" s="1">
        <f t="shared" si="174"/>
        <v>-8.198417951969617</v>
      </c>
      <c r="F1032" s="1">
        <f t="shared" si="175"/>
        <v>-10.534127666499348</v>
      </c>
      <c r="G1032" s="1">
        <f t="shared" si="172"/>
        <v>2.6612549532437396E-5</v>
      </c>
      <c r="H1032" s="1">
        <f t="shared" si="165"/>
        <v>2.7368586834375731E-7</v>
      </c>
      <c r="I1032">
        <f t="shared" si="166"/>
        <v>10</v>
      </c>
      <c r="J1032">
        <f t="shared" si="167"/>
        <v>995</v>
      </c>
      <c r="K1032" s="5">
        <f t="shared" si="168"/>
        <v>0</v>
      </c>
      <c r="L1032">
        <f t="shared" si="169"/>
        <v>95</v>
      </c>
      <c r="M1032">
        <f t="shared" si="170"/>
        <v>1</v>
      </c>
      <c r="N1032">
        <f t="shared" si="171"/>
        <v>0</v>
      </c>
    </row>
    <row r="1033" spans="4:14" x14ac:dyDescent="0.2">
      <c r="D1033">
        <f t="shared" si="173"/>
        <v>1010</v>
      </c>
      <c r="E1033" s="1">
        <f t="shared" si="174"/>
        <v>-8.2088892518369132</v>
      </c>
      <c r="F1033" s="1">
        <f t="shared" si="175"/>
        <v>-10.544598966366642</v>
      </c>
      <c r="G1033" s="1">
        <f t="shared" si="172"/>
        <v>2.6335335474807863E-5</v>
      </c>
      <c r="H1033" s="1">
        <f t="shared" si="165"/>
        <v>2.7083497388184339E-7</v>
      </c>
      <c r="I1033">
        <f t="shared" si="166"/>
        <v>10</v>
      </c>
      <c r="J1033">
        <f t="shared" si="167"/>
        <v>996</v>
      </c>
      <c r="K1033" s="5">
        <f t="shared" si="168"/>
        <v>0</v>
      </c>
      <c r="L1033">
        <f t="shared" si="169"/>
        <v>95</v>
      </c>
      <c r="M1033">
        <f t="shared" si="170"/>
        <v>1</v>
      </c>
      <c r="N1033">
        <f t="shared" si="171"/>
        <v>0</v>
      </c>
    </row>
    <row r="1034" spans="4:14" x14ac:dyDescent="0.2">
      <c r="D1034">
        <f t="shared" si="173"/>
        <v>1011</v>
      </c>
      <c r="E1034" s="1">
        <f t="shared" si="174"/>
        <v>-8.2193605517042094</v>
      </c>
      <c r="F1034" s="1">
        <f t="shared" si="175"/>
        <v>-10.55507026623394</v>
      </c>
      <c r="G1034" s="1">
        <f t="shared" si="172"/>
        <v>2.6061009063611881E-5</v>
      </c>
      <c r="H1034" s="1">
        <f t="shared" si="165"/>
        <v>2.6801377623724018E-7</v>
      </c>
      <c r="I1034">
        <f t="shared" si="166"/>
        <v>10</v>
      </c>
      <c r="J1034">
        <f t="shared" si="167"/>
        <v>997</v>
      </c>
      <c r="K1034" s="5">
        <f t="shared" si="168"/>
        <v>0</v>
      </c>
      <c r="L1034">
        <f t="shared" si="169"/>
        <v>95</v>
      </c>
      <c r="M1034">
        <f t="shared" si="170"/>
        <v>1</v>
      </c>
      <c r="N1034">
        <f t="shared" si="171"/>
        <v>0</v>
      </c>
    </row>
    <row r="1035" spans="4:14" x14ac:dyDescent="0.2">
      <c r="D1035">
        <f t="shared" si="173"/>
        <v>1012</v>
      </c>
      <c r="E1035" s="1">
        <f t="shared" si="174"/>
        <v>-8.2298318515715057</v>
      </c>
      <c r="F1035" s="1">
        <f t="shared" si="175"/>
        <v>-10.565541566101235</v>
      </c>
      <c r="G1035" s="1">
        <f t="shared" si="172"/>
        <v>2.5789540219199283E-5</v>
      </c>
      <c r="H1035" s="1">
        <f t="shared" si="165"/>
        <v>2.6522196606810253E-7</v>
      </c>
      <c r="I1035">
        <f t="shared" si="166"/>
        <v>10</v>
      </c>
      <c r="J1035">
        <f t="shared" si="167"/>
        <v>998</v>
      </c>
      <c r="K1035" s="5">
        <f t="shared" si="168"/>
        <v>0</v>
      </c>
      <c r="L1035">
        <f t="shared" si="169"/>
        <v>95</v>
      </c>
      <c r="M1035">
        <f t="shared" si="170"/>
        <v>1</v>
      </c>
      <c r="N1035">
        <f t="shared" si="171"/>
        <v>0</v>
      </c>
    </row>
    <row r="1036" spans="4:14" x14ac:dyDescent="0.2">
      <c r="D1036">
        <f t="shared" si="173"/>
        <v>1013</v>
      </c>
      <c r="E1036" s="1">
        <f t="shared" si="174"/>
        <v>-8.2403031514388019</v>
      </c>
      <c r="F1036" s="1">
        <f t="shared" si="175"/>
        <v>-10.576012865968533</v>
      </c>
      <c r="G1036" s="1">
        <f t="shared" si="172"/>
        <v>2.5520899175249225E-5</v>
      </c>
      <c r="H1036" s="1">
        <f t="shared" si="165"/>
        <v>2.6245923725489246E-7</v>
      </c>
      <c r="I1036">
        <f t="shared" si="166"/>
        <v>10</v>
      </c>
      <c r="J1036">
        <f t="shared" si="167"/>
        <v>999</v>
      </c>
      <c r="K1036" s="5">
        <f t="shared" si="168"/>
        <v>0</v>
      </c>
      <c r="L1036">
        <f t="shared" si="169"/>
        <v>95</v>
      </c>
      <c r="M1036">
        <f t="shared" si="170"/>
        <v>1</v>
      </c>
      <c r="N1036">
        <f t="shared" si="171"/>
        <v>0</v>
      </c>
    </row>
    <row r="1037" spans="4:14" x14ac:dyDescent="0.2">
      <c r="D1037">
        <f t="shared" si="173"/>
        <v>1014</v>
      </c>
      <c r="E1037" s="1">
        <f t="shared" si="174"/>
        <v>-8.2507744513060981</v>
      </c>
      <c r="F1037" s="1">
        <f t="shared" si="175"/>
        <v>-10.586484165835827</v>
      </c>
      <c r="G1037" s="1">
        <f t="shared" si="172"/>
        <v>2.5255056475507069E-5</v>
      </c>
      <c r="H1037" s="1">
        <f t="shared" si="165"/>
        <v>2.5972528686682092E-7</v>
      </c>
      <c r="I1037">
        <f t="shared" si="166"/>
        <v>10</v>
      </c>
      <c r="J1037">
        <f t="shared" si="167"/>
        <v>1000</v>
      </c>
      <c r="K1037" s="5">
        <f t="shared" si="168"/>
        <v>0</v>
      </c>
      <c r="L1037">
        <f t="shared" si="169"/>
        <v>95</v>
      </c>
      <c r="M1037">
        <f t="shared" si="170"/>
        <v>1</v>
      </c>
      <c r="N1037">
        <f t="shared" si="171"/>
        <v>0</v>
      </c>
    </row>
    <row r="1038" spans="4:14" x14ac:dyDescent="0.2">
      <c r="D1038">
        <f t="shared" si="173"/>
        <v>1015</v>
      </c>
      <c r="E1038" s="1">
        <f t="shared" si="174"/>
        <v>-8.2612457511733943</v>
      </c>
      <c r="F1038" s="1">
        <f t="shared" si="175"/>
        <v>-10.596955465703125</v>
      </c>
      <c r="G1038" s="1">
        <f t="shared" si="172"/>
        <v>2.4991982970553805E-5</v>
      </c>
      <c r="H1038" s="1">
        <f t="shared" si="165"/>
        <v>2.570198151286242E-7</v>
      </c>
      <c r="I1038">
        <f t="shared" si="166"/>
        <v>10</v>
      </c>
      <c r="J1038">
        <f t="shared" si="167"/>
        <v>1001</v>
      </c>
      <c r="K1038" s="5">
        <f t="shared" si="168"/>
        <v>0</v>
      </c>
      <c r="L1038">
        <f t="shared" si="169"/>
        <v>95</v>
      </c>
      <c r="M1038">
        <f t="shared" si="170"/>
        <v>1</v>
      </c>
      <c r="N1038">
        <f t="shared" si="171"/>
        <v>0</v>
      </c>
    </row>
    <row r="1039" spans="4:14" x14ac:dyDescent="0.2">
      <c r="D1039">
        <f t="shared" si="173"/>
        <v>1016</v>
      </c>
      <c r="E1039" s="1">
        <f t="shared" si="174"/>
        <v>-8.2717170510406905</v>
      </c>
      <c r="F1039" s="1">
        <f t="shared" si="175"/>
        <v>-10.60742676557042</v>
      </c>
      <c r="G1039" s="1">
        <f t="shared" si="172"/>
        <v>2.4731649814610558E-5</v>
      </c>
      <c r="H1039" s="1">
        <f t="shared" si="165"/>
        <v>2.5434252538770126E-7</v>
      </c>
      <c r="I1039">
        <f t="shared" si="166"/>
        <v>10</v>
      </c>
      <c r="J1039">
        <f t="shared" si="167"/>
        <v>1002</v>
      </c>
      <c r="K1039" s="5">
        <f t="shared" si="168"/>
        <v>0</v>
      </c>
      <c r="L1039">
        <f t="shared" si="169"/>
        <v>95</v>
      </c>
      <c r="M1039">
        <f t="shared" si="170"/>
        <v>1</v>
      </c>
      <c r="N1039">
        <f t="shared" si="171"/>
        <v>0</v>
      </c>
    </row>
    <row r="1040" spans="4:14" x14ac:dyDescent="0.2">
      <c r="D1040">
        <f t="shared" si="173"/>
        <v>1017</v>
      </c>
      <c r="E1040" s="1">
        <f t="shared" si="174"/>
        <v>-8.2821883509079868</v>
      </c>
      <c r="F1040" s="1">
        <f t="shared" si="175"/>
        <v>-10.617898065437718</v>
      </c>
      <c r="G1040" s="1">
        <f t="shared" si="172"/>
        <v>2.447402846237497E-5</v>
      </c>
      <c r="H1040" s="1">
        <f t="shared" si="165"/>
        <v>2.516931240815787E-7</v>
      </c>
      <c r="I1040">
        <f t="shared" si="166"/>
        <v>10</v>
      </c>
      <c r="J1040">
        <f t="shared" si="167"/>
        <v>1003</v>
      </c>
      <c r="K1040" s="5">
        <f t="shared" si="168"/>
        <v>0</v>
      </c>
      <c r="L1040">
        <f t="shared" si="169"/>
        <v>95</v>
      </c>
      <c r="M1040">
        <f t="shared" si="170"/>
        <v>1</v>
      </c>
      <c r="N1040">
        <f t="shared" si="171"/>
        <v>0</v>
      </c>
    </row>
    <row r="1041" spans="4:14" x14ac:dyDescent="0.2">
      <c r="D1041">
        <f t="shared" si="173"/>
        <v>1018</v>
      </c>
      <c r="E1041" s="1">
        <f t="shared" si="174"/>
        <v>-8.292659650775283</v>
      </c>
      <c r="F1041" s="1">
        <f t="shared" si="175"/>
        <v>-10.628369365305012</v>
      </c>
      <c r="G1041" s="1">
        <f t="shared" si="172"/>
        <v>2.4219090665891918E-5</v>
      </c>
      <c r="H1041" s="1">
        <f t="shared" si="165"/>
        <v>2.4907132070572918E-7</v>
      </c>
      <c r="I1041">
        <f t="shared" si="166"/>
        <v>10</v>
      </c>
      <c r="J1041">
        <f t="shared" si="167"/>
        <v>1004</v>
      </c>
      <c r="K1041" s="5">
        <f t="shared" si="168"/>
        <v>0</v>
      </c>
      <c r="L1041">
        <f t="shared" si="169"/>
        <v>95</v>
      </c>
      <c r="M1041">
        <f t="shared" si="170"/>
        <v>1</v>
      </c>
      <c r="N1041">
        <f t="shared" si="171"/>
        <v>0</v>
      </c>
    </row>
    <row r="1042" spans="4:14" x14ac:dyDescent="0.2">
      <c r="D1042">
        <f t="shared" si="173"/>
        <v>1019</v>
      </c>
      <c r="E1042" s="1">
        <f t="shared" si="174"/>
        <v>-8.3031309506425792</v>
      </c>
      <c r="F1042" s="1">
        <f t="shared" si="175"/>
        <v>-10.63884066517231</v>
      </c>
      <c r="G1042" s="1">
        <f t="shared" si="172"/>
        <v>2.3966808471455483E-5</v>
      </c>
      <c r="H1042" s="1">
        <f t="shared" si="165"/>
        <v>2.4647682778171051E-7</v>
      </c>
      <c r="I1042">
        <f t="shared" si="166"/>
        <v>10</v>
      </c>
      <c r="J1042">
        <f t="shared" si="167"/>
        <v>1005</v>
      </c>
      <c r="K1042" s="5">
        <f t="shared" si="168"/>
        <v>0</v>
      </c>
      <c r="L1042">
        <f t="shared" si="169"/>
        <v>95</v>
      </c>
      <c r="M1042">
        <f t="shared" si="170"/>
        <v>1</v>
      </c>
      <c r="N1042">
        <f t="shared" si="171"/>
        <v>0</v>
      </c>
    </row>
    <row r="1043" spans="4:14" x14ac:dyDescent="0.2">
      <c r="D1043">
        <f t="shared" si="173"/>
        <v>1020</v>
      </c>
      <c r="E1043" s="1">
        <f t="shared" si="174"/>
        <v>-8.3136022505098754</v>
      </c>
      <c r="F1043" s="1">
        <f t="shared" si="175"/>
        <v>-10.649311965039605</v>
      </c>
      <c r="G1043" s="1">
        <f t="shared" si="172"/>
        <v>2.3717154216544513E-5</v>
      </c>
      <c r="H1043" s="1">
        <f t="shared" si="165"/>
        <v>2.4390936082565127E-7</v>
      </c>
      <c r="I1043">
        <f t="shared" si="166"/>
        <v>10</v>
      </c>
      <c r="J1043">
        <f t="shared" si="167"/>
        <v>1006</v>
      </c>
      <c r="K1043" s="5">
        <f t="shared" si="168"/>
        <v>0</v>
      </c>
      <c r="L1043">
        <f t="shared" si="169"/>
        <v>95</v>
      </c>
      <c r="M1043">
        <f t="shared" si="170"/>
        <v>1</v>
      </c>
      <c r="N1043">
        <f t="shared" si="171"/>
        <v>0</v>
      </c>
    </row>
    <row r="1044" spans="4:14" x14ac:dyDescent="0.2">
      <c r="D1044">
        <f t="shared" si="173"/>
        <v>1021</v>
      </c>
      <c r="E1044" s="1">
        <f t="shared" si="174"/>
        <v>-8.3240735503771717</v>
      </c>
      <c r="F1044" s="1">
        <f t="shared" si="175"/>
        <v>-10.659783264906903</v>
      </c>
      <c r="G1044" s="1">
        <f t="shared" si="172"/>
        <v>2.3470100526788778E-5</v>
      </c>
      <c r="H1044" s="1">
        <f t="shared" si="165"/>
        <v>2.4136863831705008E-7</v>
      </c>
      <c r="I1044">
        <f t="shared" si="166"/>
        <v>10</v>
      </c>
      <c r="J1044">
        <f t="shared" si="167"/>
        <v>1007</v>
      </c>
      <c r="K1044" s="5">
        <f t="shared" si="168"/>
        <v>0</v>
      </c>
      <c r="L1044">
        <f t="shared" si="169"/>
        <v>95</v>
      </c>
      <c r="M1044">
        <f t="shared" si="170"/>
        <v>1</v>
      </c>
      <c r="N1044">
        <f t="shared" si="171"/>
        <v>0</v>
      </c>
    </row>
    <row r="1045" spans="4:14" x14ac:dyDescent="0.2">
      <c r="D1045">
        <f t="shared" si="173"/>
        <v>1022</v>
      </c>
      <c r="E1045" s="1">
        <f t="shared" si="174"/>
        <v>-8.3345448502444679</v>
      </c>
      <c r="F1045" s="1">
        <f t="shared" si="175"/>
        <v>-10.670254564774197</v>
      </c>
      <c r="G1045" s="1">
        <f t="shared" si="172"/>
        <v>2.3225620312968084E-5</v>
      </c>
      <c r="H1045" s="1">
        <f t="shared" si="165"/>
        <v>2.3885438166791439E-7</v>
      </c>
      <c r="I1045">
        <f t="shared" si="166"/>
        <v>10</v>
      </c>
      <c r="J1045">
        <f t="shared" si="167"/>
        <v>1008</v>
      </c>
      <c r="K1045" s="5">
        <f t="shared" si="168"/>
        <v>0</v>
      </c>
      <c r="L1045">
        <f t="shared" si="169"/>
        <v>95</v>
      </c>
      <c r="M1045">
        <f t="shared" si="170"/>
        <v>1</v>
      </c>
      <c r="N1045">
        <f t="shared" si="171"/>
        <v>0</v>
      </c>
    </row>
    <row r="1046" spans="4:14" x14ac:dyDescent="0.2">
      <c r="D1046">
        <f t="shared" si="173"/>
        <v>1023</v>
      </c>
      <c r="E1046" s="1">
        <f t="shared" si="174"/>
        <v>-8.3450161501117641</v>
      </c>
      <c r="F1046" s="1">
        <f t="shared" si="175"/>
        <v>-10.680725864641495</v>
      </c>
      <c r="G1046" s="1">
        <f t="shared" si="172"/>
        <v>2.2983686768041274E-5</v>
      </c>
      <c r="H1046" s="1">
        <f t="shared" si="165"/>
        <v>2.3636631519220633E-7</v>
      </c>
      <c r="I1046">
        <f t="shared" si="166"/>
        <v>10</v>
      </c>
      <c r="J1046">
        <f t="shared" si="167"/>
        <v>1009</v>
      </c>
      <c r="K1046" s="5">
        <f t="shared" si="168"/>
        <v>0</v>
      </c>
      <c r="L1046">
        <f t="shared" si="169"/>
        <v>95</v>
      </c>
      <c r="M1046">
        <f t="shared" si="170"/>
        <v>1</v>
      </c>
      <c r="N1046">
        <f t="shared" si="171"/>
        <v>0</v>
      </c>
    </row>
    <row r="1047" spans="4:14" x14ac:dyDescent="0.2">
      <c r="D1047">
        <f t="shared" si="173"/>
        <v>1024</v>
      </c>
      <c r="E1047" s="1">
        <f t="shared" si="174"/>
        <v>-8.3554874499790603</v>
      </c>
      <c r="F1047" s="1">
        <f t="shared" si="175"/>
        <v>-10.69119716450879</v>
      </c>
      <c r="G1047" s="1">
        <f t="shared" si="172"/>
        <v>2.2744273364207533E-5</v>
      </c>
      <c r="H1047" s="1">
        <f t="shared" ref="H1047:H1110" si="176">G1047/$G$21</f>
        <v>2.3390416607562108E-7</v>
      </c>
      <c r="I1047">
        <f t="shared" ref="I1047:I1110" si="177">IF($F$11&lt;=D1047, IF(D1047&lt;=$A$15,D1047-$F$11,$C$11),0)</f>
        <v>10</v>
      </c>
      <c r="J1047">
        <f t="shared" ref="J1047:J1110" si="178">IF(D1047&lt;=$A$15,0,D1047-$A$15)</f>
        <v>1010</v>
      </c>
      <c r="K1047" s="5">
        <f t="shared" ref="K1047:K1110" si="179">IF(D1047&lt;$F$11,H1047,0)</f>
        <v>0</v>
      </c>
      <c r="L1047">
        <f t="shared" ref="L1047:L1110" si="180">IF(D1047&lt;$A$15,$D$11,$D$11*(1-$H$11))</f>
        <v>95</v>
      </c>
      <c r="M1047">
        <f t="shared" ref="M1047:M1110" si="181">IF(D1047&lt;$A$15,0,1)</f>
        <v>1</v>
      </c>
      <c r="N1047">
        <f t="shared" ref="N1047:N1110" si="182">IF(SUM(I1047:J1047)&lt;=($G$11/60*$F$11/($E$11/60)),1,0)</f>
        <v>0</v>
      </c>
    </row>
    <row r="1048" spans="4:14" x14ac:dyDescent="0.2">
      <c r="D1048">
        <f t="shared" si="173"/>
        <v>1025</v>
      </c>
      <c r="E1048" s="1">
        <f t="shared" si="174"/>
        <v>-8.3659587498463566</v>
      </c>
      <c r="F1048" s="1">
        <f t="shared" si="175"/>
        <v>-10.701668464376088</v>
      </c>
      <c r="G1048" s="1">
        <f t="shared" ref="G1048:G1111" si="183">EXP(F1048)</f>
        <v>2.2507353849996979E-5</v>
      </c>
      <c r="H1048" s="1">
        <f t="shared" si="176"/>
        <v>2.3146766434566609E-7</v>
      </c>
      <c r="I1048">
        <f t="shared" si="177"/>
        <v>10</v>
      </c>
      <c r="J1048">
        <f t="shared" si="178"/>
        <v>1011</v>
      </c>
      <c r="K1048" s="5">
        <f t="shared" si="179"/>
        <v>0</v>
      </c>
      <c r="L1048">
        <f t="shared" si="180"/>
        <v>95</v>
      </c>
      <c r="M1048">
        <f t="shared" si="181"/>
        <v>1</v>
      </c>
      <c r="N1048">
        <f t="shared" si="182"/>
        <v>0</v>
      </c>
    </row>
    <row r="1049" spans="4:14" x14ac:dyDescent="0.2">
      <c r="D1049">
        <f t="shared" ref="D1049:D1112" si="184">1+D1048</f>
        <v>1026</v>
      </c>
      <c r="E1049" s="1">
        <f t="shared" ref="E1049:E1112" si="185">IF($H$11=1,IF(D1049&lt;=$A$15, E1048+LN($D$11)-LN(60/$E$11)-LN(MIN(D1049,$F$11)), E1048-LN(60/$E$11)-LN(MIN(D1049,$F$11))), IF(D1049&lt;=$A$15, E1048+LN($D$11)-LN(60/$E$11)-LN(MIN(D1049,$F$11)), E1048+LN($D$11)+LN(1-$H$11)-LN(60/$E$11)-LN(MIN(D1049,$F$11))))</f>
        <v>-8.3764300497136528</v>
      </c>
      <c r="F1049" s="1">
        <f t="shared" ref="F1049:F1112" si="186">E1049-$E$21</f>
        <v>-10.712139764243382</v>
      </c>
      <c r="G1049" s="1">
        <f t="shared" si="183"/>
        <v>2.2272902247392866E-5</v>
      </c>
      <c r="H1049" s="1">
        <f t="shared" si="176"/>
        <v>2.2905654284206565E-7</v>
      </c>
      <c r="I1049">
        <f t="shared" si="177"/>
        <v>10</v>
      </c>
      <c r="J1049">
        <f t="shared" si="178"/>
        <v>1012</v>
      </c>
      <c r="K1049" s="5">
        <f t="shared" si="179"/>
        <v>0</v>
      </c>
      <c r="L1049">
        <f t="shared" si="180"/>
        <v>95</v>
      </c>
      <c r="M1049">
        <f t="shared" si="181"/>
        <v>1</v>
      </c>
      <c r="N1049">
        <f t="shared" si="182"/>
        <v>0</v>
      </c>
    </row>
    <row r="1050" spans="4:14" x14ac:dyDescent="0.2">
      <c r="D1050">
        <f t="shared" si="184"/>
        <v>1027</v>
      </c>
      <c r="E1050" s="1">
        <f t="shared" si="185"/>
        <v>-8.386901349580949</v>
      </c>
      <c r="F1050" s="1">
        <f t="shared" si="186"/>
        <v>-10.72261106411068</v>
      </c>
      <c r="G1050" s="1">
        <f t="shared" si="183"/>
        <v>2.2040892848982464E-5</v>
      </c>
      <c r="H1050" s="1">
        <f t="shared" si="176"/>
        <v>2.2667053718746016E-7</v>
      </c>
      <c r="I1050">
        <f t="shared" si="177"/>
        <v>10</v>
      </c>
      <c r="J1050">
        <f t="shared" si="178"/>
        <v>1013</v>
      </c>
      <c r="K1050" s="5">
        <f t="shared" si="179"/>
        <v>0</v>
      </c>
      <c r="L1050">
        <f t="shared" si="180"/>
        <v>95</v>
      </c>
      <c r="M1050">
        <f t="shared" si="181"/>
        <v>1</v>
      </c>
      <c r="N1050">
        <f t="shared" si="182"/>
        <v>0</v>
      </c>
    </row>
    <row r="1051" spans="4:14" x14ac:dyDescent="0.2">
      <c r="D1051">
        <f t="shared" si="184"/>
        <v>1028</v>
      </c>
      <c r="E1051" s="1">
        <f t="shared" si="185"/>
        <v>-8.3973726494482452</v>
      </c>
      <c r="F1051" s="1">
        <f t="shared" si="186"/>
        <v>-10.733082363977974</v>
      </c>
      <c r="G1051" s="1">
        <f t="shared" si="183"/>
        <v>2.1811300215138917E-5</v>
      </c>
      <c r="H1051" s="1">
        <f t="shared" si="176"/>
        <v>2.2430938575842435E-7</v>
      </c>
      <c r="I1051">
        <f t="shared" si="177"/>
        <v>10</v>
      </c>
      <c r="J1051">
        <f t="shared" si="178"/>
        <v>1014</v>
      </c>
      <c r="K1051" s="5">
        <f t="shared" si="179"/>
        <v>0</v>
      </c>
      <c r="L1051">
        <f t="shared" si="180"/>
        <v>95</v>
      </c>
      <c r="M1051">
        <f t="shared" si="181"/>
        <v>1</v>
      </c>
      <c r="N1051">
        <f t="shared" si="182"/>
        <v>0</v>
      </c>
    </row>
    <row r="1052" spans="4:14" x14ac:dyDescent="0.2">
      <c r="D1052">
        <f t="shared" si="184"/>
        <v>1029</v>
      </c>
      <c r="E1052" s="1">
        <f t="shared" si="185"/>
        <v>-8.4078439493155415</v>
      </c>
      <c r="F1052" s="1">
        <f t="shared" si="186"/>
        <v>-10.743553663845272</v>
      </c>
      <c r="G1052" s="1">
        <f t="shared" si="183"/>
        <v>2.1584099171231166E-5</v>
      </c>
      <c r="H1052" s="1">
        <f t="shared" si="176"/>
        <v>2.2197282965677353E-7</v>
      </c>
      <c r="I1052">
        <f t="shared" si="177"/>
        <v>10</v>
      </c>
      <c r="J1052">
        <f t="shared" si="178"/>
        <v>1015</v>
      </c>
      <c r="K1052" s="5">
        <f t="shared" si="179"/>
        <v>0</v>
      </c>
      <c r="L1052">
        <f t="shared" si="180"/>
        <v>95</v>
      </c>
      <c r="M1052">
        <f t="shared" si="181"/>
        <v>1</v>
      </c>
      <c r="N1052">
        <f t="shared" si="182"/>
        <v>0</v>
      </c>
    </row>
    <row r="1053" spans="4:14" x14ac:dyDescent="0.2">
      <c r="D1053">
        <f t="shared" si="184"/>
        <v>1030</v>
      </c>
      <c r="E1053" s="1">
        <f t="shared" si="185"/>
        <v>-8.4183152491828377</v>
      </c>
      <c r="F1053" s="1">
        <f t="shared" si="186"/>
        <v>-10.754024963712567</v>
      </c>
      <c r="G1053" s="1">
        <f t="shared" si="183"/>
        <v>2.1359264804864193E-5</v>
      </c>
      <c r="H1053" s="1">
        <f t="shared" si="176"/>
        <v>2.1966061268118233E-7</v>
      </c>
      <c r="I1053">
        <f t="shared" si="177"/>
        <v>10</v>
      </c>
      <c r="J1053">
        <f t="shared" si="178"/>
        <v>1016</v>
      </c>
      <c r="K1053" s="5">
        <f t="shared" si="179"/>
        <v>0</v>
      </c>
      <c r="L1053">
        <f t="shared" si="180"/>
        <v>95</v>
      </c>
      <c r="M1053">
        <f t="shared" si="181"/>
        <v>1</v>
      </c>
      <c r="N1053">
        <f t="shared" si="182"/>
        <v>0</v>
      </c>
    </row>
    <row r="1054" spans="4:14" x14ac:dyDescent="0.2">
      <c r="D1054">
        <f t="shared" si="184"/>
        <v>1031</v>
      </c>
      <c r="E1054" s="1">
        <f t="shared" si="185"/>
        <v>-8.4287865490501339</v>
      </c>
      <c r="F1054" s="1">
        <f t="shared" si="186"/>
        <v>-10.764496263579865</v>
      </c>
      <c r="G1054" s="1">
        <f t="shared" si="183"/>
        <v>2.1136772463146805E-5</v>
      </c>
      <c r="H1054" s="1">
        <f t="shared" si="176"/>
        <v>2.1737248129908614E-7</v>
      </c>
      <c r="I1054">
        <f t="shared" si="177"/>
        <v>10</v>
      </c>
      <c r="J1054">
        <f t="shared" si="178"/>
        <v>1017</v>
      </c>
      <c r="K1054" s="5">
        <f t="shared" si="179"/>
        <v>0</v>
      </c>
      <c r="L1054">
        <f t="shared" si="180"/>
        <v>95</v>
      </c>
      <c r="M1054">
        <f t="shared" si="181"/>
        <v>1</v>
      </c>
      <c r="N1054">
        <f t="shared" si="182"/>
        <v>0</v>
      </c>
    </row>
    <row r="1055" spans="4:14" x14ac:dyDescent="0.2">
      <c r="D1055">
        <f t="shared" si="184"/>
        <v>1032</v>
      </c>
      <c r="E1055" s="1">
        <f t="shared" si="185"/>
        <v>-8.4392578489174301</v>
      </c>
      <c r="F1055" s="1">
        <f t="shared" si="186"/>
        <v>-10.774967563447159</v>
      </c>
      <c r="G1055" s="1">
        <f t="shared" si="183"/>
        <v>2.0916597749989044E-5</v>
      </c>
      <c r="H1055" s="1">
        <f t="shared" si="176"/>
        <v>2.1510818461888751E-7</v>
      </c>
      <c r="I1055">
        <f t="shared" si="177"/>
        <v>10</v>
      </c>
      <c r="J1055">
        <f t="shared" si="178"/>
        <v>1018</v>
      </c>
      <c r="K1055" s="5">
        <f t="shared" si="179"/>
        <v>0</v>
      </c>
      <c r="L1055">
        <f t="shared" si="180"/>
        <v>95</v>
      </c>
      <c r="M1055">
        <f t="shared" si="181"/>
        <v>1</v>
      </c>
      <c r="N1055">
        <f t="shared" si="182"/>
        <v>0</v>
      </c>
    </row>
    <row r="1056" spans="4:14" x14ac:dyDescent="0.2">
      <c r="D1056">
        <f t="shared" si="184"/>
        <v>1033</v>
      </c>
      <c r="E1056" s="1">
        <f t="shared" si="185"/>
        <v>-8.4497291487847264</v>
      </c>
      <c r="F1056" s="1">
        <f t="shared" si="186"/>
        <v>-10.785438863314457</v>
      </c>
      <c r="G1056" s="1">
        <f t="shared" si="183"/>
        <v>2.0698716523426604E-5</v>
      </c>
      <c r="H1056" s="1">
        <f t="shared" si="176"/>
        <v>2.1286747436244021E-7</v>
      </c>
      <c r="I1056">
        <f t="shared" si="177"/>
        <v>10</v>
      </c>
      <c r="J1056">
        <f t="shared" si="178"/>
        <v>1019</v>
      </c>
      <c r="K1056" s="5">
        <f t="shared" si="179"/>
        <v>0</v>
      </c>
      <c r="L1056">
        <f t="shared" si="180"/>
        <v>95</v>
      </c>
      <c r="M1056">
        <f t="shared" si="181"/>
        <v>1</v>
      </c>
      <c r="N1056">
        <f t="shared" si="182"/>
        <v>0</v>
      </c>
    </row>
    <row r="1057" spans="4:14" x14ac:dyDescent="0.2">
      <c r="D1057">
        <f t="shared" si="184"/>
        <v>1034</v>
      </c>
      <c r="E1057" s="1">
        <f t="shared" si="185"/>
        <v>-8.4602004486520226</v>
      </c>
      <c r="F1057" s="1">
        <f t="shared" si="186"/>
        <v>-10.795910163181752</v>
      </c>
      <c r="G1057" s="1">
        <f t="shared" si="183"/>
        <v>2.0483104892974264E-5</v>
      </c>
      <c r="H1057" s="1">
        <f t="shared" si="176"/>
        <v>2.1065010483783166E-7</v>
      </c>
      <c r="I1057">
        <f t="shared" si="177"/>
        <v>10</v>
      </c>
      <c r="J1057">
        <f t="shared" si="178"/>
        <v>1020</v>
      </c>
      <c r="K1057" s="5">
        <f t="shared" si="179"/>
        <v>0</v>
      </c>
      <c r="L1057">
        <f t="shared" si="180"/>
        <v>95</v>
      </c>
      <c r="M1057">
        <f t="shared" si="181"/>
        <v>1</v>
      </c>
      <c r="N1057">
        <f t="shared" si="182"/>
        <v>0</v>
      </c>
    </row>
    <row r="1058" spans="4:14" x14ac:dyDescent="0.2">
      <c r="D1058">
        <f t="shared" si="184"/>
        <v>1035</v>
      </c>
      <c r="E1058" s="1">
        <f t="shared" si="185"/>
        <v>-8.4706717485193188</v>
      </c>
      <c r="F1058" s="1">
        <f t="shared" si="186"/>
        <v>-10.80638146304905</v>
      </c>
      <c r="G1058" s="1">
        <f t="shared" si="183"/>
        <v>2.0269739217005731E-5</v>
      </c>
      <c r="H1058" s="1">
        <f t="shared" si="176"/>
        <v>2.0845583291243707E-7</v>
      </c>
      <c r="I1058">
        <f t="shared" si="177"/>
        <v>10</v>
      </c>
      <c r="J1058">
        <f t="shared" si="178"/>
        <v>1021</v>
      </c>
      <c r="K1058" s="5">
        <f t="shared" si="179"/>
        <v>0</v>
      </c>
      <c r="L1058">
        <f t="shared" si="180"/>
        <v>95</v>
      </c>
      <c r="M1058">
        <f t="shared" si="181"/>
        <v>1</v>
      </c>
      <c r="N1058">
        <f t="shared" si="182"/>
        <v>0</v>
      </c>
    </row>
    <row r="1059" spans="4:14" x14ac:dyDescent="0.2">
      <c r="D1059">
        <f t="shared" si="184"/>
        <v>1036</v>
      </c>
      <c r="E1059" s="1">
        <f t="shared" si="185"/>
        <v>-8.481143048386615</v>
      </c>
      <c r="F1059" s="1">
        <f t="shared" si="186"/>
        <v>-10.816852762916344</v>
      </c>
      <c r="G1059" s="1">
        <f t="shared" si="183"/>
        <v>2.0058596100161938E-5</v>
      </c>
      <c r="H1059" s="1">
        <f t="shared" si="176"/>
        <v>2.06284417986266E-7</v>
      </c>
      <c r="I1059">
        <f t="shared" si="177"/>
        <v>10</v>
      </c>
      <c r="J1059">
        <f t="shared" si="178"/>
        <v>1022</v>
      </c>
      <c r="K1059" s="5">
        <f t="shared" si="179"/>
        <v>0</v>
      </c>
      <c r="L1059">
        <f t="shared" si="180"/>
        <v>95</v>
      </c>
      <c r="M1059">
        <f t="shared" si="181"/>
        <v>1</v>
      </c>
      <c r="N1059">
        <f t="shared" si="182"/>
        <v>0</v>
      </c>
    </row>
    <row r="1060" spans="4:14" x14ac:dyDescent="0.2">
      <c r="D1060">
        <f t="shared" si="184"/>
        <v>1037</v>
      </c>
      <c r="E1060" s="1">
        <f t="shared" si="185"/>
        <v>-8.4916143482539113</v>
      </c>
      <c r="F1060" s="1">
        <f t="shared" si="186"/>
        <v>-10.827324062783642</v>
      </c>
      <c r="G1060" s="1">
        <f t="shared" si="183"/>
        <v>1.9849652390785202E-5</v>
      </c>
      <c r="H1060" s="1">
        <f t="shared" si="176"/>
        <v>2.0413562196557523E-7</v>
      </c>
      <c r="I1060">
        <f t="shared" si="177"/>
        <v>10</v>
      </c>
      <c r="J1060">
        <f t="shared" si="178"/>
        <v>1023</v>
      </c>
      <c r="K1060" s="5">
        <f t="shared" si="179"/>
        <v>0</v>
      </c>
      <c r="L1060">
        <f t="shared" si="180"/>
        <v>95</v>
      </c>
      <c r="M1060">
        <f t="shared" si="181"/>
        <v>1</v>
      </c>
      <c r="N1060">
        <f t="shared" si="182"/>
        <v>0</v>
      </c>
    </row>
    <row r="1061" spans="4:14" x14ac:dyDescent="0.2">
      <c r="D1061">
        <f t="shared" si="184"/>
        <v>1038</v>
      </c>
      <c r="E1061" s="1">
        <f t="shared" si="185"/>
        <v>-8.5020856481212075</v>
      </c>
      <c r="F1061" s="1">
        <f t="shared" si="186"/>
        <v>-10.837795362650937</v>
      </c>
      <c r="G1061" s="1">
        <f t="shared" si="183"/>
        <v>1.9642885178381209E-5</v>
      </c>
      <c r="H1061" s="1">
        <f t="shared" si="176"/>
        <v>2.0200920923676737E-7</v>
      </c>
      <c r="I1061">
        <f t="shared" si="177"/>
        <v>10</v>
      </c>
      <c r="J1061">
        <f t="shared" si="178"/>
        <v>1024</v>
      </c>
      <c r="K1061" s="5">
        <f t="shared" si="179"/>
        <v>0</v>
      </c>
      <c r="L1061">
        <f t="shared" si="180"/>
        <v>95</v>
      </c>
      <c r="M1061">
        <f t="shared" si="181"/>
        <v>1</v>
      </c>
      <c r="N1061">
        <f t="shared" si="182"/>
        <v>0</v>
      </c>
    </row>
    <row r="1062" spans="4:14" x14ac:dyDescent="0.2">
      <c r="D1062">
        <f t="shared" si="184"/>
        <v>1039</v>
      </c>
      <c r="E1062" s="1">
        <f t="shared" si="185"/>
        <v>-8.5125569479885037</v>
      </c>
      <c r="F1062" s="1">
        <f t="shared" si="186"/>
        <v>-10.848266662518235</v>
      </c>
      <c r="G1062" s="1">
        <f t="shared" si="183"/>
        <v>1.9438271791106354E-5</v>
      </c>
      <c r="H1062" s="1">
        <f t="shared" si="176"/>
        <v>1.9990494664055051E-7</v>
      </c>
      <c r="I1062">
        <f t="shared" si="177"/>
        <v>10</v>
      </c>
      <c r="J1062">
        <f t="shared" si="178"/>
        <v>1025</v>
      </c>
      <c r="K1062" s="5">
        <f t="shared" si="179"/>
        <v>0</v>
      </c>
      <c r="L1062">
        <f t="shared" si="180"/>
        <v>95</v>
      </c>
      <c r="M1062">
        <f t="shared" si="181"/>
        <v>1</v>
      </c>
      <c r="N1062">
        <f t="shared" si="182"/>
        <v>0</v>
      </c>
    </row>
    <row r="1063" spans="4:14" x14ac:dyDescent="0.2">
      <c r="D1063">
        <f t="shared" si="184"/>
        <v>1040</v>
      </c>
      <c r="E1063" s="1">
        <f t="shared" si="185"/>
        <v>-8.5230282478557999</v>
      </c>
      <c r="F1063" s="1">
        <f t="shared" si="186"/>
        <v>-10.858737962385529</v>
      </c>
      <c r="G1063" s="1">
        <f t="shared" si="183"/>
        <v>1.9235789793282347E-5</v>
      </c>
      <c r="H1063" s="1">
        <f t="shared" si="176"/>
        <v>1.9782260344637829E-7</v>
      </c>
      <c r="I1063">
        <f t="shared" si="177"/>
        <v>10</v>
      </c>
      <c r="J1063">
        <f t="shared" si="178"/>
        <v>1026</v>
      </c>
      <c r="K1063" s="5">
        <f t="shared" si="179"/>
        <v>0</v>
      </c>
      <c r="L1063">
        <f t="shared" si="180"/>
        <v>95</v>
      </c>
      <c r="M1063">
        <f t="shared" si="181"/>
        <v>1</v>
      </c>
      <c r="N1063">
        <f t="shared" si="182"/>
        <v>0</v>
      </c>
    </row>
    <row r="1064" spans="4:14" x14ac:dyDescent="0.2">
      <c r="D1064">
        <f t="shared" si="184"/>
        <v>1041</v>
      </c>
      <c r="E1064" s="1">
        <f t="shared" si="185"/>
        <v>-8.5334995477230962</v>
      </c>
      <c r="F1064" s="1">
        <f t="shared" si="186"/>
        <v>-10.869209262252827</v>
      </c>
      <c r="G1064" s="1">
        <f t="shared" si="183"/>
        <v>1.9035416982935607E-5</v>
      </c>
      <c r="H1064" s="1">
        <f t="shared" si="176"/>
        <v>1.9576195132714468E-7</v>
      </c>
      <c r="I1064">
        <f t="shared" si="177"/>
        <v>10</v>
      </c>
      <c r="J1064">
        <f t="shared" si="178"/>
        <v>1027</v>
      </c>
      <c r="K1064" s="5">
        <f t="shared" si="179"/>
        <v>0</v>
      </c>
      <c r="L1064">
        <f t="shared" si="180"/>
        <v>95</v>
      </c>
      <c r="M1064">
        <f t="shared" si="181"/>
        <v>1</v>
      </c>
      <c r="N1064">
        <f t="shared" si="182"/>
        <v>0</v>
      </c>
    </row>
    <row r="1065" spans="4:14" x14ac:dyDescent="0.2">
      <c r="D1065">
        <f t="shared" si="184"/>
        <v>1042</v>
      </c>
      <c r="E1065" s="1">
        <f t="shared" si="185"/>
        <v>-8.5439708475903924</v>
      </c>
      <c r="F1065" s="1">
        <f t="shared" si="186"/>
        <v>-10.879680562120122</v>
      </c>
      <c r="G1065" s="1">
        <f t="shared" si="183"/>
        <v>1.8837131389363378E-5</v>
      </c>
      <c r="H1065" s="1">
        <f t="shared" si="176"/>
        <v>1.9372276433415377E-7</v>
      </c>
      <c r="I1065">
        <f t="shared" si="177"/>
        <v>10</v>
      </c>
      <c r="J1065">
        <f t="shared" si="178"/>
        <v>1028</v>
      </c>
      <c r="K1065" s="5">
        <f t="shared" si="179"/>
        <v>0</v>
      </c>
      <c r="L1065">
        <f t="shared" si="180"/>
        <v>95</v>
      </c>
      <c r="M1065">
        <f t="shared" si="181"/>
        <v>1</v>
      </c>
      <c r="N1065">
        <f t="shared" si="182"/>
        <v>0</v>
      </c>
    </row>
    <row r="1066" spans="4:14" x14ac:dyDescent="0.2">
      <c r="D1066">
        <f t="shared" si="184"/>
        <v>1043</v>
      </c>
      <c r="E1066" s="1">
        <f t="shared" si="185"/>
        <v>-8.5544421474576886</v>
      </c>
      <c r="F1066" s="1">
        <f t="shared" si="186"/>
        <v>-10.89015186198742</v>
      </c>
      <c r="G1066" s="1">
        <f t="shared" si="183"/>
        <v>1.8640911270724127E-5</v>
      </c>
      <c r="H1066" s="1">
        <f t="shared" si="176"/>
        <v>1.9170481887233915E-7</v>
      </c>
      <c r="I1066">
        <f t="shared" si="177"/>
        <v>10</v>
      </c>
      <c r="J1066">
        <f t="shared" si="178"/>
        <v>1029</v>
      </c>
      <c r="K1066" s="5">
        <f t="shared" si="179"/>
        <v>0</v>
      </c>
      <c r="L1066">
        <f t="shared" si="180"/>
        <v>95</v>
      </c>
      <c r="M1066">
        <f t="shared" si="181"/>
        <v>1</v>
      </c>
      <c r="N1066">
        <f t="shared" si="182"/>
        <v>0</v>
      </c>
    </row>
    <row r="1067" spans="4:14" x14ac:dyDescent="0.2">
      <c r="D1067">
        <f t="shared" si="184"/>
        <v>1044</v>
      </c>
      <c r="E1067" s="1">
        <f t="shared" si="185"/>
        <v>-8.5649134473249848</v>
      </c>
      <c r="F1067" s="1">
        <f t="shared" si="186"/>
        <v>-10.900623161854714</v>
      </c>
      <c r="G1067" s="1">
        <f t="shared" si="183"/>
        <v>1.8446735111654101E-5</v>
      </c>
      <c r="H1067" s="1">
        <f t="shared" si="176"/>
        <v>1.8970789367575246E-7</v>
      </c>
      <c r="I1067">
        <f t="shared" si="177"/>
        <v>10</v>
      </c>
      <c r="J1067">
        <f t="shared" si="178"/>
        <v>1030</v>
      </c>
      <c r="K1067" s="5">
        <f t="shared" si="179"/>
        <v>0</v>
      </c>
      <c r="L1067">
        <f t="shared" si="180"/>
        <v>95</v>
      </c>
      <c r="M1067">
        <f t="shared" si="181"/>
        <v>1</v>
      </c>
      <c r="N1067">
        <f t="shared" si="182"/>
        <v>0</v>
      </c>
    </row>
    <row r="1068" spans="4:14" x14ac:dyDescent="0.2">
      <c r="D1068">
        <f t="shared" si="184"/>
        <v>1045</v>
      </c>
      <c r="E1068" s="1">
        <f t="shared" si="185"/>
        <v>-8.5753847471922811</v>
      </c>
      <c r="F1068" s="1">
        <f t="shared" si="186"/>
        <v>-10.911094461722012</v>
      </c>
      <c r="G1068" s="1">
        <f t="shared" si="183"/>
        <v>1.8254581620907657E-5</v>
      </c>
      <c r="H1068" s="1">
        <f t="shared" si="176"/>
        <v>1.8773176978329622E-7</v>
      </c>
      <c r="I1068">
        <f t="shared" si="177"/>
        <v>10</v>
      </c>
      <c r="J1068">
        <f t="shared" si="178"/>
        <v>1031</v>
      </c>
      <c r="K1068" s="5">
        <f t="shared" si="179"/>
        <v>0</v>
      </c>
      <c r="L1068">
        <f t="shared" si="180"/>
        <v>95</v>
      </c>
      <c r="M1068">
        <f t="shared" si="181"/>
        <v>1</v>
      </c>
      <c r="N1068">
        <f t="shared" si="182"/>
        <v>0</v>
      </c>
    </row>
    <row r="1069" spans="4:14" x14ac:dyDescent="0.2">
      <c r="D1069">
        <f t="shared" si="184"/>
        <v>1046</v>
      </c>
      <c r="E1069" s="1">
        <f t="shared" si="185"/>
        <v>-8.5858560470595773</v>
      </c>
      <c r="F1069" s="1">
        <f t="shared" si="186"/>
        <v>-10.921565761589306</v>
      </c>
      <c r="G1069" s="1">
        <f t="shared" si="183"/>
        <v>1.8064429729023221E-5</v>
      </c>
      <c r="H1069" s="1">
        <f t="shared" si="176"/>
        <v>1.8577623051472042E-7</v>
      </c>
      <c r="I1069">
        <f t="shared" si="177"/>
        <v>10</v>
      </c>
      <c r="J1069">
        <f t="shared" si="178"/>
        <v>1032</v>
      </c>
      <c r="K1069" s="5">
        <f t="shared" si="179"/>
        <v>0</v>
      </c>
      <c r="L1069">
        <f t="shared" si="180"/>
        <v>95</v>
      </c>
      <c r="M1069">
        <f t="shared" si="181"/>
        <v>1</v>
      </c>
      <c r="N1069">
        <f t="shared" si="182"/>
        <v>0</v>
      </c>
    </row>
    <row r="1070" spans="4:14" x14ac:dyDescent="0.2">
      <c r="D1070">
        <f t="shared" si="184"/>
        <v>1047</v>
      </c>
      <c r="E1070" s="1">
        <f t="shared" si="185"/>
        <v>-8.5963273469268735</v>
      </c>
      <c r="F1070" s="1">
        <f t="shared" si="186"/>
        <v>-10.932037061456604</v>
      </c>
      <c r="G1070" s="1">
        <f t="shared" si="183"/>
        <v>1.7876258586012516E-5</v>
      </c>
      <c r="H1070" s="1">
        <f t="shared" si="176"/>
        <v>1.8384106144685829E-7</v>
      </c>
      <c r="I1070">
        <f t="shared" si="177"/>
        <v>10</v>
      </c>
      <c r="J1070">
        <f t="shared" si="178"/>
        <v>1033</v>
      </c>
      <c r="K1070" s="5">
        <f t="shared" si="179"/>
        <v>0</v>
      </c>
      <c r="L1070">
        <f t="shared" si="180"/>
        <v>95</v>
      </c>
      <c r="M1070">
        <f t="shared" si="181"/>
        <v>1</v>
      </c>
      <c r="N1070">
        <f t="shared" si="182"/>
        <v>0</v>
      </c>
    </row>
    <row r="1071" spans="4:14" x14ac:dyDescent="0.2">
      <c r="D1071">
        <f t="shared" si="184"/>
        <v>1048</v>
      </c>
      <c r="E1071" s="1">
        <f t="shared" si="185"/>
        <v>-8.6067986467941697</v>
      </c>
      <c r="F1071" s="1">
        <f t="shared" si="186"/>
        <v>-10.942508361323899</v>
      </c>
      <c r="G1071" s="1">
        <f t="shared" si="183"/>
        <v>1.7690047559074902E-5</v>
      </c>
      <c r="H1071" s="1">
        <f t="shared" si="176"/>
        <v>1.8192605039012033E-7</v>
      </c>
      <c r="I1071">
        <f t="shared" si="177"/>
        <v>10</v>
      </c>
      <c r="J1071">
        <f t="shared" si="178"/>
        <v>1034</v>
      </c>
      <c r="K1071" s="5">
        <f t="shared" si="179"/>
        <v>0</v>
      </c>
      <c r="L1071">
        <f t="shared" si="180"/>
        <v>95</v>
      </c>
      <c r="M1071">
        <f t="shared" si="181"/>
        <v>1</v>
      </c>
      <c r="N1071">
        <f t="shared" si="182"/>
        <v>0</v>
      </c>
    </row>
    <row r="1072" spans="4:14" x14ac:dyDescent="0.2">
      <c r="D1072">
        <f t="shared" si="184"/>
        <v>1049</v>
      </c>
      <c r="E1072" s="1">
        <f t="shared" si="185"/>
        <v>-8.617269946661466</v>
      </c>
      <c r="F1072" s="1">
        <f t="shared" si="186"/>
        <v>-10.952979661191197</v>
      </c>
      <c r="G1072" s="1">
        <f t="shared" si="183"/>
        <v>1.7505776230334495E-5</v>
      </c>
      <c r="H1072" s="1">
        <f t="shared" si="176"/>
        <v>1.800309873652228E-7</v>
      </c>
      <c r="I1072">
        <f t="shared" si="177"/>
        <v>10</v>
      </c>
      <c r="J1072">
        <f t="shared" si="178"/>
        <v>1035</v>
      </c>
      <c r="K1072" s="5">
        <f t="shared" si="179"/>
        <v>0</v>
      </c>
      <c r="L1072">
        <f t="shared" si="180"/>
        <v>95</v>
      </c>
      <c r="M1072">
        <f t="shared" si="181"/>
        <v>1</v>
      </c>
      <c r="N1072">
        <f t="shared" si="182"/>
        <v>0</v>
      </c>
    </row>
    <row r="1073" spans="4:14" x14ac:dyDescent="0.2">
      <c r="D1073">
        <f t="shared" si="184"/>
        <v>1050</v>
      </c>
      <c r="E1073" s="1">
        <f t="shared" si="185"/>
        <v>-8.6277412465287622</v>
      </c>
      <c r="F1073" s="1">
        <f t="shared" si="186"/>
        <v>-10.963450961058491</v>
      </c>
      <c r="G1073" s="1">
        <f t="shared" si="183"/>
        <v>1.7323424394601859E-5</v>
      </c>
      <c r="H1073" s="1">
        <f t="shared" si="176"/>
        <v>1.7815566458016854E-7</v>
      </c>
      <c r="I1073">
        <f t="shared" si="177"/>
        <v>10</v>
      </c>
      <c r="J1073">
        <f t="shared" si="178"/>
        <v>1036</v>
      </c>
      <c r="K1073" s="5">
        <f t="shared" si="179"/>
        <v>0</v>
      </c>
      <c r="L1073">
        <f t="shared" si="180"/>
        <v>95</v>
      </c>
      <c r="M1073">
        <f t="shared" si="181"/>
        <v>1</v>
      </c>
      <c r="N1073">
        <f t="shared" si="182"/>
        <v>0</v>
      </c>
    </row>
    <row r="1074" spans="4:14" x14ac:dyDescent="0.2">
      <c r="D1074">
        <f t="shared" si="184"/>
        <v>1051</v>
      </c>
      <c r="E1074" s="1">
        <f t="shared" si="185"/>
        <v>-8.6382125463960584</v>
      </c>
      <c r="F1074" s="1">
        <f t="shared" si="186"/>
        <v>-10.973922260925789</v>
      </c>
      <c r="G1074" s="1">
        <f t="shared" si="183"/>
        <v>1.7142972057158046E-5</v>
      </c>
      <c r="H1074" s="1">
        <f t="shared" si="176"/>
        <v>1.7629987640745801E-7</v>
      </c>
      <c r="I1074">
        <f t="shared" si="177"/>
        <v>10</v>
      </c>
      <c r="J1074">
        <f t="shared" si="178"/>
        <v>1037</v>
      </c>
      <c r="K1074" s="5">
        <f t="shared" si="179"/>
        <v>0</v>
      </c>
      <c r="L1074">
        <f t="shared" si="180"/>
        <v>95</v>
      </c>
      <c r="M1074">
        <f t="shared" si="181"/>
        <v>1</v>
      </c>
      <c r="N1074">
        <f t="shared" si="182"/>
        <v>0</v>
      </c>
    </row>
    <row r="1075" spans="4:14" x14ac:dyDescent="0.2">
      <c r="D1075">
        <f t="shared" si="184"/>
        <v>1052</v>
      </c>
      <c r="E1075" s="1">
        <f t="shared" si="185"/>
        <v>-8.6486838462633546</v>
      </c>
      <c r="F1075" s="1">
        <f t="shared" si="186"/>
        <v>-10.984393560793084</v>
      </c>
      <c r="G1075" s="1">
        <f t="shared" si="183"/>
        <v>1.6964399431562664E-5</v>
      </c>
      <c r="H1075" s="1">
        <f t="shared" si="176"/>
        <v>1.7446341936154712E-7</v>
      </c>
      <c r="I1075">
        <f t="shared" si="177"/>
        <v>10</v>
      </c>
      <c r="J1075">
        <f t="shared" si="178"/>
        <v>1038</v>
      </c>
      <c r="K1075" s="5">
        <f t="shared" si="179"/>
        <v>0</v>
      </c>
      <c r="L1075">
        <f t="shared" si="180"/>
        <v>95</v>
      </c>
      <c r="M1075">
        <f t="shared" si="181"/>
        <v>1</v>
      </c>
      <c r="N1075">
        <f t="shared" si="182"/>
        <v>0</v>
      </c>
    </row>
    <row r="1076" spans="4:14" x14ac:dyDescent="0.2">
      <c r="D1076">
        <f t="shared" si="184"/>
        <v>1053</v>
      </c>
      <c r="E1076" s="1">
        <f t="shared" si="185"/>
        <v>-8.6591551461306508</v>
      </c>
      <c r="F1076" s="1">
        <f t="shared" si="186"/>
        <v>-10.994864860660382</v>
      </c>
      <c r="G1076" s="1">
        <f t="shared" si="183"/>
        <v>1.6787686937483842E-5</v>
      </c>
      <c r="H1076" s="1">
        <f t="shared" si="176"/>
        <v>1.7264609207653058E-7</v>
      </c>
      <c r="I1076">
        <f t="shared" si="177"/>
        <v>10</v>
      </c>
      <c r="J1076">
        <f t="shared" si="178"/>
        <v>1039</v>
      </c>
      <c r="K1076" s="5">
        <f t="shared" si="179"/>
        <v>0</v>
      </c>
      <c r="L1076">
        <f t="shared" si="180"/>
        <v>95</v>
      </c>
      <c r="M1076">
        <f t="shared" si="181"/>
        <v>1</v>
      </c>
      <c r="N1076">
        <f t="shared" si="182"/>
        <v>0</v>
      </c>
    </row>
    <row r="1077" spans="4:14" x14ac:dyDescent="0.2">
      <c r="D1077">
        <f t="shared" si="184"/>
        <v>1054</v>
      </c>
      <c r="E1077" s="1">
        <f t="shared" si="185"/>
        <v>-8.6696264459979471</v>
      </c>
      <c r="F1077" s="1">
        <f t="shared" si="186"/>
        <v>-11.005336160527676</v>
      </c>
      <c r="G1077" s="1">
        <f t="shared" si="183"/>
        <v>1.6612815198551735E-5</v>
      </c>
      <c r="H1077" s="1">
        <f t="shared" si="176"/>
        <v>1.7084769528406687E-7</v>
      </c>
      <c r="I1077">
        <f t="shared" si="177"/>
        <v>10</v>
      </c>
      <c r="J1077">
        <f t="shared" si="178"/>
        <v>1040</v>
      </c>
      <c r="K1077" s="5">
        <f t="shared" si="179"/>
        <v>0</v>
      </c>
      <c r="L1077">
        <f t="shared" si="180"/>
        <v>95</v>
      </c>
      <c r="M1077">
        <f t="shared" si="181"/>
        <v>1</v>
      </c>
      <c r="N1077">
        <f t="shared" si="182"/>
        <v>0</v>
      </c>
    </row>
    <row r="1078" spans="4:14" x14ac:dyDescent="0.2">
      <c r="D1078">
        <f t="shared" si="184"/>
        <v>1055</v>
      </c>
      <c r="E1078" s="1">
        <f t="shared" si="185"/>
        <v>-8.6800977458652433</v>
      </c>
      <c r="F1078" s="1">
        <f t="shared" si="186"/>
        <v>-11.015807460394974</v>
      </c>
      <c r="G1078" s="1">
        <f t="shared" si="183"/>
        <v>1.6439765040233447E-5</v>
      </c>
      <c r="H1078" s="1">
        <f t="shared" si="176"/>
        <v>1.6906803179152409E-7</v>
      </c>
      <c r="I1078">
        <f t="shared" si="177"/>
        <v>10</v>
      </c>
      <c r="J1078">
        <f t="shared" si="178"/>
        <v>1041</v>
      </c>
      <c r="K1078" s="5">
        <f t="shared" si="179"/>
        <v>0</v>
      </c>
      <c r="L1078">
        <f t="shared" si="180"/>
        <v>95</v>
      </c>
      <c r="M1078">
        <f t="shared" si="181"/>
        <v>1</v>
      </c>
      <c r="N1078">
        <f t="shared" si="182"/>
        <v>0</v>
      </c>
    </row>
    <row r="1079" spans="4:14" x14ac:dyDescent="0.2">
      <c r="D1079">
        <f t="shared" si="184"/>
        <v>1056</v>
      </c>
      <c r="E1079" s="1">
        <f t="shared" si="185"/>
        <v>-8.6905690457325395</v>
      </c>
      <c r="F1079" s="1">
        <f t="shared" si="186"/>
        <v>-11.026278760262269</v>
      </c>
      <c r="G1079" s="1">
        <f t="shared" si="183"/>
        <v>1.6268517487731029E-5</v>
      </c>
      <c r="H1079" s="1">
        <f t="shared" si="176"/>
        <v>1.6730690646036252E-7</v>
      </c>
      <c r="I1079">
        <f t="shared" si="177"/>
        <v>10</v>
      </c>
      <c r="J1079">
        <f t="shared" si="178"/>
        <v>1042</v>
      </c>
      <c r="K1079" s="5">
        <f t="shared" si="179"/>
        <v>0</v>
      </c>
      <c r="L1079">
        <f t="shared" si="180"/>
        <v>95</v>
      </c>
      <c r="M1079">
        <f t="shared" si="181"/>
        <v>1</v>
      </c>
      <c r="N1079">
        <f t="shared" si="182"/>
        <v>0</v>
      </c>
    </row>
    <row r="1080" spans="4:14" x14ac:dyDescent="0.2">
      <c r="D1080">
        <f t="shared" si="184"/>
        <v>1057</v>
      </c>
      <c r="E1080" s="1">
        <f t="shared" si="185"/>
        <v>-8.7010403455998357</v>
      </c>
      <c r="F1080" s="1">
        <f t="shared" si="186"/>
        <v>-11.036750060129567</v>
      </c>
      <c r="G1080" s="1">
        <f t="shared" si="183"/>
        <v>1.6099053763900456E-5</v>
      </c>
      <c r="H1080" s="1">
        <f t="shared" si="176"/>
        <v>1.6556412618473333E-7</v>
      </c>
      <c r="I1080">
        <f t="shared" si="177"/>
        <v>10</v>
      </c>
      <c r="J1080">
        <f t="shared" si="178"/>
        <v>1043</v>
      </c>
      <c r="K1080" s="5">
        <f t="shared" si="179"/>
        <v>0</v>
      </c>
      <c r="L1080">
        <f t="shared" si="180"/>
        <v>95</v>
      </c>
      <c r="M1080">
        <f t="shared" si="181"/>
        <v>1</v>
      </c>
      <c r="N1080">
        <f t="shared" si="182"/>
        <v>0</v>
      </c>
    </row>
    <row r="1081" spans="4:14" x14ac:dyDescent="0.2">
      <c r="D1081">
        <f t="shared" si="184"/>
        <v>1058</v>
      </c>
      <c r="E1081" s="1">
        <f t="shared" si="185"/>
        <v>-8.711511645467132</v>
      </c>
      <c r="F1081" s="1">
        <f t="shared" si="186"/>
        <v>-11.047221359996861</v>
      </c>
      <c r="G1081" s="1">
        <f t="shared" si="183"/>
        <v>1.5931355287193177E-5</v>
      </c>
      <c r="H1081" s="1">
        <f t="shared" si="176"/>
        <v>1.638394998703092E-7</v>
      </c>
      <c r="I1081">
        <f t="shared" si="177"/>
        <v>10</v>
      </c>
      <c r="J1081">
        <f t="shared" si="178"/>
        <v>1044</v>
      </c>
      <c r="K1081" s="5">
        <f t="shared" si="179"/>
        <v>0</v>
      </c>
      <c r="L1081">
        <f t="shared" si="180"/>
        <v>95</v>
      </c>
      <c r="M1081">
        <f t="shared" si="181"/>
        <v>1</v>
      </c>
      <c r="N1081">
        <f t="shared" si="182"/>
        <v>0</v>
      </c>
    </row>
    <row r="1082" spans="4:14" x14ac:dyDescent="0.2">
      <c r="D1082">
        <f t="shared" si="184"/>
        <v>1059</v>
      </c>
      <c r="E1082" s="1">
        <f t="shared" si="185"/>
        <v>-8.7219829453344282</v>
      </c>
      <c r="F1082" s="1">
        <f t="shared" si="186"/>
        <v>-11.057692659864159</v>
      </c>
      <c r="G1082" s="1">
        <f t="shared" si="183"/>
        <v>1.5765403669618205E-5</v>
      </c>
      <c r="H1082" s="1">
        <f t="shared" si="176"/>
        <v>1.6213283841332636E-7</v>
      </c>
      <c r="I1082">
        <f t="shared" si="177"/>
        <v>10</v>
      </c>
      <c r="J1082">
        <f t="shared" si="178"/>
        <v>1045</v>
      </c>
      <c r="K1082" s="5">
        <f t="shared" si="179"/>
        <v>0</v>
      </c>
      <c r="L1082">
        <f t="shared" si="180"/>
        <v>95</v>
      </c>
      <c r="M1082">
        <f t="shared" si="181"/>
        <v>1</v>
      </c>
      <c r="N1082">
        <f t="shared" si="182"/>
        <v>0</v>
      </c>
    </row>
    <row r="1083" spans="4:14" x14ac:dyDescent="0.2">
      <c r="D1083">
        <f t="shared" si="184"/>
        <v>1060</v>
      </c>
      <c r="E1083" s="1">
        <f t="shared" si="185"/>
        <v>-8.7324542452017244</v>
      </c>
      <c r="F1083" s="1">
        <f t="shared" si="186"/>
        <v>-11.068163959731454</v>
      </c>
      <c r="G1083" s="1">
        <f t="shared" si="183"/>
        <v>1.5601180714726365E-5</v>
      </c>
      <c r="H1083" s="1">
        <f t="shared" si="176"/>
        <v>1.6044395467985437E-7</v>
      </c>
      <c r="I1083">
        <f t="shared" si="177"/>
        <v>10</v>
      </c>
      <c r="J1083">
        <f t="shared" si="178"/>
        <v>1046</v>
      </c>
      <c r="K1083" s="5">
        <f t="shared" si="179"/>
        <v>0</v>
      </c>
      <c r="L1083">
        <f t="shared" si="180"/>
        <v>95</v>
      </c>
      <c r="M1083">
        <f t="shared" si="181"/>
        <v>1</v>
      </c>
      <c r="N1083">
        <f t="shared" si="182"/>
        <v>0</v>
      </c>
    </row>
    <row r="1084" spans="4:14" x14ac:dyDescent="0.2">
      <c r="D1084">
        <f t="shared" si="184"/>
        <v>1061</v>
      </c>
      <c r="E1084" s="1">
        <f t="shared" si="185"/>
        <v>-8.7429255450690206</v>
      </c>
      <c r="F1084" s="1">
        <f t="shared" si="186"/>
        <v>-11.078635259598752</v>
      </c>
      <c r="G1084" s="1">
        <f t="shared" si="183"/>
        <v>1.5438668415614592E-5</v>
      </c>
      <c r="H1084" s="1">
        <f t="shared" si="176"/>
        <v>1.5877266348527215E-7</v>
      </c>
      <c r="I1084">
        <f t="shared" si="177"/>
        <v>10</v>
      </c>
      <c r="J1084">
        <f t="shared" si="178"/>
        <v>1047</v>
      </c>
      <c r="K1084" s="5">
        <f t="shared" si="179"/>
        <v>0</v>
      </c>
      <c r="L1084">
        <f t="shared" si="180"/>
        <v>95</v>
      </c>
      <c r="M1084">
        <f t="shared" si="181"/>
        <v>1</v>
      </c>
      <c r="N1084">
        <f t="shared" si="182"/>
        <v>0</v>
      </c>
    </row>
    <row r="1085" spans="4:14" x14ac:dyDescent="0.2">
      <c r="D1085">
        <f t="shared" si="184"/>
        <v>1062</v>
      </c>
      <c r="E1085" s="1">
        <f t="shared" si="185"/>
        <v>-8.7533968449363169</v>
      </c>
      <c r="F1085" s="1">
        <f t="shared" si="186"/>
        <v>-11.089106559466046</v>
      </c>
      <c r="G1085" s="1">
        <f t="shared" si="183"/>
        <v>1.5277848952951953E-5</v>
      </c>
      <c r="H1085" s="1">
        <f t="shared" si="176"/>
        <v>1.5711878157396738E-7</v>
      </c>
      <c r="I1085">
        <f t="shared" si="177"/>
        <v>10</v>
      </c>
      <c r="J1085">
        <f t="shared" si="178"/>
        <v>1048</v>
      </c>
      <c r="K1085" s="5">
        <f t="shared" si="179"/>
        <v>0</v>
      </c>
      <c r="L1085">
        <f t="shared" si="180"/>
        <v>95</v>
      </c>
      <c r="M1085">
        <f t="shared" si="181"/>
        <v>1</v>
      </c>
      <c r="N1085">
        <f t="shared" si="182"/>
        <v>0</v>
      </c>
    </row>
    <row r="1086" spans="4:14" x14ac:dyDescent="0.2">
      <c r="D1086">
        <f t="shared" si="184"/>
        <v>1063</v>
      </c>
      <c r="E1086" s="1">
        <f t="shared" si="185"/>
        <v>-8.7638681448036131</v>
      </c>
      <c r="F1086" s="1">
        <f t="shared" si="186"/>
        <v>-11.099577859333344</v>
      </c>
      <c r="G1086" s="1">
        <f t="shared" si="183"/>
        <v>1.5118704693025331E-5</v>
      </c>
      <c r="H1086" s="1">
        <f t="shared" si="176"/>
        <v>1.5548212759923814E-7</v>
      </c>
      <c r="I1086">
        <f t="shared" si="177"/>
        <v>10</v>
      </c>
      <c r="J1086">
        <f t="shared" si="178"/>
        <v>1049</v>
      </c>
      <c r="K1086" s="5">
        <f t="shared" si="179"/>
        <v>0</v>
      </c>
      <c r="L1086">
        <f t="shared" si="180"/>
        <v>95</v>
      </c>
      <c r="M1086">
        <f t="shared" si="181"/>
        <v>1</v>
      </c>
      <c r="N1086">
        <f t="shared" si="182"/>
        <v>0</v>
      </c>
    </row>
    <row r="1087" spans="4:14" x14ac:dyDescent="0.2">
      <c r="D1087">
        <f t="shared" si="184"/>
        <v>1064</v>
      </c>
      <c r="E1087" s="1">
        <f t="shared" si="185"/>
        <v>-8.7743394446709093</v>
      </c>
      <c r="F1087" s="1">
        <f t="shared" si="186"/>
        <v>-11.110049159200639</v>
      </c>
      <c r="G1087" s="1">
        <f t="shared" si="183"/>
        <v>1.4961218185806332E-5</v>
      </c>
      <c r="H1087" s="1">
        <f t="shared" si="176"/>
        <v>1.538625221034129E-7</v>
      </c>
      <c r="I1087">
        <f t="shared" si="177"/>
        <v>10</v>
      </c>
      <c r="J1087">
        <f t="shared" si="178"/>
        <v>1050</v>
      </c>
      <c r="K1087" s="5">
        <f t="shared" si="179"/>
        <v>0</v>
      </c>
      <c r="L1087">
        <f t="shared" si="180"/>
        <v>95</v>
      </c>
      <c r="M1087">
        <f t="shared" si="181"/>
        <v>1</v>
      </c>
      <c r="N1087">
        <f t="shared" si="182"/>
        <v>0</v>
      </c>
    </row>
    <row r="1088" spans="4:14" x14ac:dyDescent="0.2">
      <c r="D1088">
        <f t="shared" si="184"/>
        <v>1065</v>
      </c>
      <c r="E1088" s="1">
        <f t="shared" si="185"/>
        <v>-8.7848107445382055</v>
      </c>
      <c r="F1088" s="1">
        <f t="shared" si="186"/>
        <v>-11.120520459067937</v>
      </c>
      <c r="G1088" s="1">
        <f t="shared" si="183"/>
        <v>1.4805372163037478E-5</v>
      </c>
      <c r="H1088" s="1">
        <f t="shared" si="176"/>
        <v>1.5225978749816862E-7</v>
      </c>
      <c r="I1088">
        <f t="shared" si="177"/>
        <v>10</v>
      </c>
      <c r="J1088">
        <f t="shared" si="178"/>
        <v>1051</v>
      </c>
      <c r="K1088" s="5">
        <f t="shared" si="179"/>
        <v>0</v>
      </c>
      <c r="L1088">
        <f t="shared" si="180"/>
        <v>95</v>
      </c>
      <c r="M1088">
        <f t="shared" si="181"/>
        <v>1</v>
      </c>
      <c r="N1088">
        <f t="shared" si="182"/>
        <v>0</v>
      </c>
    </row>
    <row r="1089" spans="4:14" x14ac:dyDescent="0.2">
      <c r="D1089">
        <f t="shared" si="184"/>
        <v>1066</v>
      </c>
      <c r="E1089" s="1">
        <f t="shared" si="185"/>
        <v>-8.7952820444055018</v>
      </c>
      <c r="F1089" s="1">
        <f t="shared" si="186"/>
        <v>-11.130991758935231</v>
      </c>
      <c r="G1089" s="1">
        <f t="shared" si="183"/>
        <v>1.4651149536339184E-5</v>
      </c>
      <c r="H1089" s="1">
        <f t="shared" si="176"/>
        <v>1.5067374804506282E-7</v>
      </c>
      <c r="I1089">
        <f t="shared" si="177"/>
        <v>10</v>
      </c>
      <c r="J1089">
        <f t="shared" si="178"/>
        <v>1052</v>
      </c>
      <c r="K1089" s="5">
        <f t="shared" si="179"/>
        <v>0</v>
      </c>
      <c r="L1089">
        <f t="shared" si="180"/>
        <v>95</v>
      </c>
      <c r="M1089">
        <f t="shared" si="181"/>
        <v>1</v>
      </c>
      <c r="N1089">
        <f t="shared" si="182"/>
        <v>0</v>
      </c>
    </row>
    <row r="1090" spans="4:14" x14ac:dyDescent="0.2">
      <c r="D1090">
        <f t="shared" si="184"/>
        <v>1067</v>
      </c>
      <c r="E1090" s="1">
        <f t="shared" si="185"/>
        <v>-8.805753344272798</v>
      </c>
      <c r="F1090" s="1">
        <f t="shared" si="186"/>
        <v>-11.141463058802529</v>
      </c>
      <c r="G1090" s="1">
        <f t="shared" si="183"/>
        <v>1.4498533395335613E-5</v>
      </c>
      <c r="H1090" s="1">
        <f t="shared" si="176"/>
        <v>1.4910422983625971E-7</v>
      </c>
      <c r="I1090">
        <f t="shared" si="177"/>
        <v>10</v>
      </c>
      <c r="J1090">
        <f t="shared" si="178"/>
        <v>1053</v>
      </c>
      <c r="K1090" s="5">
        <f t="shared" si="179"/>
        <v>0</v>
      </c>
      <c r="L1090">
        <f t="shared" si="180"/>
        <v>95</v>
      </c>
      <c r="M1090">
        <f t="shared" si="181"/>
        <v>1</v>
      </c>
      <c r="N1090">
        <f t="shared" si="182"/>
        <v>0</v>
      </c>
    </row>
    <row r="1091" spans="4:14" x14ac:dyDescent="0.2">
      <c r="D1091">
        <f t="shared" si="184"/>
        <v>1068</v>
      </c>
      <c r="E1091" s="1">
        <f t="shared" si="185"/>
        <v>-8.8162246441400942</v>
      </c>
      <c r="F1091" s="1">
        <f t="shared" si="186"/>
        <v>-11.151934358669823</v>
      </c>
      <c r="G1091" s="1">
        <f t="shared" si="183"/>
        <v>1.4347507005800882E-5</v>
      </c>
      <c r="H1091" s="1">
        <f t="shared" si="176"/>
        <v>1.4755106077546549E-7</v>
      </c>
      <c r="I1091">
        <f t="shared" si="177"/>
        <v>10</v>
      </c>
      <c r="J1091">
        <f t="shared" si="178"/>
        <v>1054</v>
      </c>
      <c r="K1091" s="5">
        <f t="shared" si="179"/>
        <v>0</v>
      </c>
      <c r="L1091">
        <f t="shared" si="180"/>
        <v>95</v>
      </c>
      <c r="M1091">
        <f t="shared" si="181"/>
        <v>1</v>
      </c>
      <c r="N1091">
        <f t="shared" si="182"/>
        <v>0</v>
      </c>
    </row>
    <row r="1092" spans="4:14" x14ac:dyDescent="0.2">
      <c r="D1092">
        <f t="shared" si="184"/>
        <v>1069</v>
      </c>
      <c r="E1092" s="1">
        <f t="shared" si="185"/>
        <v>-8.8266959440073904</v>
      </c>
      <c r="F1092" s="1">
        <f t="shared" si="186"/>
        <v>-11.162405658537121</v>
      </c>
      <c r="G1092" s="1">
        <f t="shared" si="183"/>
        <v>1.4198053807823752E-5</v>
      </c>
      <c r="H1092" s="1">
        <f t="shared" si="176"/>
        <v>1.4601407055905399E-7</v>
      </c>
      <c r="I1092">
        <f t="shared" si="177"/>
        <v>10</v>
      </c>
      <c r="J1092">
        <f t="shared" si="178"/>
        <v>1055</v>
      </c>
      <c r="K1092" s="5">
        <f t="shared" si="179"/>
        <v>0</v>
      </c>
      <c r="L1092">
        <f t="shared" si="180"/>
        <v>95</v>
      </c>
      <c r="M1092">
        <f t="shared" si="181"/>
        <v>1</v>
      </c>
      <c r="N1092">
        <f t="shared" si="182"/>
        <v>0</v>
      </c>
    </row>
    <row r="1093" spans="4:14" x14ac:dyDescent="0.2">
      <c r="D1093">
        <f t="shared" si="184"/>
        <v>1070</v>
      </c>
      <c r="E1093" s="1">
        <f t="shared" si="185"/>
        <v>-8.8371672438746867</v>
      </c>
      <c r="F1093" s="1">
        <f t="shared" si="186"/>
        <v>-11.172876958404416</v>
      </c>
      <c r="G1093" s="1">
        <f t="shared" si="183"/>
        <v>1.4050157413992268E-5</v>
      </c>
      <c r="H1093" s="1">
        <f t="shared" si="176"/>
        <v>1.4449309065739734E-7</v>
      </c>
      <c r="I1093">
        <f t="shared" si="177"/>
        <v>10</v>
      </c>
      <c r="J1093">
        <f t="shared" si="178"/>
        <v>1056</v>
      </c>
      <c r="K1093" s="5">
        <f t="shared" si="179"/>
        <v>0</v>
      </c>
      <c r="L1093">
        <f t="shared" si="180"/>
        <v>95</v>
      </c>
      <c r="M1093">
        <f t="shared" si="181"/>
        <v>1</v>
      </c>
      <c r="N1093">
        <f t="shared" si="182"/>
        <v>0</v>
      </c>
    </row>
    <row r="1094" spans="4:14" x14ac:dyDescent="0.2">
      <c r="D1094">
        <f t="shared" si="184"/>
        <v>1071</v>
      </c>
      <c r="E1094" s="1">
        <f t="shared" si="185"/>
        <v>-8.8476385437419829</v>
      </c>
      <c r="F1094" s="1">
        <f t="shared" si="186"/>
        <v>-11.183348258271714</v>
      </c>
      <c r="G1094" s="1">
        <f t="shared" si="183"/>
        <v>1.3903801607596479E-5</v>
      </c>
      <c r="H1094" s="1">
        <f t="shared" si="176"/>
        <v>1.4298795429638239E-7</v>
      </c>
      <c r="I1094">
        <f t="shared" si="177"/>
        <v>10</v>
      </c>
      <c r="J1094">
        <f t="shared" si="178"/>
        <v>1057</v>
      </c>
      <c r="K1094" s="5">
        <f t="shared" si="179"/>
        <v>0</v>
      </c>
      <c r="L1094">
        <f t="shared" si="180"/>
        <v>95</v>
      </c>
      <c r="M1094">
        <f t="shared" si="181"/>
        <v>1</v>
      </c>
      <c r="N1094">
        <f t="shared" si="182"/>
        <v>0</v>
      </c>
    </row>
    <row r="1095" spans="4:14" x14ac:dyDescent="0.2">
      <c r="D1095">
        <f t="shared" si="184"/>
        <v>1072</v>
      </c>
      <c r="E1095" s="1">
        <f t="shared" si="185"/>
        <v>-8.8581098436092791</v>
      </c>
      <c r="F1095" s="1">
        <f t="shared" si="186"/>
        <v>-11.193819558139008</v>
      </c>
      <c r="G1095" s="1">
        <f t="shared" si="183"/>
        <v>1.3758970340850696E-5</v>
      </c>
      <c r="H1095" s="1">
        <f t="shared" si="176"/>
        <v>1.4149849643912855E-7</v>
      </c>
      <c r="I1095">
        <f t="shared" si="177"/>
        <v>10</v>
      </c>
      <c r="J1095">
        <f t="shared" si="178"/>
        <v>1058</v>
      </c>
      <c r="K1095" s="5">
        <f t="shared" si="179"/>
        <v>0</v>
      </c>
      <c r="L1095">
        <f t="shared" si="180"/>
        <v>95</v>
      </c>
      <c r="M1095">
        <f t="shared" si="181"/>
        <v>1</v>
      </c>
      <c r="N1095">
        <f t="shared" si="182"/>
        <v>0</v>
      </c>
    </row>
    <row r="1096" spans="4:14" x14ac:dyDescent="0.2">
      <c r="D1096">
        <f t="shared" si="184"/>
        <v>1073</v>
      </c>
      <c r="E1096" s="1">
        <f t="shared" si="185"/>
        <v>-8.8685811434765753</v>
      </c>
      <c r="F1096" s="1">
        <f t="shared" si="186"/>
        <v>-11.204290858006306</v>
      </c>
      <c r="G1096" s="1">
        <f t="shared" si="183"/>
        <v>1.3615647733133466E-5</v>
      </c>
      <c r="H1096" s="1">
        <f t="shared" si="176"/>
        <v>1.4002455376788728E-7</v>
      </c>
      <c r="I1096">
        <f t="shared" si="177"/>
        <v>10</v>
      </c>
      <c r="J1096">
        <f t="shared" si="178"/>
        <v>1059</v>
      </c>
      <c r="K1096" s="5">
        <f t="shared" si="179"/>
        <v>0</v>
      </c>
      <c r="L1096">
        <f t="shared" si="180"/>
        <v>95</v>
      </c>
      <c r="M1096">
        <f t="shared" si="181"/>
        <v>1</v>
      </c>
      <c r="N1096">
        <f t="shared" si="182"/>
        <v>0</v>
      </c>
    </row>
    <row r="1097" spans="4:14" x14ac:dyDescent="0.2">
      <c r="D1097">
        <f t="shared" si="184"/>
        <v>1074</v>
      </c>
      <c r="E1097" s="1">
        <f t="shared" si="185"/>
        <v>-8.8790524433438716</v>
      </c>
      <c r="F1097" s="1">
        <f t="shared" si="186"/>
        <v>-11.214762157873601</v>
      </c>
      <c r="G1097" s="1">
        <f t="shared" si="183"/>
        <v>1.3473818069246672E-5</v>
      </c>
      <c r="H1097" s="1">
        <f t="shared" si="176"/>
        <v>1.3856596466613858E-7</v>
      </c>
      <c r="I1097">
        <f t="shared" si="177"/>
        <v>10</v>
      </c>
      <c r="J1097">
        <f t="shared" si="178"/>
        <v>1060</v>
      </c>
      <c r="K1097" s="5">
        <f t="shared" si="179"/>
        <v>0</v>
      </c>
      <c r="L1097">
        <f t="shared" si="180"/>
        <v>95</v>
      </c>
      <c r="M1097">
        <f t="shared" si="181"/>
        <v>1</v>
      </c>
      <c r="N1097">
        <f t="shared" si="182"/>
        <v>0</v>
      </c>
    </row>
    <row r="1098" spans="4:14" x14ac:dyDescent="0.2">
      <c r="D1098">
        <f t="shared" si="184"/>
        <v>1075</v>
      </c>
      <c r="E1098" s="1">
        <f t="shared" si="185"/>
        <v>-8.8895237432111678</v>
      </c>
      <c r="F1098" s="1">
        <f t="shared" si="186"/>
        <v>-11.225233457740899</v>
      </c>
      <c r="G1098" s="1">
        <f t="shared" si="183"/>
        <v>1.3333465797691983E-5</v>
      </c>
      <c r="H1098" s="1">
        <f t="shared" si="176"/>
        <v>1.3712256920086592E-7</v>
      </c>
      <c r="I1098">
        <f t="shared" si="177"/>
        <v>10</v>
      </c>
      <c r="J1098">
        <f t="shared" si="178"/>
        <v>1061</v>
      </c>
      <c r="K1098" s="5">
        <f t="shared" si="179"/>
        <v>0</v>
      </c>
      <c r="L1098">
        <f t="shared" si="180"/>
        <v>95</v>
      </c>
      <c r="M1098">
        <f t="shared" si="181"/>
        <v>1</v>
      </c>
      <c r="N1098">
        <f t="shared" si="182"/>
        <v>0</v>
      </c>
    </row>
    <row r="1099" spans="4:14" x14ac:dyDescent="0.2">
      <c r="D1099">
        <f t="shared" si="184"/>
        <v>1076</v>
      </c>
      <c r="E1099" s="1">
        <f t="shared" si="185"/>
        <v>-8.899995043078464</v>
      </c>
      <c r="F1099" s="1">
        <f t="shared" si="186"/>
        <v>-11.235704757608193</v>
      </c>
      <c r="G1099" s="1">
        <f t="shared" si="183"/>
        <v>1.3194575528966039E-5</v>
      </c>
      <c r="H1099" s="1">
        <f t="shared" si="176"/>
        <v>1.3569420910502371E-7</v>
      </c>
      <c r="I1099">
        <f t="shared" si="177"/>
        <v>10</v>
      </c>
      <c r="J1099">
        <f t="shared" si="178"/>
        <v>1062</v>
      </c>
      <c r="K1099" s="5">
        <f t="shared" si="179"/>
        <v>0</v>
      </c>
      <c r="L1099">
        <f t="shared" si="180"/>
        <v>95</v>
      </c>
      <c r="M1099">
        <f t="shared" si="181"/>
        <v>1</v>
      </c>
      <c r="N1099">
        <f t="shared" si="182"/>
        <v>0</v>
      </c>
    </row>
    <row r="1100" spans="4:14" x14ac:dyDescent="0.2">
      <c r="D1100">
        <f t="shared" si="184"/>
        <v>1077</v>
      </c>
      <c r="E1100" s="1">
        <f t="shared" si="185"/>
        <v>-8.9104663429457602</v>
      </c>
      <c r="F1100" s="1">
        <f t="shared" si="186"/>
        <v>-11.246176057475491</v>
      </c>
      <c r="G1100" s="1">
        <f t="shared" si="183"/>
        <v>1.3057132033872609E-5</v>
      </c>
      <c r="H1100" s="1">
        <f t="shared" si="176"/>
        <v>1.3428072776017938E-7</v>
      </c>
      <c r="I1100">
        <f t="shared" si="177"/>
        <v>10</v>
      </c>
      <c r="J1100">
        <f t="shared" si="178"/>
        <v>1063</v>
      </c>
      <c r="K1100" s="5">
        <f t="shared" si="179"/>
        <v>0</v>
      </c>
      <c r="L1100">
        <f t="shared" si="180"/>
        <v>95</v>
      </c>
      <c r="M1100">
        <f t="shared" si="181"/>
        <v>1</v>
      </c>
      <c r="N1100">
        <f t="shared" si="182"/>
        <v>0</v>
      </c>
    </row>
    <row r="1101" spans="4:14" x14ac:dyDescent="0.2">
      <c r="D1101">
        <f t="shared" si="184"/>
        <v>1078</v>
      </c>
      <c r="E1101" s="1">
        <f t="shared" si="185"/>
        <v>-8.9209376428130565</v>
      </c>
      <c r="F1101" s="1">
        <f t="shared" si="186"/>
        <v>-11.256647357342786</v>
      </c>
      <c r="G1101" s="1">
        <f t="shared" si="183"/>
        <v>1.2921120241853115E-5</v>
      </c>
      <c r="H1101" s="1">
        <f t="shared" si="176"/>
        <v>1.3288197017934431E-7</v>
      </c>
      <c r="I1101">
        <f t="shared" si="177"/>
        <v>10</v>
      </c>
      <c r="J1101">
        <f t="shared" si="178"/>
        <v>1064</v>
      </c>
      <c r="K1101" s="5">
        <f t="shared" si="179"/>
        <v>0</v>
      </c>
      <c r="L1101">
        <f t="shared" si="180"/>
        <v>95</v>
      </c>
      <c r="M1101">
        <f t="shared" si="181"/>
        <v>1</v>
      </c>
      <c r="N1101">
        <f t="shared" si="182"/>
        <v>0</v>
      </c>
    </row>
    <row r="1102" spans="4:14" x14ac:dyDescent="0.2">
      <c r="D1102">
        <f t="shared" si="184"/>
        <v>1079</v>
      </c>
      <c r="E1102" s="1">
        <f t="shared" si="185"/>
        <v>-8.9314089426803527</v>
      </c>
      <c r="F1102" s="1">
        <f t="shared" si="186"/>
        <v>-11.267118657210084</v>
      </c>
      <c r="G1102" s="1">
        <f t="shared" si="183"/>
        <v>1.2786525239333778E-5</v>
      </c>
      <c r="H1102" s="1">
        <f t="shared" si="176"/>
        <v>1.3149778298997577E-7</v>
      </c>
      <c r="I1102">
        <f t="shared" si="177"/>
        <v>10</v>
      </c>
      <c r="J1102">
        <f t="shared" si="178"/>
        <v>1065</v>
      </c>
      <c r="K1102" s="5">
        <f t="shared" si="179"/>
        <v>0</v>
      </c>
      <c r="L1102">
        <f t="shared" si="180"/>
        <v>95</v>
      </c>
      <c r="M1102">
        <f t="shared" si="181"/>
        <v>1</v>
      </c>
      <c r="N1102">
        <f t="shared" si="182"/>
        <v>0</v>
      </c>
    </row>
    <row r="1103" spans="4:14" x14ac:dyDescent="0.2">
      <c r="D1103">
        <f t="shared" si="184"/>
        <v>1080</v>
      </c>
      <c r="E1103" s="1">
        <f t="shared" si="185"/>
        <v>-8.9418802425476489</v>
      </c>
      <c r="F1103" s="1">
        <f t="shared" si="186"/>
        <v>-11.277589957077378</v>
      </c>
      <c r="G1103" s="1">
        <f t="shared" si="183"/>
        <v>1.2653332268090729E-5</v>
      </c>
      <c r="H1103" s="1">
        <f t="shared" si="176"/>
        <v>1.3012801441716366E-7</v>
      </c>
      <c r="I1103">
        <f t="shared" si="177"/>
        <v>10</v>
      </c>
      <c r="J1103">
        <f t="shared" si="178"/>
        <v>1066</v>
      </c>
      <c r="K1103" s="5">
        <f t="shared" si="179"/>
        <v>0</v>
      </c>
      <c r="L1103">
        <f t="shared" si="180"/>
        <v>95</v>
      </c>
      <c r="M1103">
        <f t="shared" si="181"/>
        <v>1</v>
      </c>
      <c r="N1103">
        <f t="shared" si="182"/>
        <v>0</v>
      </c>
    </row>
    <row r="1104" spans="4:14" x14ac:dyDescent="0.2">
      <c r="D1104">
        <f t="shared" si="184"/>
        <v>1081</v>
      </c>
      <c r="E1104" s="1">
        <f t="shared" si="185"/>
        <v>-8.9523515424149451</v>
      </c>
      <c r="F1104" s="1">
        <f t="shared" si="186"/>
        <v>-11.288061256944676</v>
      </c>
      <c r="G1104" s="1">
        <f t="shared" si="183"/>
        <v>1.2521526723631419E-5</v>
      </c>
      <c r="H1104" s="1">
        <f t="shared" si="176"/>
        <v>1.2877251426698454E-7</v>
      </c>
      <c r="I1104">
        <f t="shared" si="177"/>
        <v>10</v>
      </c>
      <c r="J1104">
        <f t="shared" si="178"/>
        <v>1067</v>
      </c>
      <c r="K1104" s="5">
        <f t="shared" si="179"/>
        <v>0</v>
      </c>
      <c r="L1104">
        <f t="shared" si="180"/>
        <v>95</v>
      </c>
      <c r="M1104">
        <f t="shared" si="181"/>
        <v>1</v>
      </c>
      <c r="N1104">
        <f t="shared" si="182"/>
        <v>0</v>
      </c>
    </row>
    <row r="1105" spans="4:14" x14ac:dyDescent="0.2">
      <c r="D1105">
        <f t="shared" si="184"/>
        <v>1082</v>
      </c>
      <c r="E1105" s="1">
        <f t="shared" si="185"/>
        <v>-8.9628228422822414</v>
      </c>
      <c r="F1105" s="1">
        <f t="shared" si="186"/>
        <v>-11.298532556811971</v>
      </c>
      <c r="G1105" s="1">
        <f t="shared" si="183"/>
        <v>1.2391094153593603E-5</v>
      </c>
      <c r="H1105" s="1">
        <f t="shared" si="176"/>
        <v>1.274311339100369E-7</v>
      </c>
      <c r="I1105">
        <f t="shared" si="177"/>
        <v>10</v>
      </c>
      <c r="J1105">
        <f t="shared" si="178"/>
        <v>1068</v>
      </c>
      <c r="K1105" s="5">
        <f t="shared" si="179"/>
        <v>0</v>
      </c>
      <c r="L1105">
        <f t="shared" si="180"/>
        <v>95</v>
      </c>
      <c r="M1105">
        <f t="shared" si="181"/>
        <v>1</v>
      </c>
      <c r="N1105">
        <f t="shared" si="182"/>
        <v>0</v>
      </c>
    </row>
    <row r="1106" spans="4:14" x14ac:dyDescent="0.2">
      <c r="D1106">
        <f t="shared" si="184"/>
        <v>1083</v>
      </c>
      <c r="E1106" s="1">
        <f t="shared" si="185"/>
        <v>-8.9732941421495376</v>
      </c>
      <c r="F1106" s="1">
        <f t="shared" si="186"/>
        <v>-11.309003856679269</v>
      </c>
      <c r="G1106" s="1">
        <f t="shared" si="183"/>
        <v>1.2262020256160306E-5</v>
      </c>
      <c r="H1106" s="1">
        <f t="shared" si="176"/>
        <v>1.2610372626514036E-7</v>
      </c>
      <c r="I1106">
        <f t="shared" si="177"/>
        <v>10</v>
      </c>
      <c r="J1106">
        <f t="shared" si="178"/>
        <v>1069</v>
      </c>
      <c r="K1106" s="5">
        <f t="shared" si="179"/>
        <v>0</v>
      </c>
      <c r="L1106">
        <f t="shared" si="180"/>
        <v>95</v>
      </c>
      <c r="M1106">
        <f t="shared" si="181"/>
        <v>1</v>
      </c>
      <c r="N1106">
        <f t="shared" si="182"/>
        <v>0</v>
      </c>
    </row>
    <row r="1107" spans="4:14" x14ac:dyDescent="0.2">
      <c r="D1107">
        <f t="shared" si="184"/>
        <v>1084</v>
      </c>
      <c r="E1107" s="1">
        <f t="shared" si="185"/>
        <v>-8.9837654420168338</v>
      </c>
      <c r="F1107" s="1">
        <f t="shared" si="186"/>
        <v>-11.319475156546563</v>
      </c>
      <c r="G1107" s="1">
        <f t="shared" si="183"/>
        <v>1.2134290878491981E-5</v>
      </c>
      <c r="H1107" s="1">
        <f t="shared" si="176"/>
        <v>1.2479014578321194E-7</v>
      </c>
      <c r="I1107">
        <f t="shared" si="177"/>
        <v>10</v>
      </c>
      <c r="J1107">
        <f t="shared" si="178"/>
        <v>1070</v>
      </c>
      <c r="K1107" s="5">
        <f t="shared" si="179"/>
        <v>0</v>
      </c>
      <c r="L1107">
        <f t="shared" si="180"/>
        <v>95</v>
      </c>
      <c r="M1107">
        <f t="shared" si="181"/>
        <v>1</v>
      </c>
      <c r="N1107">
        <f t="shared" si="182"/>
        <v>0</v>
      </c>
    </row>
    <row r="1108" spans="4:14" x14ac:dyDescent="0.2">
      <c r="D1108">
        <f t="shared" si="184"/>
        <v>1085</v>
      </c>
      <c r="E1108" s="1">
        <f t="shared" si="185"/>
        <v>-8.99423674188413</v>
      </c>
      <c r="F1108" s="1">
        <f t="shared" si="186"/>
        <v>-11.329946456413861</v>
      </c>
      <c r="G1108" s="1">
        <f t="shared" si="183"/>
        <v>1.2007892015174325E-5</v>
      </c>
      <c r="H1108" s="1">
        <f t="shared" si="176"/>
        <v>1.2349024843130317E-7</v>
      </c>
      <c r="I1108">
        <f t="shared" si="177"/>
        <v>10</v>
      </c>
      <c r="J1108">
        <f t="shared" si="178"/>
        <v>1071</v>
      </c>
      <c r="K1108" s="5">
        <f t="shared" si="179"/>
        <v>0</v>
      </c>
      <c r="L1108">
        <f t="shared" si="180"/>
        <v>95</v>
      </c>
      <c r="M1108">
        <f t="shared" si="181"/>
        <v>1</v>
      </c>
      <c r="N1108">
        <f t="shared" si="182"/>
        <v>0</v>
      </c>
    </row>
    <row r="1109" spans="4:14" x14ac:dyDescent="0.2">
      <c r="D1109">
        <f t="shared" si="184"/>
        <v>1086</v>
      </c>
      <c r="E1109" s="1">
        <f t="shared" si="185"/>
        <v>-9.0047080417514263</v>
      </c>
      <c r="F1109" s="1">
        <f t="shared" si="186"/>
        <v>-11.340417756281155</v>
      </c>
      <c r="G1109" s="1">
        <f t="shared" si="183"/>
        <v>1.1882809806682936E-5</v>
      </c>
      <c r="H1109" s="1">
        <f t="shared" si="176"/>
        <v>1.2220389167681053E-7</v>
      </c>
      <c r="I1109">
        <f t="shared" si="177"/>
        <v>10</v>
      </c>
      <c r="J1109">
        <f t="shared" si="178"/>
        <v>1072</v>
      </c>
      <c r="K1109" s="5">
        <f t="shared" si="179"/>
        <v>0</v>
      </c>
      <c r="L1109">
        <f t="shared" si="180"/>
        <v>95</v>
      </c>
      <c r="M1109">
        <f t="shared" si="181"/>
        <v>1</v>
      </c>
      <c r="N1109">
        <f t="shared" si="182"/>
        <v>0</v>
      </c>
    </row>
    <row r="1110" spans="4:14" x14ac:dyDescent="0.2">
      <c r="D1110">
        <f t="shared" si="184"/>
        <v>1087</v>
      </c>
      <c r="E1110" s="1">
        <f t="shared" si="185"/>
        <v>-9.0151793416187225</v>
      </c>
      <c r="F1110" s="1">
        <f t="shared" si="186"/>
        <v>-11.350889056148453</v>
      </c>
      <c r="G1110" s="1">
        <f t="shared" si="183"/>
        <v>1.1759030537863291E-5</v>
      </c>
      <c r="H1110" s="1">
        <f t="shared" si="176"/>
        <v>1.2093093447184345E-7</v>
      </c>
      <c r="I1110">
        <f t="shared" si="177"/>
        <v>10</v>
      </c>
      <c r="J1110">
        <f t="shared" si="178"/>
        <v>1073</v>
      </c>
      <c r="K1110" s="5">
        <f t="shared" si="179"/>
        <v>0</v>
      </c>
      <c r="L1110">
        <f t="shared" si="180"/>
        <v>95</v>
      </c>
      <c r="M1110">
        <f t="shared" si="181"/>
        <v>1</v>
      </c>
      <c r="N1110">
        <f t="shared" si="182"/>
        <v>0</v>
      </c>
    </row>
    <row r="1111" spans="4:14" x14ac:dyDescent="0.2">
      <c r="D1111">
        <f t="shared" si="184"/>
        <v>1088</v>
      </c>
      <c r="E1111" s="1">
        <f t="shared" si="185"/>
        <v>-9.0256506414860187</v>
      </c>
      <c r="F1111" s="1">
        <f t="shared" si="186"/>
        <v>-11.361360356015748</v>
      </c>
      <c r="G1111" s="1">
        <f t="shared" si="183"/>
        <v>1.1636540636427226E-5</v>
      </c>
      <c r="H1111" s="1">
        <f t="shared" ref="H1111:H1174" si="187">G1111/$G$21</f>
        <v>1.1967123723776186E-7</v>
      </c>
      <c r="I1111">
        <f t="shared" ref="I1111:I1174" si="188">IF($F$11&lt;=D1111, IF(D1111&lt;=$A$15,D1111-$F$11,$C$11),0)</f>
        <v>10</v>
      </c>
      <c r="J1111">
        <f t="shared" ref="J1111:J1174" si="189">IF(D1111&lt;=$A$15,0,D1111-$A$15)</f>
        <v>1074</v>
      </c>
      <c r="K1111" s="5">
        <f t="shared" ref="K1111:K1174" si="190">IF(D1111&lt;$F$11,H1111,0)</f>
        <v>0</v>
      </c>
      <c r="L1111">
        <f t="shared" ref="L1111:L1174" si="191">IF(D1111&lt;$A$15,$D$11,$D$11*(1-$H$11))</f>
        <v>95</v>
      </c>
      <c r="M1111">
        <f t="shared" ref="M1111:M1174" si="192">IF(D1111&lt;$A$15,0,1)</f>
        <v>1</v>
      </c>
      <c r="N1111">
        <f t="shared" ref="N1111:N1174" si="193">IF(SUM(I1111:J1111)&lt;=($G$11/60*$F$11/($E$11/60)),1,0)</f>
        <v>0</v>
      </c>
    </row>
    <row r="1112" spans="4:14" x14ac:dyDescent="0.2">
      <c r="D1112">
        <f t="shared" si="184"/>
        <v>1089</v>
      </c>
      <c r="E1112" s="1">
        <f t="shared" si="185"/>
        <v>-9.0361219413533149</v>
      </c>
      <c r="F1112" s="1">
        <f t="shared" si="186"/>
        <v>-11.371831655883046</v>
      </c>
      <c r="G1112" s="1">
        <f t="shared" ref="G1112:G1175" si="194">EXP(F1112)</f>
        <v>1.1515326671464412E-5</v>
      </c>
      <c r="H1112" s="1">
        <f t="shared" si="187"/>
        <v>1.1842466184986818E-7</v>
      </c>
      <c r="I1112">
        <f t="shared" si="188"/>
        <v>10</v>
      </c>
      <c r="J1112">
        <f t="shared" si="189"/>
        <v>1075</v>
      </c>
      <c r="K1112" s="5">
        <f t="shared" si="190"/>
        <v>0</v>
      </c>
      <c r="L1112">
        <f t="shared" si="191"/>
        <v>95</v>
      </c>
      <c r="M1112">
        <f t="shared" si="192"/>
        <v>1</v>
      </c>
      <c r="N1112">
        <f t="shared" si="193"/>
        <v>0</v>
      </c>
    </row>
    <row r="1113" spans="4:14" x14ac:dyDescent="0.2">
      <c r="D1113">
        <f t="shared" ref="D1113:D1176" si="195">1+D1112</f>
        <v>1090</v>
      </c>
      <c r="E1113" s="1">
        <f t="shared" ref="E1113:E1176" si="196">IF($H$11=1,IF(D1113&lt;=$A$15, E1112+LN($D$11)-LN(60/$E$11)-LN(MIN(D1113,$F$11)), E1112-LN(60/$E$11)-LN(MIN(D1113,$F$11))), IF(D1113&lt;=$A$15, E1112+LN($D$11)-LN(60/$E$11)-LN(MIN(D1113,$F$11)), E1112+LN($D$11)+LN(1-$H$11)-LN(60/$E$11)-LN(MIN(D1113,$F$11))))</f>
        <v>-9.0465932412206111</v>
      </c>
      <c r="F1113" s="1">
        <f t="shared" ref="F1113:F1176" si="197">E1113-$E$21</f>
        <v>-11.38230295575034</v>
      </c>
      <c r="G1113" s="1">
        <f t="shared" si="194"/>
        <v>1.1395375351970004E-5</v>
      </c>
      <c r="H1113" s="1">
        <f t="shared" si="187"/>
        <v>1.1719107162226552E-7</v>
      </c>
      <c r="I1113">
        <f t="shared" si="188"/>
        <v>10</v>
      </c>
      <c r="J1113">
        <f t="shared" si="189"/>
        <v>1076</v>
      </c>
      <c r="K1113" s="5">
        <f t="shared" si="190"/>
        <v>0</v>
      </c>
      <c r="L1113">
        <f t="shared" si="191"/>
        <v>95</v>
      </c>
      <c r="M1113">
        <f t="shared" si="192"/>
        <v>1</v>
      </c>
      <c r="N1113">
        <f t="shared" si="193"/>
        <v>0</v>
      </c>
    </row>
    <row r="1114" spans="4:14" x14ac:dyDescent="0.2">
      <c r="D1114">
        <f t="shared" si="195"/>
        <v>1091</v>
      </c>
      <c r="E1114" s="1">
        <f t="shared" si="196"/>
        <v>-9.0570645410879074</v>
      </c>
      <c r="F1114" s="1">
        <f t="shared" si="197"/>
        <v>-11.392774255617638</v>
      </c>
      <c r="G1114" s="1">
        <f t="shared" si="194"/>
        <v>1.1276673525386954E-5</v>
      </c>
      <c r="H1114" s="1">
        <f t="shared" si="187"/>
        <v>1.1597033129286661E-7</v>
      </c>
      <c r="I1114">
        <f t="shared" si="188"/>
        <v>10</v>
      </c>
      <c r="J1114">
        <f t="shared" si="189"/>
        <v>1077</v>
      </c>
      <c r="K1114" s="5">
        <f t="shared" si="190"/>
        <v>0</v>
      </c>
      <c r="L1114">
        <f t="shared" si="191"/>
        <v>95</v>
      </c>
      <c r="M1114">
        <f t="shared" si="192"/>
        <v>1</v>
      </c>
      <c r="N1114">
        <f t="shared" si="193"/>
        <v>0</v>
      </c>
    </row>
    <row r="1115" spans="4:14" x14ac:dyDescent="0.2">
      <c r="D1115">
        <f t="shared" si="195"/>
        <v>1092</v>
      </c>
      <c r="E1115" s="1">
        <f t="shared" si="196"/>
        <v>-9.0675358409552036</v>
      </c>
      <c r="F1115" s="1">
        <f t="shared" si="197"/>
        <v>-11.403245555484933</v>
      </c>
      <c r="G1115" s="1">
        <f t="shared" si="194"/>
        <v>1.1159208176164183E-5</v>
      </c>
      <c r="H1115" s="1">
        <f t="shared" si="187"/>
        <v>1.1476230700856603E-7</v>
      </c>
      <c r="I1115">
        <f t="shared" si="188"/>
        <v>10</v>
      </c>
      <c r="J1115">
        <f t="shared" si="189"/>
        <v>1078</v>
      </c>
      <c r="K1115" s="5">
        <f t="shared" si="190"/>
        <v>0</v>
      </c>
      <c r="L1115">
        <f t="shared" si="191"/>
        <v>95</v>
      </c>
      <c r="M1115">
        <f t="shared" si="192"/>
        <v>1</v>
      </c>
      <c r="N1115">
        <f t="shared" si="193"/>
        <v>0</v>
      </c>
    </row>
    <row r="1116" spans="4:14" x14ac:dyDescent="0.2">
      <c r="D1116">
        <f t="shared" si="195"/>
        <v>1093</v>
      </c>
      <c r="E1116" s="1">
        <f t="shared" si="196"/>
        <v>-9.0780071408224998</v>
      </c>
      <c r="F1116" s="1">
        <f t="shared" si="197"/>
        <v>-11.413716855352231</v>
      </c>
      <c r="G1116" s="1">
        <f t="shared" si="194"/>
        <v>1.1042966424329111E-5</v>
      </c>
      <c r="H1116" s="1">
        <f t="shared" si="187"/>
        <v>1.1356686631055984E-7</v>
      </c>
      <c r="I1116">
        <f t="shared" si="188"/>
        <v>10</v>
      </c>
      <c r="J1116">
        <f t="shared" si="189"/>
        <v>1079</v>
      </c>
      <c r="K1116" s="5">
        <f t="shared" si="190"/>
        <v>0</v>
      </c>
      <c r="L1116">
        <f t="shared" si="191"/>
        <v>95</v>
      </c>
      <c r="M1116">
        <f t="shared" si="192"/>
        <v>1</v>
      </c>
      <c r="N1116">
        <f t="shared" si="193"/>
        <v>0</v>
      </c>
    </row>
    <row r="1117" spans="4:14" x14ac:dyDescent="0.2">
      <c r="D1117">
        <f t="shared" si="195"/>
        <v>1094</v>
      </c>
      <c r="E1117" s="1">
        <f t="shared" si="196"/>
        <v>-9.088478440689796</v>
      </c>
      <c r="F1117" s="1">
        <f t="shared" si="197"/>
        <v>-11.424188155219525</v>
      </c>
      <c r="G1117" s="1">
        <f t="shared" si="194"/>
        <v>1.0927935524075693E-5</v>
      </c>
      <c r="H1117" s="1">
        <f t="shared" si="187"/>
        <v>1.1238387811982495E-7</v>
      </c>
      <c r="I1117">
        <f t="shared" si="188"/>
        <v>10</v>
      </c>
      <c r="J1117">
        <f t="shared" si="189"/>
        <v>1080</v>
      </c>
      <c r="K1117" s="5">
        <f t="shared" si="190"/>
        <v>0</v>
      </c>
      <c r="L1117">
        <f t="shared" si="191"/>
        <v>95</v>
      </c>
      <c r="M1117">
        <f t="shared" si="192"/>
        <v>1</v>
      </c>
      <c r="N1117">
        <f t="shared" si="193"/>
        <v>0</v>
      </c>
    </row>
    <row r="1118" spans="4:14" x14ac:dyDescent="0.2">
      <c r="D1118">
        <f t="shared" si="195"/>
        <v>1095</v>
      </c>
      <c r="E1118" s="1">
        <f t="shared" si="196"/>
        <v>-9.0989497405570923</v>
      </c>
      <c r="F1118" s="1">
        <f t="shared" si="197"/>
        <v>-11.434659455086823</v>
      </c>
      <c r="G1118" s="1">
        <f t="shared" si="194"/>
        <v>1.0814102862366543E-5</v>
      </c>
      <c r="H1118" s="1">
        <f t="shared" si="187"/>
        <v>1.1121321272274315E-7</v>
      </c>
      <c r="I1118">
        <f t="shared" si="188"/>
        <v>10</v>
      </c>
      <c r="J1118">
        <f t="shared" si="189"/>
        <v>1081</v>
      </c>
      <c r="K1118" s="5">
        <f t="shared" si="190"/>
        <v>0</v>
      </c>
      <c r="L1118">
        <f t="shared" si="191"/>
        <v>95</v>
      </c>
      <c r="M1118">
        <f t="shared" si="192"/>
        <v>1</v>
      </c>
      <c r="N1118">
        <f t="shared" si="193"/>
        <v>0</v>
      </c>
    </row>
    <row r="1119" spans="4:14" x14ac:dyDescent="0.2">
      <c r="D1119">
        <f t="shared" si="195"/>
        <v>1096</v>
      </c>
      <c r="E1119" s="1">
        <f t="shared" si="196"/>
        <v>-9.1094210404243885</v>
      </c>
      <c r="F1119" s="1">
        <f t="shared" si="197"/>
        <v>-11.445130754954118</v>
      </c>
      <c r="G1119" s="1">
        <f t="shared" si="194"/>
        <v>1.0701455957550234E-5</v>
      </c>
      <c r="H1119" s="1">
        <f t="shared" si="187"/>
        <v>1.1005474175688134E-7</v>
      </c>
      <c r="I1119">
        <f t="shared" si="188"/>
        <v>10</v>
      </c>
      <c r="J1119">
        <f t="shared" si="189"/>
        <v>1082</v>
      </c>
      <c r="K1119" s="5">
        <f t="shared" si="190"/>
        <v>0</v>
      </c>
      <c r="L1119">
        <f t="shared" si="191"/>
        <v>95</v>
      </c>
      <c r="M1119">
        <f t="shared" si="192"/>
        <v>1</v>
      </c>
      <c r="N1119">
        <f t="shared" si="193"/>
        <v>0</v>
      </c>
    </row>
    <row r="1120" spans="4:14" x14ac:dyDescent="0.2">
      <c r="D1120">
        <f t="shared" si="195"/>
        <v>1097</v>
      </c>
      <c r="E1120" s="1">
        <f t="shared" si="196"/>
        <v>-9.1198923402916847</v>
      </c>
      <c r="F1120" s="1">
        <f t="shared" si="197"/>
        <v>-11.455602054821416</v>
      </c>
      <c r="G1120" s="1">
        <f t="shared" si="194"/>
        <v>1.0589982457992393E-5</v>
      </c>
      <c r="H1120" s="1">
        <f t="shared" si="187"/>
        <v>1.0890833819691355E-7</v>
      </c>
      <c r="I1120">
        <f t="shared" si="188"/>
        <v>10</v>
      </c>
      <c r="J1120">
        <f t="shared" si="189"/>
        <v>1083</v>
      </c>
      <c r="K1120" s="5">
        <f t="shared" si="190"/>
        <v>0</v>
      </c>
      <c r="L1120">
        <f t="shared" si="191"/>
        <v>95</v>
      </c>
      <c r="M1120">
        <f t="shared" si="192"/>
        <v>1</v>
      </c>
      <c r="N1120">
        <f t="shared" si="193"/>
        <v>0</v>
      </c>
    </row>
    <row r="1121" spans="4:14" x14ac:dyDescent="0.2">
      <c r="D1121">
        <f t="shared" si="195"/>
        <v>1098</v>
      </c>
      <c r="E1121" s="1">
        <f t="shared" si="196"/>
        <v>-9.1303636401589809</v>
      </c>
      <c r="F1121" s="1">
        <f t="shared" si="197"/>
        <v>-11.46607335468871</v>
      </c>
      <c r="G1121" s="1">
        <f t="shared" si="194"/>
        <v>1.0479670140721648E-5</v>
      </c>
      <c r="H1121" s="1">
        <f t="shared" si="187"/>
        <v>1.077738763406958E-7</v>
      </c>
      <c r="I1121">
        <f t="shared" si="188"/>
        <v>10</v>
      </c>
      <c r="J1121">
        <f t="shared" si="189"/>
        <v>1084</v>
      </c>
      <c r="K1121" s="5">
        <f t="shared" si="190"/>
        <v>0</v>
      </c>
      <c r="L1121">
        <f t="shared" si="191"/>
        <v>95</v>
      </c>
      <c r="M1121">
        <f t="shared" si="192"/>
        <v>1</v>
      </c>
      <c r="N1121">
        <f t="shared" si="193"/>
        <v>0</v>
      </c>
    </row>
    <row r="1122" spans="4:14" x14ac:dyDescent="0.2">
      <c r="D1122">
        <f t="shared" si="195"/>
        <v>1099</v>
      </c>
      <c r="E1122" s="1">
        <f t="shared" si="196"/>
        <v>-9.1408349400262772</v>
      </c>
      <c r="F1122" s="1">
        <f t="shared" si="197"/>
        <v>-11.476544654556008</v>
      </c>
      <c r="G1122" s="1">
        <f t="shared" si="194"/>
        <v>1.0370506910089105E-5</v>
      </c>
      <c r="H1122" s="1">
        <f t="shared" si="187"/>
        <v>1.0665123179547995E-7</v>
      </c>
      <c r="I1122">
        <f t="shared" si="188"/>
        <v>10</v>
      </c>
      <c r="J1122">
        <f t="shared" si="189"/>
        <v>1085</v>
      </c>
      <c r="K1122" s="5">
        <f t="shared" si="190"/>
        <v>0</v>
      </c>
      <c r="L1122">
        <f t="shared" si="191"/>
        <v>95</v>
      </c>
      <c r="M1122">
        <f t="shared" si="192"/>
        <v>1</v>
      </c>
      <c r="N1122">
        <f t="shared" si="193"/>
        <v>0</v>
      </c>
    </row>
    <row r="1123" spans="4:14" x14ac:dyDescent="0.2">
      <c r="D1123">
        <f t="shared" si="195"/>
        <v>1100</v>
      </c>
      <c r="E1123" s="1">
        <f t="shared" si="196"/>
        <v>-9.1513062398935734</v>
      </c>
      <c r="F1123" s="1">
        <f t="shared" si="197"/>
        <v>-11.487015954423303</v>
      </c>
      <c r="G1123" s="1">
        <f t="shared" si="194"/>
        <v>1.0262480796442353E-5</v>
      </c>
      <c r="H1123" s="1">
        <f t="shared" si="187"/>
        <v>1.0554028146427713E-7</v>
      </c>
      <c r="I1123">
        <f t="shared" si="188"/>
        <v>10</v>
      </c>
      <c r="J1123">
        <f t="shared" si="189"/>
        <v>1086</v>
      </c>
      <c r="K1123" s="5">
        <f t="shared" si="190"/>
        <v>0</v>
      </c>
      <c r="L1123">
        <f t="shared" si="191"/>
        <v>95</v>
      </c>
      <c r="M1123">
        <f t="shared" si="192"/>
        <v>1</v>
      </c>
      <c r="N1123">
        <f t="shared" si="193"/>
        <v>0</v>
      </c>
    </row>
    <row r="1124" spans="4:14" x14ac:dyDescent="0.2">
      <c r="D1124">
        <f t="shared" si="195"/>
        <v>1101</v>
      </c>
      <c r="E1124" s="1">
        <f t="shared" si="196"/>
        <v>-9.1617775397608696</v>
      </c>
      <c r="F1124" s="1">
        <f t="shared" si="197"/>
        <v>-11.497487254290601</v>
      </c>
      <c r="G1124" s="1">
        <f t="shared" si="194"/>
        <v>1.0155579954812719E-5</v>
      </c>
      <c r="H1124" s="1">
        <f t="shared" si="187"/>
        <v>1.044409035323573E-7</v>
      </c>
      <c r="I1124">
        <f t="shared" si="188"/>
        <v>10</v>
      </c>
      <c r="J1124">
        <f t="shared" si="189"/>
        <v>1087</v>
      </c>
      <c r="K1124" s="5">
        <f t="shared" si="190"/>
        <v>0</v>
      </c>
      <c r="L1124">
        <f t="shared" si="191"/>
        <v>95</v>
      </c>
      <c r="M1124">
        <f t="shared" si="192"/>
        <v>1</v>
      </c>
      <c r="N1124">
        <f t="shared" si="193"/>
        <v>0</v>
      </c>
    </row>
    <row r="1125" spans="4:14" x14ac:dyDescent="0.2">
      <c r="D1125">
        <f t="shared" si="195"/>
        <v>1102</v>
      </c>
      <c r="E1125" s="1">
        <f t="shared" si="196"/>
        <v>-9.1722488396281658</v>
      </c>
      <c r="F1125" s="1">
        <f t="shared" si="197"/>
        <v>-11.507958554157895</v>
      </c>
      <c r="G1125" s="1">
        <f t="shared" si="194"/>
        <v>1.0049792663616763E-5</v>
      </c>
      <c r="H1125" s="1">
        <f t="shared" si="187"/>
        <v>1.0335297745389535E-7</v>
      </c>
      <c r="I1125">
        <f t="shared" si="188"/>
        <v>10</v>
      </c>
      <c r="J1125">
        <f t="shared" si="189"/>
        <v>1088</v>
      </c>
      <c r="K1125" s="5">
        <f t="shared" si="190"/>
        <v>0</v>
      </c>
      <c r="L1125">
        <f t="shared" si="191"/>
        <v>95</v>
      </c>
      <c r="M1125">
        <f t="shared" si="192"/>
        <v>1</v>
      </c>
      <c r="N1125">
        <f t="shared" si="193"/>
        <v>0</v>
      </c>
    </row>
    <row r="1126" spans="4:14" x14ac:dyDescent="0.2">
      <c r="D1126">
        <f t="shared" si="195"/>
        <v>1103</v>
      </c>
      <c r="E1126" s="1">
        <f t="shared" si="196"/>
        <v>-9.1827201394954621</v>
      </c>
      <c r="F1126" s="1">
        <f t="shared" si="197"/>
        <v>-11.518429854025193</v>
      </c>
      <c r="G1126" s="1">
        <f t="shared" si="194"/>
        <v>9.945107323370728E-6</v>
      </c>
      <c r="H1126" s="1">
        <f t="shared" si="187"/>
        <v>1.0227638393875033E-7</v>
      </c>
      <c r="I1126">
        <f t="shared" si="188"/>
        <v>10</v>
      </c>
      <c r="J1126">
        <f t="shared" si="189"/>
        <v>1089</v>
      </c>
      <c r="K1126" s="5">
        <f t="shared" si="190"/>
        <v>0</v>
      </c>
      <c r="L1126">
        <f t="shared" si="191"/>
        <v>95</v>
      </c>
      <c r="M1126">
        <f t="shared" si="192"/>
        <v>1</v>
      </c>
      <c r="N1126">
        <f t="shared" si="193"/>
        <v>0</v>
      </c>
    </row>
    <row r="1127" spans="4:14" x14ac:dyDescent="0.2">
      <c r="D1127">
        <f t="shared" si="195"/>
        <v>1104</v>
      </c>
      <c r="E1127" s="1">
        <f t="shared" si="196"/>
        <v>-9.1931914393627583</v>
      </c>
      <c r="F1127" s="1">
        <f t="shared" si="197"/>
        <v>-11.528901153892487</v>
      </c>
      <c r="G1127" s="1">
        <f t="shared" si="194"/>
        <v>9.84151245541896E-6</v>
      </c>
      <c r="H1127" s="1">
        <f t="shared" si="187"/>
        <v>1.0121100493938845E-7</v>
      </c>
      <c r="I1127">
        <f t="shared" si="188"/>
        <v>10</v>
      </c>
      <c r="J1127">
        <f t="shared" si="189"/>
        <v>1090</v>
      </c>
      <c r="K1127" s="5">
        <f t="shared" si="190"/>
        <v>0</v>
      </c>
      <c r="L1127">
        <f t="shared" si="191"/>
        <v>95</v>
      </c>
      <c r="M1127">
        <f t="shared" si="192"/>
        <v>1</v>
      </c>
      <c r="N1127">
        <f t="shared" si="193"/>
        <v>0</v>
      </c>
    </row>
    <row r="1128" spans="4:14" x14ac:dyDescent="0.2">
      <c r="D1128">
        <f t="shared" si="195"/>
        <v>1105</v>
      </c>
      <c r="E1128" s="1">
        <f t="shared" si="196"/>
        <v>-9.2036627392300545</v>
      </c>
      <c r="F1128" s="1">
        <f t="shared" si="197"/>
        <v>-11.539372453759785</v>
      </c>
      <c r="G1128" s="1">
        <f t="shared" si="194"/>
        <v>9.7389967006749867E-6</v>
      </c>
      <c r="H1128" s="1">
        <f t="shared" si="187"/>
        <v>1.0015672363793622E-7</v>
      </c>
      <c r="I1128">
        <f t="shared" si="188"/>
        <v>10</v>
      </c>
      <c r="J1128">
        <f t="shared" si="189"/>
        <v>1091</v>
      </c>
      <c r="K1128" s="5">
        <f t="shared" si="190"/>
        <v>0</v>
      </c>
      <c r="L1128">
        <f t="shared" si="191"/>
        <v>95</v>
      </c>
      <c r="M1128">
        <f t="shared" si="192"/>
        <v>1</v>
      </c>
      <c r="N1128">
        <f t="shared" si="193"/>
        <v>0</v>
      </c>
    </row>
    <row r="1129" spans="4:14" x14ac:dyDescent="0.2">
      <c r="D1129">
        <f t="shared" si="195"/>
        <v>1106</v>
      </c>
      <c r="E1129" s="1">
        <f t="shared" si="196"/>
        <v>-9.2141340390973507</v>
      </c>
      <c r="F1129" s="1">
        <f t="shared" si="197"/>
        <v>-11.54984375362708</v>
      </c>
      <c r="G1129" s="1">
        <f t="shared" si="194"/>
        <v>9.6375488183762981E-6</v>
      </c>
      <c r="H1129" s="1">
        <f t="shared" si="187"/>
        <v>9.911342443337448E-8</v>
      </c>
      <c r="I1129">
        <f t="shared" si="188"/>
        <v>10</v>
      </c>
      <c r="J1129">
        <f t="shared" si="189"/>
        <v>1092</v>
      </c>
      <c r="K1129" s="5">
        <f t="shared" si="190"/>
        <v>0</v>
      </c>
      <c r="L1129">
        <f t="shared" si="191"/>
        <v>95</v>
      </c>
      <c r="M1129">
        <f t="shared" si="192"/>
        <v>1</v>
      </c>
      <c r="N1129">
        <f t="shared" si="193"/>
        <v>0</v>
      </c>
    </row>
    <row r="1130" spans="4:14" x14ac:dyDescent="0.2">
      <c r="D1130">
        <f t="shared" si="195"/>
        <v>1107</v>
      </c>
      <c r="E1130" s="1">
        <f t="shared" si="196"/>
        <v>-9.224605338964647</v>
      </c>
      <c r="F1130" s="1">
        <f t="shared" si="197"/>
        <v>-11.560315053494378</v>
      </c>
      <c r="G1130" s="1">
        <f t="shared" si="194"/>
        <v>9.5371576848515198E-6</v>
      </c>
      <c r="H1130" s="1">
        <f t="shared" si="187"/>
        <v>9.8080992928859904E-8</v>
      </c>
      <c r="I1130">
        <f t="shared" si="188"/>
        <v>10</v>
      </c>
      <c r="J1130">
        <f t="shared" si="189"/>
        <v>1093</v>
      </c>
      <c r="K1130" s="5">
        <f t="shared" si="190"/>
        <v>0</v>
      </c>
      <c r="L1130">
        <f t="shared" si="191"/>
        <v>95</v>
      </c>
      <c r="M1130">
        <f t="shared" si="192"/>
        <v>1</v>
      </c>
      <c r="N1130">
        <f t="shared" si="193"/>
        <v>0</v>
      </c>
    </row>
    <row r="1131" spans="4:14" x14ac:dyDescent="0.2">
      <c r="D1131">
        <f t="shared" si="195"/>
        <v>1108</v>
      </c>
      <c r="E1131" s="1">
        <f t="shared" si="196"/>
        <v>-9.2350766388319432</v>
      </c>
      <c r="F1131" s="1">
        <f t="shared" si="197"/>
        <v>-11.570786353361672</v>
      </c>
      <c r="G1131" s="1">
        <f t="shared" si="194"/>
        <v>9.4378122923009929E-6</v>
      </c>
      <c r="H1131" s="1">
        <f t="shared" si="187"/>
        <v>9.7059315919184392E-8</v>
      </c>
      <c r="I1131">
        <f t="shared" si="188"/>
        <v>10</v>
      </c>
      <c r="J1131">
        <f t="shared" si="189"/>
        <v>1094</v>
      </c>
      <c r="K1131" s="5">
        <f t="shared" si="190"/>
        <v>0</v>
      </c>
      <c r="L1131">
        <f t="shared" si="191"/>
        <v>95</v>
      </c>
      <c r="M1131">
        <f t="shared" si="192"/>
        <v>1</v>
      </c>
      <c r="N1131">
        <f t="shared" si="193"/>
        <v>0</v>
      </c>
    </row>
    <row r="1132" spans="4:14" x14ac:dyDescent="0.2">
      <c r="D1132">
        <f t="shared" si="195"/>
        <v>1109</v>
      </c>
      <c r="E1132" s="1">
        <f t="shared" si="196"/>
        <v>-9.2455479386992394</v>
      </c>
      <c r="F1132" s="1">
        <f t="shared" si="197"/>
        <v>-11.58125765322897</v>
      </c>
      <c r="G1132" s="1">
        <f t="shared" si="194"/>
        <v>9.3395017475894991E-6</v>
      </c>
      <c r="H1132" s="1">
        <f t="shared" si="187"/>
        <v>9.6048281378359295E-8</v>
      </c>
      <c r="I1132">
        <f t="shared" si="188"/>
        <v>10</v>
      </c>
      <c r="J1132">
        <f t="shared" si="189"/>
        <v>1095</v>
      </c>
      <c r="K1132" s="5">
        <f t="shared" si="190"/>
        <v>0</v>
      </c>
      <c r="L1132">
        <f t="shared" si="191"/>
        <v>95</v>
      </c>
      <c r="M1132">
        <f t="shared" si="192"/>
        <v>1</v>
      </c>
      <c r="N1132">
        <f t="shared" si="193"/>
        <v>0</v>
      </c>
    </row>
    <row r="1133" spans="4:14" x14ac:dyDescent="0.2">
      <c r="D1133">
        <f t="shared" si="195"/>
        <v>1110</v>
      </c>
      <c r="E1133" s="1">
        <f t="shared" si="196"/>
        <v>-9.2560192385665356</v>
      </c>
      <c r="F1133" s="1">
        <f t="shared" si="197"/>
        <v>-11.591728953096265</v>
      </c>
      <c r="G1133" s="1">
        <f t="shared" si="194"/>
        <v>9.2422152710521173E-6</v>
      </c>
      <c r="H1133" s="1">
        <f t="shared" si="187"/>
        <v>9.5047778447334809E-8</v>
      </c>
      <c r="I1133">
        <f t="shared" si="188"/>
        <v>10</v>
      </c>
      <c r="J1133">
        <f t="shared" si="189"/>
        <v>1096</v>
      </c>
      <c r="K1133" s="5">
        <f t="shared" si="190"/>
        <v>0</v>
      </c>
      <c r="L1133">
        <f t="shared" si="191"/>
        <v>95</v>
      </c>
      <c r="M1133">
        <f t="shared" si="192"/>
        <v>1</v>
      </c>
      <c r="N1133">
        <f t="shared" si="193"/>
        <v>0</v>
      </c>
    </row>
    <row r="1134" spans="4:14" x14ac:dyDescent="0.2">
      <c r="D1134">
        <f t="shared" si="195"/>
        <v>1111</v>
      </c>
      <c r="E1134" s="1">
        <f t="shared" si="196"/>
        <v>-9.2664905384338319</v>
      </c>
      <c r="F1134" s="1">
        <f t="shared" si="197"/>
        <v>-11.602200252963563</v>
      </c>
      <c r="G1134" s="1">
        <f t="shared" si="194"/>
        <v>9.1459421953119688E-6</v>
      </c>
      <c r="H1134" s="1">
        <f t="shared" si="187"/>
        <v>9.4057697421841499E-8</v>
      </c>
      <c r="I1134">
        <f t="shared" si="188"/>
        <v>10</v>
      </c>
      <c r="J1134">
        <f t="shared" si="189"/>
        <v>1097</v>
      </c>
      <c r="K1134" s="5">
        <f t="shared" si="190"/>
        <v>0</v>
      </c>
      <c r="L1134">
        <f t="shared" si="191"/>
        <v>95</v>
      </c>
      <c r="M1134">
        <f t="shared" si="192"/>
        <v>1</v>
      </c>
      <c r="N1134">
        <f t="shared" si="193"/>
        <v>0</v>
      </c>
    </row>
    <row r="1135" spans="4:14" x14ac:dyDescent="0.2">
      <c r="D1135">
        <f t="shared" si="195"/>
        <v>1112</v>
      </c>
      <c r="E1135" s="1">
        <f t="shared" si="196"/>
        <v>-9.2769618383011281</v>
      </c>
      <c r="F1135" s="1">
        <f t="shared" si="197"/>
        <v>-11.612671552830857</v>
      </c>
      <c r="G1135" s="1">
        <f t="shared" si="194"/>
        <v>9.0506719641108105E-6</v>
      </c>
      <c r="H1135" s="1">
        <f t="shared" si="187"/>
        <v>9.3077929740364065E-8</v>
      </c>
      <c r="I1135">
        <f t="shared" si="188"/>
        <v>10</v>
      </c>
      <c r="J1135">
        <f t="shared" si="189"/>
        <v>1098</v>
      </c>
      <c r="K1135" s="5">
        <f t="shared" si="190"/>
        <v>0</v>
      </c>
      <c r="L1135">
        <f t="shared" si="191"/>
        <v>95</v>
      </c>
      <c r="M1135">
        <f t="shared" si="192"/>
        <v>1</v>
      </c>
      <c r="N1135">
        <f t="shared" si="193"/>
        <v>0</v>
      </c>
    </row>
    <row r="1136" spans="4:14" x14ac:dyDescent="0.2">
      <c r="D1136">
        <f t="shared" si="195"/>
        <v>1113</v>
      </c>
      <c r="E1136" s="1">
        <f t="shared" si="196"/>
        <v>-9.2874331381684243</v>
      </c>
      <c r="F1136" s="1">
        <f t="shared" si="197"/>
        <v>-11.623142852698155</v>
      </c>
      <c r="G1136" s="1">
        <f t="shared" si="194"/>
        <v>8.9563941311512999E-6</v>
      </c>
      <c r="H1136" s="1">
        <f t="shared" si="187"/>
        <v>9.2108367972235046E-8</v>
      </c>
      <c r="I1136">
        <f t="shared" si="188"/>
        <v>10</v>
      </c>
      <c r="J1136">
        <f t="shared" si="189"/>
        <v>1099</v>
      </c>
      <c r="K1136" s="5">
        <f t="shared" si="190"/>
        <v>0</v>
      </c>
      <c r="L1136">
        <f t="shared" si="191"/>
        <v>95</v>
      </c>
      <c r="M1136">
        <f t="shared" si="192"/>
        <v>1</v>
      </c>
      <c r="N1136">
        <f t="shared" si="193"/>
        <v>0</v>
      </c>
    </row>
    <row r="1137" spans="4:14" x14ac:dyDescent="0.2">
      <c r="D1137">
        <f t="shared" si="195"/>
        <v>1114</v>
      </c>
      <c r="E1137" s="1">
        <f t="shared" si="196"/>
        <v>-9.2979044380357205</v>
      </c>
      <c r="F1137" s="1">
        <f t="shared" si="197"/>
        <v>-11.63361415256545</v>
      </c>
      <c r="G1137" s="1">
        <f t="shared" si="194"/>
        <v>8.8630983589518152E-6</v>
      </c>
      <c r="H1137" s="1">
        <f t="shared" si="187"/>
        <v>9.1148905805857674E-8</v>
      </c>
      <c r="I1137">
        <f t="shared" si="188"/>
        <v>10</v>
      </c>
      <c r="J1137">
        <f t="shared" si="189"/>
        <v>1100</v>
      </c>
      <c r="K1137" s="5">
        <f t="shared" si="190"/>
        <v>0</v>
      </c>
      <c r="L1137">
        <f t="shared" si="191"/>
        <v>95</v>
      </c>
      <c r="M1137">
        <f t="shared" si="192"/>
        <v>1</v>
      </c>
      <c r="N1137">
        <f t="shared" si="193"/>
        <v>0</v>
      </c>
    </row>
    <row r="1138" spans="4:14" x14ac:dyDescent="0.2">
      <c r="D1138">
        <f t="shared" si="195"/>
        <v>1115</v>
      </c>
      <c r="E1138" s="1">
        <f t="shared" si="196"/>
        <v>-9.3083757379030168</v>
      </c>
      <c r="F1138" s="1">
        <f t="shared" si="197"/>
        <v>-11.644085452432748</v>
      </c>
      <c r="G1138" s="1">
        <f t="shared" si="194"/>
        <v>8.7707744177127103E-6</v>
      </c>
      <c r="H1138" s="1">
        <f t="shared" si="187"/>
        <v>9.0199438037046415E-8</v>
      </c>
      <c r="I1138">
        <f t="shared" si="188"/>
        <v>10</v>
      </c>
      <c r="J1138">
        <f t="shared" si="189"/>
        <v>1101</v>
      </c>
      <c r="K1138" s="5">
        <f t="shared" si="190"/>
        <v>0</v>
      </c>
      <c r="L1138">
        <f t="shared" si="191"/>
        <v>95</v>
      </c>
      <c r="M1138">
        <f t="shared" si="192"/>
        <v>1</v>
      </c>
      <c r="N1138">
        <f t="shared" si="193"/>
        <v>0</v>
      </c>
    </row>
    <row r="1139" spans="4:14" x14ac:dyDescent="0.2">
      <c r="D1139">
        <f t="shared" si="195"/>
        <v>1116</v>
      </c>
      <c r="E1139" s="1">
        <f t="shared" si="196"/>
        <v>-9.318847037770313</v>
      </c>
      <c r="F1139" s="1">
        <f t="shared" si="197"/>
        <v>-11.654556752300042</v>
      </c>
      <c r="G1139" s="1">
        <f t="shared" si="194"/>
        <v>8.6794121841948782E-6</v>
      </c>
      <c r="H1139" s="1">
        <f t="shared" si="187"/>
        <v>8.925986055749394E-8</v>
      </c>
      <c r="I1139">
        <f t="shared" si="188"/>
        <v>10</v>
      </c>
      <c r="J1139">
        <f t="shared" si="189"/>
        <v>1102</v>
      </c>
      <c r="K1139" s="5">
        <f t="shared" si="190"/>
        <v>0</v>
      </c>
      <c r="L1139">
        <f t="shared" si="191"/>
        <v>95</v>
      </c>
      <c r="M1139">
        <f t="shared" si="192"/>
        <v>1</v>
      </c>
      <c r="N1139">
        <f t="shared" si="193"/>
        <v>0</v>
      </c>
    </row>
    <row r="1140" spans="4:14" x14ac:dyDescent="0.2">
      <c r="D1140">
        <f t="shared" si="195"/>
        <v>1117</v>
      </c>
      <c r="E1140" s="1">
        <f t="shared" si="196"/>
        <v>-9.3293183376376092</v>
      </c>
      <c r="F1140" s="1">
        <f t="shared" si="197"/>
        <v>-11.66502805216734</v>
      </c>
      <c r="G1140" s="1">
        <f t="shared" si="194"/>
        <v>8.589001640609493E-6</v>
      </c>
      <c r="H1140" s="1">
        <f t="shared" si="187"/>
        <v>8.8330070343353156E-8</v>
      </c>
      <c r="I1140">
        <f t="shared" si="188"/>
        <v>10</v>
      </c>
      <c r="J1140">
        <f t="shared" si="189"/>
        <v>1103</v>
      </c>
      <c r="K1140" s="5">
        <f t="shared" si="190"/>
        <v>0</v>
      </c>
      <c r="L1140">
        <f t="shared" si="191"/>
        <v>95</v>
      </c>
      <c r="M1140">
        <f t="shared" si="192"/>
        <v>1</v>
      </c>
      <c r="N1140">
        <f t="shared" si="193"/>
        <v>0</v>
      </c>
    </row>
    <row r="1141" spans="4:14" x14ac:dyDescent="0.2">
      <c r="D1141">
        <f t="shared" si="195"/>
        <v>1118</v>
      </c>
      <c r="E1141" s="1">
        <f t="shared" si="196"/>
        <v>-9.3397896375049054</v>
      </c>
      <c r="F1141" s="1">
        <f t="shared" si="197"/>
        <v>-11.675499352034635</v>
      </c>
      <c r="G1141" s="1">
        <f t="shared" si="194"/>
        <v>8.4995328735198197E-6</v>
      </c>
      <c r="H1141" s="1">
        <f t="shared" si="187"/>
        <v>8.7409965443943314E-8</v>
      </c>
      <c r="I1141">
        <f t="shared" si="188"/>
        <v>10</v>
      </c>
      <c r="J1141">
        <f t="shared" si="189"/>
        <v>1104</v>
      </c>
      <c r="K1141" s="5">
        <f t="shared" si="190"/>
        <v>0</v>
      </c>
      <c r="L1141">
        <f t="shared" si="191"/>
        <v>95</v>
      </c>
      <c r="M1141">
        <f t="shared" si="192"/>
        <v>1</v>
      </c>
      <c r="N1141">
        <f t="shared" si="193"/>
        <v>0</v>
      </c>
    </row>
    <row r="1142" spans="4:14" x14ac:dyDescent="0.2">
      <c r="D1142">
        <f t="shared" si="195"/>
        <v>1119</v>
      </c>
      <c r="E1142" s="1">
        <f t="shared" si="196"/>
        <v>-9.3502609373722017</v>
      </c>
      <c r="F1142" s="1">
        <f t="shared" si="197"/>
        <v>-11.685970651901933</v>
      </c>
      <c r="G1142" s="1">
        <f t="shared" si="194"/>
        <v>8.4109960727539658E-6</v>
      </c>
      <c r="H1142" s="1">
        <f t="shared" si="187"/>
        <v>8.6499444970568674E-8</v>
      </c>
      <c r="I1142">
        <f t="shared" si="188"/>
        <v>10</v>
      </c>
      <c r="J1142">
        <f t="shared" si="189"/>
        <v>1105</v>
      </c>
      <c r="K1142" s="5">
        <f t="shared" si="190"/>
        <v>0</v>
      </c>
      <c r="L1142">
        <f t="shared" si="191"/>
        <v>95</v>
      </c>
      <c r="M1142">
        <f t="shared" si="192"/>
        <v>1</v>
      </c>
      <c r="N1142">
        <f t="shared" si="193"/>
        <v>0</v>
      </c>
    </row>
    <row r="1143" spans="4:14" x14ac:dyDescent="0.2">
      <c r="D1143">
        <f t="shared" si="195"/>
        <v>1120</v>
      </c>
      <c r="E1143" s="1">
        <f t="shared" si="196"/>
        <v>-9.3607322372394979</v>
      </c>
      <c r="F1143" s="1">
        <f t="shared" si="197"/>
        <v>-11.696441951769227</v>
      </c>
      <c r="G1143" s="1">
        <f t="shared" si="194"/>
        <v>8.323381530329453E-6</v>
      </c>
      <c r="H1143" s="1">
        <f t="shared" si="187"/>
        <v>8.5598409085458661E-8</v>
      </c>
      <c r="I1143">
        <f t="shared" si="188"/>
        <v>10</v>
      </c>
      <c r="J1143">
        <f t="shared" si="189"/>
        <v>1106</v>
      </c>
      <c r="K1143" s="5">
        <f t="shared" si="190"/>
        <v>0</v>
      </c>
      <c r="L1143">
        <f t="shared" si="191"/>
        <v>95</v>
      </c>
      <c r="M1143">
        <f t="shared" si="192"/>
        <v>1</v>
      </c>
      <c r="N1143">
        <f t="shared" si="193"/>
        <v>0</v>
      </c>
    </row>
    <row r="1144" spans="4:14" x14ac:dyDescent="0.2">
      <c r="D1144">
        <f t="shared" si="195"/>
        <v>1121</v>
      </c>
      <c r="E1144" s="1">
        <f t="shared" si="196"/>
        <v>-9.3712035371067941</v>
      </c>
      <c r="F1144" s="1">
        <f t="shared" si="197"/>
        <v>-11.706913251636525</v>
      </c>
      <c r="G1144" s="1">
        <f t="shared" si="194"/>
        <v>8.2366796393884999E-6</v>
      </c>
      <c r="H1144" s="1">
        <f t="shared" si="187"/>
        <v>8.4706758990818247E-8</v>
      </c>
      <c r="I1144">
        <f t="shared" si="188"/>
        <v>10</v>
      </c>
      <c r="J1144">
        <f t="shared" si="189"/>
        <v>1107</v>
      </c>
      <c r="K1144" s="5">
        <f t="shared" si="190"/>
        <v>0</v>
      </c>
      <c r="L1144">
        <f t="shared" si="191"/>
        <v>95</v>
      </c>
      <c r="M1144">
        <f t="shared" si="192"/>
        <v>1</v>
      </c>
      <c r="N1144">
        <f t="shared" si="193"/>
        <v>0</v>
      </c>
    </row>
    <row r="1145" spans="4:14" x14ac:dyDescent="0.2">
      <c r="D1145">
        <f t="shared" si="195"/>
        <v>1122</v>
      </c>
      <c r="E1145" s="1">
        <f t="shared" si="196"/>
        <v>-9.3816748369740903</v>
      </c>
      <c r="F1145" s="1">
        <f t="shared" si="197"/>
        <v>-11.71738455150382</v>
      </c>
      <c r="G1145" s="1">
        <f t="shared" si="194"/>
        <v>8.1508808931448776E-6</v>
      </c>
      <c r="H1145" s="1">
        <f t="shared" si="187"/>
        <v>8.3824396917997305E-8</v>
      </c>
      <c r="I1145">
        <f t="shared" si="188"/>
        <v>10</v>
      </c>
      <c r="J1145">
        <f t="shared" si="189"/>
        <v>1108</v>
      </c>
      <c r="K1145" s="5">
        <f t="shared" si="190"/>
        <v>0</v>
      </c>
      <c r="L1145">
        <f t="shared" si="191"/>
        <v>95</v>
      </c>
      <c r="M1145">
        <f t="shared" si="192"/>
        <v>1</v>
      </c>
      <c r="N1145">
        <f t="shared" si="193"/>
        <v>0</v>
      </c>
    </row>
    <row r="1146" spans="4:14" x14ac:dyDescent="0.2">
      <c r="D1146">
        <f t="shared" si="195"/>
        <v>1123</v>
      </c>
      <c r="E1146" s="1">
        <f t="shared" si="196"/>
        <v>-9.3921461368413866</v>
      </c>
      <c r="F1146" s="1">
        <f t="shared" si="197"/>
        <v>-11.727855851371118</v>
      </c>
      <c r="G1146" s="1">
        <f t="shared" si="194"/>
        <v>8.065975883841264E-6</v>
      </c>
      <c r="H1146" s="1">
        <f t="shared" si="187"/>
        <v>8.2951226116767951E-8</v>
      </c>
      <c r="I1146">
        <f t="shared" si="188"/>
        <v>10</v>
      </c>
      <c r="J1146">
        <f t="shared" si="189"/>
        <v>1109</v>
      </c>
      <c r="K1146" s="5">
        <f t="shared" si="190"/>
        <v>0</v>
      </c>
      <c r="L1146">
        <f t="shared" si="191"/>
        <v>95</v>
      </c>
      <c r="M1146">
        <f t="shared" si="192"/>
        <v>1</v>
      </c>
      <c r="N1146">
        <f t="shared" si="193"/>
        <v>0</v>
      </c>
    </row>
    <row r="1147" spans="4:14" x14ac:dyDescent="0.2">
      <c r="D1147">
        <f t="shared" si="195"/>
        <v>1124</v>
      </c>
      <c r="E1147" s="1">
        <f t="shared" si="196"/>
        <v>-9.4026174367086828</v>
      </c>
      <c r="F1147" s="1">
        <f t="shared" si="197"/>
        <v>-11.738327151238412</v>
      </c>
      <c r="G1147" s="1">
        <f t="shared" si="194"/>
        <v>7.981955301717926E-6</v>
      </c>
      <c r="H1147" s="1">
        <f t="shared" si="187"/>
        <v>8.2087150844718377E-8</v>
      </c>
      <c r="I1147">
        <f t="shared" si="188"/>
        <v>10</v>
      </c>
      <c r="J1147">
        <f t="shared" si="189"/>
        <v>1110</v>
      </c>
      <c r="K1147" s="5">
        <f t="shared" si="190"/>
        <v>0</v>
      </c>
      <c r="L1147">
        <f t="shared" si="191"/>
        <v>95</v>
      </c>
      <c r="M1147">
        <f t="shared" si="192"/>
        <v>1</v>
      </c>
      <c r="N1147">
        <f t="shared" si="193"/>
        <v>0</v>
      </c>
    </row>
    <row r="1148" spans="4:14" x14ac:dyDescent="0.2">
      <c r="D1148">
        <f t="shared" si="195"/>
        <v>1125</v>
      </c>
      <c r="E1148" s="1">
        <f t="shared" si="196"/>
        <v>-9.413088736575979</v>
      </c>
      <c r="F1148" s="1">
        <f t="shared" si="197"/>
        <v>-11.74879845110571</v>
      </c>
      <c r="G1148" s="1">
        <f t="shared" si="194"/>
        <v>7.8988099339916765E-6</v>
      </c>
      <c r="H1148" s="1">
        <f t="shared" si="187"/>
        <v>8.1232076356752338E-8</v>
      </c>
      <c r="I1148">
        <f t="shared" si="188"/>
        <v>10</v>
      </c>
      <c r="J1148">
        <f t="shared" si="189"/>
        <v>1111</v>
      </c>
      <c r="K1148" s="5">
        <f t="shared" si="190"/>
        <v>0</v>
      </c>
      <c r="L1148">
        <f t="shared" si="191"/>
        <v>95</v>
      </c>
      <c r="M1148">
        <f t="shared" si="192"/>
        <v>1</v>
      </c>
      <c r="N1148">
        <f t="shared" si="193"/>
        <v>0</v>
      </c>
    </row>
    <row r="1149" spans="4:14" x14ac:dyDescent="0.2">
      <c r="D1149">
        <f t="shared" si="195"/>
        <v>1126</v>
      </c>
      <c r="E1149" s="1">
        <f t="shared" si="196"/>
        <v>-9.4235600364432752</v>
      </c>
      <c r="F1149" s="1">
        <f t="shared" si="197"/>
        <v>-11.759269750973004</v>
      </c>
      <c r="G1149" s="1">
        <f t="shared" si="194"/>
        <v>7.8165306638459373E-6</v>
      </c>
      <c r="H1149" s="1">
        <f t="shared" si="187"/>
        <v>8.0385908894702916E-8</v>
      </c>
      <c r="I1149">
        <f t="shared" si="188"/>
        <v>10</v>
      </c>
      <c r="J1149">
        <f t="shared" si="189"/>
        <v>1112</v>
      </c>
      <c r="K1149" s="5">
        <f t="shared" si="190"/>
        <v>0</v>
      </c>
      <c r="L1149">
        <f t="shared" si="191"/>
        <v>95</v>
      </c>
      <c r="M1149">
        <f t="shared" si="192"/>
        <v>1</v>
      </c>
      <c r="N1149">
        <f t="shared" si="193"/>
        <v>0</v>
      </c>
    </row>
    <row r="1150" spans="4:14" x14ac:dyDescent="0.2">
      <c r="D1150">
        <f t="shared" si="195"/>
        <v>1127</v>
      </c>
      <c r="E1150" s="1">
        <f t="shared" si="196"/>
        <v>-9.4340313363105714</v>
      </c>
      <c r="F1150" s="1">
        <f t="shared" si="197"/>
        <v>-11.769741050840302</v>
      </c>
      <c r="G1150" s="1">
        <f t="shared" si="194"/>
        <v>7.7351084694308551E-6</v>
      </c>
      <c r="H1150" s="1">
        <f t="shared" si="187"/>
        <v>7.9548555677049548E-8</v>
      </c>
      <c r="I1150">
        <f t="shared" si="188"/>
        <v>10</v>
      </c>
      <c r="J1150">
        <f t="shared" si="189"/>
        <v>1113</v>
      </c>
      <c r="K1150" s="5">
        <f t="shared" si="190"/>
        <v>0</v>
      </c>
      <c r="L1150">
        <f t="shared" si="191"/>
        <v>95</v>
      </c>
      <c r="M1150">
        <f t="shared" si="192"/>
        <v>1</v>
      </c>
      <c r="N1150">
        <f t="shared" si="193"/>
        <v>0</v>
      </c>
    </row>
    <row r="1151" spans="4:14" x14ac:dyDescent="0.2">
      <c r="D1151">
        <f t="shared" si="195"/>
        <v>1128</v>
      </c>
      <c r="E1151" s="1">
        <f t="shared" si="196"/>
        <v>-9.4445026361778677</v>
      </c>
      <c r="F1151" s="1">
        <f t="shared" si="197"/>
        <v>-11.780212350707597</v>
      </c>
      <c r="G1151" s="1">
        <f t="shared" si="194"/>
        <v>7.6545344228742912E-6</v>
      </c>
      <c r="H1151" s="1">
        <f t="shared" si="187"/>
        <v>7.8719924888747025E-8</v>
      </c>
      <c r="I1151">
        <f t="shared" si="188"/>
        <v>10</v>
      </c>
      <c r="J1151">
        <f t="shared" si="189"/>
        <v>1114</v>
      </c>
      <c r="K1151" s="5">
        <f t="shared" si="190"/>
        <v>0</v>
      </c>
      <c r="L1151">
        <f t="shared" si="191"/>
        <v>95</v>
      </c>
      <c r="M1151">
        <f t="shared" si="192"/>
        <v>1</v>
      </c>
      <c r="N1151">
        <f t="shared" si="193"/>
        <v>0</v>
      </c>
    </row>
    <row r="1152" spans="4:14" x14ac:dyDescent="0.2">
      <c r="D1152">
        <f t="shared" si="195"/>
        <v>1129</v>
      </c>
      <c r="E1152" s="1">
        <f t="shared" si="196"/>
        <v>-9.4549739360451639</v>
      </c>
      <c r="F1152" s="1">
        <f t="shared" si="197"/>
        <v>-11.790683650574895</v>
      </c>
      <c r="G1152" s="1">
        <f t="shared" si="194"/>
        <v>7.5747996893026643E-6</v>
      </c>
      <c r="H1152" s="1">
        <f t="shared" si="187"/>
        <v>7.789992567115571E-8</v>
      </c>
      <c r="I1152">
        <f t="shared" si="188"/>
        <v>10</v>
      </c>
      <c r="J1152">
        <f t="shared" si="189"/>
        <v>1115</v>
      </c>
      <c r="K1152" s="5">
        <f t="shared" si="190"/>
        <v>0</v>
      </c>
      <c r="L1152">
        <f t="shared" si="191"/>
        <v>95</v>
      </c>
      <c r="M1152">
        <f t="shared" si="192"/>
        <v>1</v>
      </c>
      <c r="N1152">
        <f t="shared" si="193"/>
        <v>0</v>
      </c>
    </row>
    <row r="1153" spans="4:14" x14ac:dyDescent="0.2">
      <c r="D1153">
        <f t="shared" si="195"/>
        <v>1130</v>
      </c>
      <c r="E1153" s="1">
        <f t="shared" si="196"/>
        <v>-9.4654452359124601</v>
      </c>
      <c r="F1153" s="1">
        <f t="shared" si="197"/>
        <v>-11.801154950442189</v>
      </c>
      <c r="G1153" s="1">
        <f t="shared" si="194"/>
        <v>7.4958955258724357E-6</v>
      </c>
      <c r="H1153" s="1">
        <f t="shared" si="187"/>
        <v>7.7088468112081251E-8</v>
      </c>
      <c r="I1153">
        <f t="shared" si="188"/>
        <v>10</v>
      </c>
      <c r="J1153">
        <f t="shared" si="189"/>
        <v>1116</v>
      </c>
      <c r="K1153" s="5">
        <f t="shared" si="190"/>
        <v>0</v>
      </c>
      <c r="L1153">
        <f t="shared" si="191"/>
        <v>95</v>
      </c>
      <c r="M1153">
        <f t="shared" si="192"/>
        <v>1</v>
      </c>
      <c r="N1153">
        <f t="shared" si="193"/>
        <v>0</v>
      </c>
    </row>
    <row r="1154" spans="4:14" x14ac:dyDescent="0.2">
      <c r="D1154">
        <f t="shared" si="195"/>
        <v>1131</v>
      </c>
      <c r="E1154" s="1">
        <f t="shared" si="196"/>
        <v>-9.4759165357797563</v>
      </c>
      <c r="F1154" s="1">
        <f t="shared" si="197"/>
        <v>-11.811626250309487</v>
      </c>
      <c r="G1154" s="1">
        <f t="shared" si="194"/>
        <v>7.4178132808112452E-6</v>
      </c>
      <c r="H1154" s="1">
        <f t="shared" si="187"/>
        <v>7.6285463235913535E-8</v>
      </c>
      <c r="I1154">
        <f t="shared" si="188"/>
        <v>10</v>
      </c>
      <c r="J1154">
        <f t="shared" si="189"/>
        <v>1117</v>
      </c>
      <c r="K1154" s="5">
        <f t="shared" si="190"/>
        <v>0</v>
      </c>
      <c r="L1154">
        <f t="shared" si="191"/>
        <v>95</v>
      </c>
      <c r="M1154">
        <f t="shared" si="192"/>
        <v>1</v>
      </c>
      <c r="N1154">
        <f t="shared" si="193"/>
        <v>0</v>
      </c>
    </row>
    <row r="1155" spans="4:14" x14ac:dyDescent="0.2">
      <c r="D1155">
        <f t="shared" si="195"/>
        <v>1132</v>
      </c>
      <c r="E1155" s="1">
        <f t="shared" si="196"/>
        <v>-9.4863878356470526</v>
      </c>
      <c r="F1155" s="1">
        <f t="shared" si="197"/>
        <v>-11.822097550176782</v>
      </c>
      <c r="G1155" s="1">
        <f t="shared" si="194"/>
        <v>7.3405443924694684E-6</v>
      </c>
      <c r="H1155" s="1">
        <f t="shared" si="187"/>
        <v>7.5490822993872846E-8</v>
      </c>
      <c r="I1155">
        <f t="shared" si="188"/>
        <v>10</v>
      </c>
      <c r="J1155">
        <f t="shared" si="189"/>
        <v>1118</v>
      </c>
      <c r="K1155" s="5">
        <f t="shared" si="190"/>
        <v>0</v>
      </c>
      <c r="L1155">
        <f t="shared" si="191"/>
        <v>95</v>
      </c>
      <c r="M1155">
        <f t="shared" si="192"/>
        <v>1</v>
      </c>
      <c r="N1155">
        <f t="shared" si="193"/>
        <v>0</v>
      </c>
    </row>
    <row r="1156" spans="4:14" x14ac:dyDescent="0.2">
      <c r="D1156">
        <f t="shared" si="195"/>
        <v>1133</v>
      </c>
      <c r="E1156" s="1">
        <f t="shared" si="196"/>
        <v>-9.4968591355143488</v>
      </c>
      <c r="F1156" s="1">
        <f t="shared" si="197"/>
        <v>-11.83256885004408</v>
      </c>
      <c r="G1156" s="1">
        <f t="shared" si="194"/>
        <v>7.2640803883812259E-6</v>
      </c>
      <c r="H1156" s="1">
        <f t="shared" si="187"/>
        <v>7.4704460254353134E-8</v>
      </c>
      <c r="I1156">
        <f t="shared" si="188"/>
        <v>10</v>
      </c>
      <c r="J1156">
        <f t="shared" si="189"/>
        <v>1119</v>
      </c>
      <c r="K1156" s="5">
        <f t="shared" si="190"/>
        <v>0</v>
      </c>
      <c r="L1156">
        <f t="shared" si="191"/>
        <v>95</v>
      </c>
      <c r="M1156">
        <f t="shared" si="192"/>
        <v>1</v>
      </c>
      <c r="N1156">
        <f t="shared" si="193"/>
        <v>0</v>
      </c>
    </row>
    <row r="1157" spans="4:14" x14ac:dyDescent="0.2">
      <c r="D1157">
        <f t="shared" si="195"/>
        <v>1134</v>
      </c>
      <c r="E1157" s="1">
        <f t="shared" si="196"/>
        <v>-9.507330435381645</v>
      </c>
      <c r="F1157" s="1">
        <f t="shared" si="197"/>
        <v>-11.843040149911374</v>
      </c>
      <c r="G1157" s="1">
        <f t="shared" si="194"/>
        <v>7.1884128843355947E-6</v>
      </c>
      <c r="H1157" s="1">
        <f t="shared" si="187"/>
        <v>7.3926288793370362E-8</v>
      </c>
      <c r="I1157">
        <f t="shared" si="188"/>
        <v>10</v>
      </c>
      <c r="J1157">
        <f t="shared" si="189"/>
        <v>1120</v>
      </c>
      <c r="K1157" s="5">
        <f t="shared" si="190"/>
        <v>0</v>
      </c>
      <c r="L1157">
        <f t="shared" si="191"/>
        <v>95</v>
      </c>
      <c r="M1157">
        <f t="shared" si="192"/>
        <v>1</v>
      </c>
      <c r="N1157">
        <f t="shared" si="193"/>
        <v>0</v>
      </c>
    </row>
    <row r="1158" spans="4:14" x14ac:dyDescent="0.2">
      <c r="D1158">
        <f t="shared" si="195"/>
        <v>1135</v>
      </c>
      <c r="E1158" s="1">
        <f t="shared" si="196"/>
        <v>-9.5178017352489412</v>
      </c>
      <c r="F1158" s="1">
        <f t="shared" si="197"/>
        <v>-11.853511449778672</v>
      </c>
      <c r="G1158" s="1">
        <f t="shared" si="194"/>
        <v>7.1135335834570803E-6</v>
      </c>
      <c r="H1158" s="1">
        <f t="shared" si="187"/>
        <v>7.3156223285105889E-8</v>
      </c>
      <c r="I1158">
        <f t="shared" si="188"/>
        <v>10</v>
      </c>
      <c r="J1158">
        <f t="shared" si="189"/>
        <v>1121</v>
      </c>
      <c r="K1158" s="5">
        <f t="shared" si="190"/>
        <v>0</v>
      </c>
      <c r="L1158">
        <f t="shared" si="191"/>
        <v>95</v>
      </c>
      <c r="M1158">
        <f t="shared" si="192"/>
        <v>1</v>
      </c>
      <c r="N1158">
        <f t="shared" si="193"/>
        <v>0</v>
      </c>
    </row>
    <row r="1159" spans="4:14" x14ac:dyDescent="0.2">
      <c r="D1159">
        <f t="shared" si="195"/>
        <v>1136</v>
      </c>
      <c r="E1159" s="1">
        <f t="shared" si="196"/>
        <v>-9.5282730351162375</v>
      </c>
      <c r="F1159" s="1">
        <f t="shared" si="197"/>
        <v>-11.863982749645967</v>
      </c>
      <c r="G1159" s="1">
        <f t="shared" si="194"/>
        <v>7.0394342752960759E-6</v>
      </c>
      <c r="H1159" s="1">
        <f t="shared" si="187"/>
        <v>7.2394179292552786E-8</v>
      </c>
      <c r="I1159">
        <f t="shared" si="188"/>
        <v>10</v>
      </c>
      <c r="J1159">
        <f t="shared" si="189"/>
        <v>1122</v>
      </c>
      <c r="K1159" s="5">
        <f t="shared" si="190"/>
        <v>0</v>
      </c>
      <c r="L1159">
        <f t="shared" si="191"/>
        <v>95</v>
      </c>
      <c r="M1159">
        <f t="shared" si="192"/>
        <v>1</v>
      </c>
      <c r="N1159">
        <f t="shared" si="193"/>
        <v>0</v>
      </c>
    </row>
    <row r="1160" spans="4:14" x14ac:dyDescent="0.2">
      <c r="D1160">
        <f t="shared" si="195"/>
        <v>1137</v>
      </c>
      <c r="E1160" s="1">
        <f t="shared" si="196"/>
        <v>-9.5387443349835337</v>
      </c>
      <c r="F1160" s="1">
        <f t="shared" si="197"/>
        <v>-11.874454049513265</v>
      </c>
      <c r="G1160" s="1">
        <f t="shared" si="194"/>
        <v>6.9661068349283906E-6</v>
      </c>
      <c r="H1160" s="1">
        <f t="shared" si="187"/>
        <v>7.1640073258255169E-8</v>
      </c>
      <c r="I1160">
        <f t="shared" si="188"/>
        <v>10</v>
      </c>
      <c r="J1160">
        <f t="shared" si="189"/>
        <v>1123</v>
      </c>
      <c r="K1160" s="5">
        <f t="shared" si="190"/>
        <v>0</v>
      </c>
      <c r="L1160">
        <f t="shared" si="191"/>
        <v>95</v>
      </c>
      <c r="M1160">
        <f t="shared" si="192"/>
        <v>1</v>
      </c>
      <c r="N1160">
        <f t="shared" si="193"/>
        <v>0</v>
      </c>
    </row>
    <row r="1161" spans="4:14" x14ac:dyDescent="0.2">
      <c r="D1161">
        <f t="shared" si="195"/>
        <v>1138</v>
      </c>
      <c r="E1161" s="1">
        <f t="shared" si="196"/>
        <v>-9.5492156348508299</v>
      </c>
      <c r="F1161" s="1">
        <f t="shared" si="197"/>
        <v>-11.884925349380559</v>
      </c>
      <c r="G1161" s="1">
        <f t="shared" si="194"/>
        <v>6.8935432220645596E-6</v>
      </c>
      <c r="H1161" s="1">
        <f t="shared" si="187"/>
        <v>7.0893822495148411E-8</v>
      </c>
      <c r="I1161">
        <f t="shared" si="188"/>
        <v>10</v>
      </c>
      <c r="J1161">
        <f t="shared" si="189"/>
        <v>1124</v>
      </c>
      <c r="K1161" s="5">
        <f t="shared" si="190"/>
        <v>0</v>
      </c>
      <c r="L1161">
        <f t="shared" si="191"/>
        <v>95</v>
      </c>
      <c r="M1161">
        <f t="shared" si="192"/>
        <v>1</v>
      </c>
      <c r="N1161">
        <f t="shared" si="193"/>
        <v>0</v>
      </c>
    </row>
    <row r="1162" spans="4:14" x14ac:dyDescent="0.2">
      <c r="D1162">
        <f t="shared" si="195"/>
        <v>1139</v>
      </c>
      <c r="E1162" s="1">
        <f t="shared" si="196"/>
        <v>-9.5596869347181261</v>
      </c>
      <c r="F1162" s="1">
        <f t="shared" si="197"/>
        <v>-11.895396649247857</v>
      </c>
      <c r="G1162" s="1">
        <f t="shared" si="194"/>
        <v>6.8217354801680363E-6</v>
      </c>
      <c r="H1162" s="1">
        <f t="shared" si="187"/>
        <v>7.0155345177490436E-8</v>
      </c>
      <c r="I1162">
        <f t="shared" si="188"/>
        <v>10</v>
      </c>
      <c r="J1162">
        <f t="shared" si="189"/>
        <v>1125</v>
      </c>
      <c r="K1162" s="5">
        <f t="shared" si="190"/>
        <v>0</v>
      </c>
      <c r="L1162">
        <f t="shared" si="191"/>
        <v>95</v>
      </c>
      <c r="M1162">
        <f t="shared" si="192"/>
        <v>1</v>
      </c>
      <c r="N1162">
        <f t="shared" si="193"/>
        <v>0</v>
      </c>
    </row>
    <row r="1163" spans="4:14" x14ac:dyDescent="0.2">
      <c r="D1163">
        <f t="shared" si="195"/>
        <v>1140</v>
      </c>
      <c r="E1163" s="1">
        <f t="shared" si="196"/>
        <v>-9.5701582345854224</v>
      </c>
      <c r="F1163" s="1">
        <f t="shared" si="197"/>
        <v>-11.905867949115152</v>
      </c>
      <c r="G1163" s="1">
        <f t="shared" si="194"/>
        <v>6.7506757355829588E-6</v>
      </c>
      <c r="H1163" s="1">
        <f t="shared" si="187"/>
        <v>6.9424560331891643E-8</v>
      </c>
      <c r="I1163">
        <f t="shared" si="188"/>
        <v>10</v>
      </c>
      <c r="J1163">
        <f t="shared" si="189"/>
        <v>1126</v>
      </c>
      <c r="K1163" s="5">
        <f t="shared" si="190"/>
        <v>0</v>
      </c>
      <c r="L1163">
        <f t="shared" si="191"/>
        <v>95</v>
      </c>
      <c r="M1163">
        <f t="shared" si="192"/>
        <v>1</v>
      </c>
      <c r="N1163">
        <f t="shared" si="193"/>
        <v>0</v>
      </c>
    </row>
    <row r="1164" spans="4:14" x14ac:dyDescent="0.2">
      <c r="D1164">
        <f t="shared" si="195"/>
        <v>1141</v>
      </c>
      <c r="E1164" s="1">
        <f t="shared" si="196"/>
        <v>-9.5806295344527186</v>
      </c>
      <c r="F1164" s="1">
        <f t="shared" si="197"/>
        <v>-11.91633924898245</v>
      </c>
      <c r="G1164" s="1">
        <f t="shared" si="194"/>
        <v>6.6803561966706192E-6</v>
      </c>
      <c r="H1164" s="1">
        <f t="shared" si="187"/>
        <v>6.8701387828434263E-8</v>
      </c>
      <c r="I1164">
        <f t="shared" si="188"/>
        <v>10</v>
      </c>
      <c r="J1164">
        <f t="shared" si="189"/>
        <v>1127</v>
      </c>
      <c r="K1164" s="5">
        <f t="shared" si="190"/>
        <v>0</v>
      </c>
      <c r="L1164">
        <f t="shared" si="191"/>
        <v>95</v>
      </c>
      <c r="M1164">
        <f t="shared" si="192"/>
        <v>1</v>
      </c>
      <c r="N1164">
        <f t="shared" si="193"/>
        <v>0</v>
      </c>
    </row>
    <row r="1165" spans="4:14" x14ac:dyDescent="0.2">
      <c r="D1165">
        <f t="shared" si="195"/>
        <v>1142</v>
      </c>
      <c r="E1165" s="1">
        <f t="shared" si="196"/>
        <v>-9.5911008343200148</v>
      </c>
      <c r="F1165" s="1">
        <f t="shared" si="197"/>
        <v>-11.926810548849744</v>
      </c>
      <c r="G1165" s="1">
        <f t="shared" si="194"/>
        <v>6.610769152955306E-6</v>
      </c>
      <c r="H1165" s="1">
        <f t="shared" si="187"/>
        <v>6.7985748371888131E-8</v>
      </c>
      <c r="I1165">
        <f t="shared" si="188"/>
        <v>10</v>
      </c>
      <c r="J1165">
        <f t="shared" si="189"/>
        <v>1128</v>
      </c>
      <c r="K1165" s="5">
        <f t="shared" si="190"/>
        <v>0</v>
      </c>
      <c r="L1165">
        <f t="shared" si="191"/>
        <v>95</v>
      </c>
      <c r="M1165">
        <f t="shared" si="192"/>
        <v>1</v>
      </c>
      <c r="N1165">
        <f t="shared" si="193"/>
        <v>0</v>
      </c>
    </row>
    <row r="1166" spans="4:14" x14ac:dyDescent="0.2">
      <c r="D1166">
        <f t="shared" si="195"/>
        <v>1143</v>
      </c>
      <c r="E1166" s="1">
        <f t="shared" si="196"/>
        <v>-9.601572134187311</v>
      </c>
      <c r="F1166" s="1">
        <f t="shared" si="197"/>
        <v>-11.937281848717042</v>
      </c>
      <c r="G1166" s="1">
        <f t="shared" si="194"/>
        <v>6.5419069742786714E-6</v>
      </c>
      <c r="H1166" s="1">
        <f t="shared" si="187"/>
        <v>6.7277563493014116E-8</v>
      </c>
      <c r="I1166">
        <f t="shared" si="188"/>
        <v>10</v>
      </c>
      <c r="J1166">
        <f t="shared" si="189"/>
        <v>1129</v>
      </c>
      <c r="K1166" s="5">
        <f t="shared" si="190"/>
        <v>0</v>
      </c>
      <c r="L1166">
        <f t="shared" si="191"/>
        <v>95</v>
      </c>
      <c r="M1166">
        <f t="shared" si="192"/>
        <v>1</v>
      </c>
      <c r="N1166">
        <f t="shared" si="193"/>
        <v>0</v>
      </c>
    </row>
    <row r="1167" spans="4:14" x14ac:dyDescent="0.2">
      <c r="D1167">
        <f t="shared" si="195"/>
        <v>1144</v>
      </c>
      <c r="E1167" s="1">
        <f t="shared" si="196"/>
        <v>-9.6120434340546073</v>
      </c>
      <c r="F1167" s="1">
        <f t="shared" si="197"/>
        <v>-11.947753148584336</v>
      </c>
      <c r="G1167" s="1">
        <f t="shared" si="194"/>
        <v>6.4737621099632749E-6</v>
      </c>
      <c r="H1167" s="1">
        <f t="shared" si="187"/>
        <v>6.6576755539961957E-8</v>
      </c>
      <c r="I1167">
        <f t="shared" si="188"/>
        <v>10</v>
      </c>
      <c r="J1167">
        <f t="shared" si="189"/>
        <v>1130</v>
      </c>
      <c r="K1167" s="5">
        <f t="shared" si="190"/>
        <v>0</v>
      </c>
      <c r="L1167">
        <f t="shared" si="191"/>
        <v>95</v>
      </c>
      <c r="M1167">
        <f t="shared" si="192"/>
        <v>1</v>
      </c>
      <c r="N1167">
        <f t="shared" si="193"/>
        <v>0</v>
      </c>
    </row>
    <row r="1168" spans="4:14" x14ac:dyDescent="0.2">
      <c r="D1168">
        <f t="shared" si="195"/>
        <v>1145</v>
      </c>
      <c r="E1168" s="1">
        <f t="shared" si="196"/>
        <v>-9.6225147339219035</v>
      </c>
      <c r="F1168" s="1">
        <f t="shared" si="197"/>
        <v>-11.958224448451634</v>
      </c>
      <c r="G1168" s="1">
        <f t="shared" si="194"/>
        <v>6.4063270879844739E-6</v>
      </c>
      <c r="H1168" s="1">
        <f t="shared" si="187"/>
        <v>6.5883247669753839E-8</v>
      </c>
      <c r="I1168">
        <f t="shared" si="188"/>
        <v>10</v>
      </c>
      <c r="J1168">
        <f t="shared" si="189"/>
        <v>1131</v>
      </c>
      <c r="K1168" s="5">
        <f t="shared" si="190"/>
        <v>0</v>
      </c>
      <c r="L1168">
        <f t="shared" si="191"/>
        <v>95</v>
      </c>
      <c r="M1168">
        <f t="shared" si="192"/>
        <v>1</v>
      </c>
      <c r="N1168">
        <f t="shared" si="193"/>
        <v>0</v>
      </c>
    </row>
    <row r="1169" spans="4:14" x14ac:dyDescent="0.2">
      <c r="D1169">
        <f t="shared" si="195"/>
        <v>1146</v>
      </c>
      <c r="E1169" s="1">
        <f t="shared" si="196"/>
        <v>-9.6329860337891997</v>
      </c>
      <c r="F1169" s="1">
        <f t="shared" si="197"/>
        <v>-11.968695748318929</v>
      </c>
      <c r="G1169" s="1">
        <f t="shared" si="194"/>
        <v>6.3395945141513085E-6</v>
      </c>
      <c r="H1169" s="1">
        <f t="shared" si="187"/>
        <v>6.5196963839860639E-8</v>
      </c>
      <c r="I1169">
        <f t="shared" si="188"/>
        <v>10</v>
      </c>
      <c r="J1169">
        <f t="shared" si="189"/>
        <v>1132</v>
      </c>
      <c r="K1169" s="5">
        <f t="shared" si="190"/>
        <v>0</v>
      </c>
      <c r="L1169">
        <f t="shared" si="191"/>
        <v>95</v>
      </c>
      <c r="M1169">
        <f t="shared" si="192"/>
        <v>1</v>
      </c>
      <c r="N1169">
        <f t="shared" si="193"/>
        <v>0</v>
      </c>
    </row>
    <row r="1170" spans="4:14" x14ac:dyDescent="0.2">
      <c r="D1170">
        <f t="shared" si="195"/>
        <v>1147</v>
      </c>
      <c r="E1170" s="1">
        <f t="shared" si="196"/>
        <v>-9.6434573336564959</v>
      </c>
      <c r="F1170" s="1">
        <f t="shared" si="197"/>
        <v>-11.979167048186227</v>
      </c>
      <c r="G1170" s="1">
        <f t="shared" si="194"/>
        <v>6.2735570712955495E-6</v>
      </c>
      <c r="H1170" s="1">
        <f t="shared" si="187"/>
        <v>6.4517828799861928E-8</v>
      </c>
      <c r="I1170">
        <f t="shared" si="188"/>
        <v>10</v>
      </c>
      <c r="J1170">
        <f t="shared" si="189"/>
        <v>1133</v>
      </c>
      <c r="K1170" s="5">
        <f t="shared" si="190"/>
        <v>0</v>
      </c>
      <c r="L1170">
        <f t="shared" si="191"/>
        <v>95</v>
      </c>
      <c r="M1170">
        <f t="shared" si="192"/>
        <v>1</v>
      </c>
      <c r="N1170">
        <f t="shared" si="193"/>
        <v>0</v>
      </c>
    </row>
    <row r="1171" spans="4:14" x14ac:dyDescent="0.2">
      <c r="D1171">
        <f t="shared" si="195"/>
        <v>1148</v>
      </c>
      <c r="E1171" s="1">
        <f t="shared" si="196"/>
        <v>-9.6539286335237922</v>
      </c>
      <c r="F1171" s="1">
        <f t="shared" si="197"/>
        <v>-11.989638348053521</v>
      </c>
      <c r="G1171" s="1">
        <f t="shared" si="194"/>
        <v>6.20820751846956E-6</v>
      </c>
      <c r="H1171" s="1">
        <f t="shared" si="187"/>
        <v>6.3845768083196761E-8</v>
      </c>
      <c r="I1171">
        <f t="shared" si="188"/>
        <v>10</v>
      </c>
      <c r="J1171">
        <f t="shared" si="189"/>
        <v>1134</v>
      </c>
      <c r="K1171" s="5">
        <f t="shared" si="190"/>
        <v>0</v>
      </c>
      <c r="L1171">
        <f t="shared" si="191"/>
        <v>95</v>
      </c>
      <c r="M1171">
        <f t="shared" si="192"/>
        <v>1</v>
      </c>
      <c r="N1171">
        <f t="shared" si="193"/>
        <v>0</v>
      </c>
    </row>
    <row r="1172" spans="4:14" x14ac:dyDescent="0.2">
      <c r="D1172">
        <f t="shared" si="195"/>
        <v>1149</v>
      </c>
      <c r="E1172" s="1">
        <f t="shared" si="196"/>
        <v>-9.6643999333910884</v>
      </c>
      <c r="F1172" s="1">
        <f t="shared" si="197"/>
        <v>-12.000109647920819</v>
      </c>
      <c r="G1172" s="1">
        <f t="shared" si="194"/>
        <v>6.1435386901521526E-6</v>
      </c>
      <c r="H1172" s="1">
        <f t="shared" si="187"/>
        <v>6.3180707998996625E-8</v>
      </c>
      <c r="I1172">
        <f t="shared" si="188"/>
        <v>10</v>
      </c>
      <c r="J1172">
        <f t="shared" si="189"/>
        <v>1135</v>
      </c>
      <c r="K1172" s="5">
        <f t="shared" si="190"/>
        <v>0</v>
      </c>
      <c r="L1172">
        <f t="shared" si="191"/>
        <v>95</v>
      </c>
      <c r="M1172">
        <f t="shared" si="192"/>
        <v>1</v>
      </c>
      <c r="N1172">
        <f t="shared" si="193"/>
        <v>0</v>
      </c>
    </row>
    <row r="1173" spans="4:14" x14ac:dyDescent="0.2">
      <c r="D1173">
        <f t="shared" si="195"/>
        <v>1150</v>
      </c>
      <c r="E1173" s="1">
        <f t="shared" si="196"/>
        <v>-9.6748712332583846</v>
      </c>
      <c r="F1173" s="1">
        <f t="shared" si="197"/>
        <v>-12.010580947788114</v>
      </c>
      <c r="G1173" s="1">
        <f t="shared" si="194"/>
        <v>6.0795434954630737E-6</v>
      </c>
      <c r="H1173" s="1">
        <f t="shared" si="187"/>
        <v>6.2522575624007138E-8</v>
      </c>
      <c r="I1173">
        <f t="shared" si="188"/>
        <v>10</v>
      </c>
      <c r="J1173">
        <f t="shared" si="189"/>
        <v>1136</v>
      </c>
      <c r="K1173" s="5">
        <f t="shared" si="190"/>
        <v>0</v>
      </c>
      <c r="L1173">
        <f t="shared" si="191"/>
        <v>95</v>
      </c>
      <c r="M1173">
        <f t="shared" si="192"/>
        <v>1</v>
      </c>
      <c r="N1173">
        <f t="shared" si="193"/>
        <v>0</v>
      </c>
    </row>
    <row r="1174" spans="4:14" x14ac:dyDescent="0.2">
      <c r="D1174">
        <f t="shared" si="195"/>
        <v>1151</v>
      </c>
      <c r="E1174" s="1">
        <f t="shared" si="196"/>
        <v>-9.6853425331256808</v>
      </c>
      <c r="F1174" s="1">
        <f t="shared" si="197"/>
        <v>-12.021052247655412</v>
      </c>
      <c r="G1174" s="1">
        <f t="shared" si="194"/>
        <v>6.0162149173853177E-6</v>
      </c>
      <c r="H1174" s="1">
        <f t="shared" si="187"/>
        <v>6.1871298794590233E-8</v>
      </c>
      <c r="I1174">
        <f t="shared" si="188"/>
        <v>10</v>
      </c>
      <c r="J1174">
        <f t="shared" si="189"/>
        <v>1137</v>
      </c>
      <c r="K1174" s="5">
        <f t="shared" si="190"/>
        <v>0</v>
      </c>
      <c r="L1174">
        <f t="shared" si="191"/>
        <v>95</v>
      </c>
      <c r="M1174">
        <f t="shared" si="192"/>
        <v>1</v>
      </c>
      <c r="N1174">
        <f t="shared" si="193"/>
        <v>0</v>
      </c>
    </row>
    <row r="1175" spans="4:14" x14ac:dyDescent="0.2">
      <c r="D1175">
        <f t="shared" si="195"/>
        <v>1152</v>
      </c>
      <c r="E1175" s="1">
        <f t="shared" si="196"/>
        <v>-9.6958138329929771</v>
      </c>
      <c r="F1175" s="1">
        <f t="shared" si="197"/>
        <v>-12.031523547522706</v>
      </c>
      <c r="G1175" s="1">
        <f t="shared" si="194"/>
        <v>5.953546011995893E-6</v>
      </c>
      <c r="H1175" s="1">
        <f t="shared" ref="H1175:H1238" si="198">G1175/$G$21</f>
        <v>6.1226806098813309E-8</v>
      </c>
      <c r="I1175">
        <f t="shared" ref="I1175:I1238" si="199">IF($F$11&lt;=D1175, IF(D1175&lt;=$A$15,D1175-$F$11,$C$11),0)</f>
        <v>10</v>
      </c>
      <c r="J1175">
        <f t="shared" ref="J1175:J1238" si="200">IF(D1175&lt;=$A$15,0,D1175-$A$15)</f>
        <v>1138</v>
      </c>
      <c r="K1175" s="5">
        <f t="shared" ref="K1175:K1238" si="201">IF(D1175&lt;$F$11,H1175,0)</f>
        <v>0</v>
      </c>
      <c r="L1175">
        <f t="shared" ref="L1175:L1238" si="202">IF(D1175&lt;$A$15,$D$11,$D$11*(1-$H$11))</f>
        <v>95</v>
      </c>
      <c r="M1175">
        <f t="shared" ref="M1175:M1238" si="203">IF(D1175&lt;$A$15,0,1)</f>
        <v>1</v>
      </c>
      <c r="N1175">
        <f t="shared" ref="N1175:N1238" si="204">IF(SUM(I1175:J1175)&lt;=($G$11/60*$F$11/($E$11/60)),1,0)</f>
        <v>0</v>
      </c>
    </row>
    <row r="1176" spans="4:14" x14ac:dyDescent="0.2">
      <c r="D1176">
        <f t="shared" si="195"/>
        <v>1153</v>
      </c>
      <c r="E1176" s="1">
        <f t="shared" si="196"/>
        <v>-9.7062851328602733</v>
      </c>
      <c r="F1176" s="1">
        <f t="shared" si="197"/>
        <v>-12.041994847390004</v>
      </c>
      <c r="G1176" s="1">
        <f t="shared" ref="G1176:G1239" si="205">EXP(F1176)</f>
        <v>5.8915299077042541E-6</v>
      </c>
      <c r="H1176" s="1">
        <f t="shared" si="198"/>
        <v>6.0589026868617189E-8</v>
      </c>
      <c r="I1176">
        <f t="shared" si="199"/>
        <v>10</v>
      </c>
      <c r="J1176">
        <f t="shared" si="200"/>
        <v>1139</v>
      </c>
      <c r="K1176" s="5">
        <f t="shared" si="201"/>
        <v>0</v>
      </c>
      <c r="L1176">
        <f t="shared" si="202"/>
        <v>95</v>
      </c>
      <c r="M1176">
        <f t="shared" si="203"/>
        <v>1</v>
      </c>
      <c r="N1176">
        <f t="shared" si="204"/>
        <v>0</v>
      </c>
    </row>
    <row r="1177" spans="4:14" x14ac:dyDescent="0.2">
      <c r="D1177">
        <f t="shared" ref="D1177:D1240" si="206">1+D1176</f>
        <v>1154</v>
      </c>
      <c r="E1177" s="1">
        <f t="shared" ref="E1177:E1240" si="207">IF($H$11=1,IF(D1177&lt;=$A$15, E1176+LN($D$11)-LN(60/$E$11)-LN(MIN(D1177,$F$11)), E1176-LN(60/$E$11)-LN(MIN(D1177,$F$11))), IF(D1177&lt;=$A$15, E1176+LN($D$11)-LN(60/$E$11)-LN(MIN(D1177,$F$11)), E1176+LN($D$11)+LN(1-$H$11)-LN(60/$E$11)-LN(MIN(D1177,$F$11))))</f>
        <v>-9.7167564327275695</v>
      </c>
      <c r="F1177" s="1">
        <f t="shared" ref="F1177:F1240" si="208">E1177-$E$21</f>
        <v>-12.052466147257299</v>
      </c>
      <c r="G1177" s="1">
        <f t="shared" si="205"/>
        <v>5.8301598044990066E-6</v>
      </c>
      <c r="H1177" s="1">
        <f t="shared" si="198"/>
        <v>5.9957891172069146E-8</v>
      </c>
      <c r="I1177">
        <f t="shared" si="199"/>
        <v>10</v>
      </c>
      <c r="J1177">
        <f t="shared" si="200"/>
        <v>1140</v>
      </c>
      <c r="K1177" s="5">
        <f t="shared" si="201"/>
        <v>0</v>
      </c>
      <c r="L1177">
        <f t="shared" si="202"/>
        <v>95</v>
      </c>
      <c r="M1177">
        <f t="shared" si="203"/>
        <v>1</v>
      </c>
      <c r="N1177">
        <f t="shared" si="204"/>
        <v>0</v>
      </c>
    </row>
    <row r="1178" spans="4:14" x14ac:dyDescent="0.2">
      <c r="D1178">
        <f t="shared" si="206"/>
        <v>1155</v>
      </c>
      <c r="E1178" s="1">
        <f t="shared" si="207"/>
        <v>-9.7272277325948657</v>
      </c>
      <c r="F1178" s="1">
        <f t="shared" si="208"/>
        <v>-12.062937447124597</v>
      </c>
      <c r="G1178" s="1">
        <f t="shared" si="205"/>
        <v>5.7694289732021276E-6</v>
      </c>
      <c r="H1178" s="1">
        <f t="shared" si="198"/>
        <v>5.9333329805693274E-8</v>
      </c>
      <c r="I1178">
        <f t="shared" si="199"/>
        <v>10</v>
      </c>
      <c r="J1178">
        <f t="shared" si="200"/>
        <v>1141</v>
      </c>
      <c r="K1178" s="5">
        <f t="shared" si="201"/>
        <v>0</v>
      </c>
      <c r="L1178">
        <f t="shared" si="202"/>
        <v>95</v>
      </c>
      <c r="M1178">
        <f t="shared" si="203"/>
        <v>1</v>
      </c>
      <c r="N1178">
        <f t="shared" si="204"/>
        <v>0</v>
      </c>
    </row>
    <row r="1179" spans="4:14" x14ac:dyDescent="0.2">
      <c r="D1179">
        <f t="shared" si="206"/>
        <v>1156</v>
      </c>
      <c r="E1179" s="1">
        <f t="shared" si="207"/>
        <v>-9.737699032462162</v>
      </c>
      <c r="F1179" s="1">
        <f t="shared" si="208"/>
        <v>-12.073408746991891</v>
      </c>
      <c r="G1179" s="1">
        <f t="shared" si="205"/>
        <v>5.7093307547312775E-6</v>
      </c>
      <c r="H1179" s="1">
        <f t="shared" si="198"/>
        <v>5.8715274286884025E-8</v>
      </c>
      <c r="I1179">
        <f t="shared" si="199"/>
        <v>10</v>
      </c>
      <c r="J1179">
        <f t="shared" si="200"/>
        <v>1142</v>
      </c>
      <c r="K1179" s="5">
        <f t="shared" si="201"/>
        <v>0</v>
      </c>
      <c r="L1179">
        <f t="shared" si="202"/>
        <v>95</v>
      </c>
      <c r="M1179">
        <f t="shared" si="203"/>
        <v>1</v>
      </c>
      <c r="N1179">
        <f t="shared" si="204"/>
        <v>0</v>
      </c>
    </row>
    <row r="1180" spans="4:14" x14ac:dyDescent="0.2">
      <c r="D1180">
        <f t="shared" si="206"/>
        <v>1157</v>
      </c>
      <c r="E1180" s="1">
        <f t="shared" si="207"/>
        <v>-9.7481703323294582</v>
      </c>
      <c r="F1180" s="1">
        <f t="shared" si="208"/>
        <v>-12.083880046859189</v>
      </c>
      <c r="G1180" s="1">
        <f t="shared" si="205"/>
        <v>5.6498585593694783E-6</v>
      </c>
      <c r="H1180" s="1">
        <f t="shared" si="198"/>
        <v>5.81036568463955E-8</v>
      </c>
      <c r="I1180">
        <f t="shared" si="199"/>
        <v>10</v>
      </c>
      <c r="J1180">
        <f t="shared" si="200"/>
        <v>1143</v>
      </c>
      <c r="K1180" s="5">
        <f t="shared" si="201"/>
        <v>0</v>
      </c>
      <c r="L1180">
        <f t="shared" si="202"/>
        <v>95</v>
      </c>
      <c r="M1180">
        <f t="shared" si="203"/>
        <v>1</v>
      </c>
      <c r="N1180">
        <f t="shared" si="204"/>
        <v>0</v>
      </c>
    </row>
    <row r="1181" spans="4:14" x14ac:dyDescent="0.2">
      <c r="D1181">
        <f t="shared" si="206"/>
        <v>1158</v>
      </c>
      <c r="E1181" s="1">
        <f t="shared" si="207"/>
        <v>-9.7586416321967544</v>
      </c>
      <c r="F1181" s="1">
        <f t="shared" si="208"/>
        <v>-12.094351346726484</v>
      </c>
      <c r="G1181" s="1">
        <f t="shared" si="205"/>
        <v>5.5910058660427186E-6</v>
      </c>
      <c r="H1181" s="1">
        <f t="shared" si="198"/>
        <v>5.7498410420912272E-8</v>
      </c>
      <c r="I1181">
        <f t="shared" si="199"/>
        <v>10</v>
      </c>
      <c r="J1181">
        <f t="shared" si="200"/>
        <v>1144</v>
      </c>
      <c r="K1181" s="5">
        <f t="shared" si="201"/>
        <v>0</v>
      </c>
      <c r="L1181">
        <f t="shared" si="202"/>
        <v>95</v>
      </c>
      <c r="M1181">
        <f t="shared" si="203"/>
        <v>1</v>
      </c>
      <c r="N1181">
        <f t="shared" si="204"/>
        <v>0</v>
      </c>
    </row>
    <row r="1182" spans="4:14" x14ac:dyDescent="0.2">
      <c r="D1182">
        <f t="shared" si="206"/>
        <v>1159</v>
      </c>
      <c r="E1182" s="1">
        <f t="shared" si="207"/>
        <v>-9.7691129320640506</v>
      </c>
      <c r="F1182" s="1">
        <f t="shared" si="208"/>
        <v>-12.104822646593782</v>
      </c>
      <c r="G1182" s="1">
        <f t="shared" si="205"/>
        <v>5.5327662216047586E-6</v>
      </c>
      <c r="H1182" s="1">
        <f t="shared" si="198"/>
        <v>5.6899468645694277E-8</v>
      </c>
      <c r="I1182">
        <f t="shared" si="199"/>
        <v>10</v>
      </c>
      <c r="J1182">
        <f t="shared" si="200"/>
        <v>1145</v>
      </c>
      <c r="K1182" s="5">
        <f t="shared" si="201"/>
        <v>0</v>
      </c>
      <c r="L1182">
        <f t="shared" si="202"/>
        <v>95</v>
      </c>
      <c r="M1182">
        <f t="shared" si="203"/>
        <v>1</v>
      </c>
      <c r="N1182">
        <f t="shared" si="204"/>
        <v>0</v>
      </c>
    </row>
    <row r="1183" spans="4:14" x14ac:dyDescent="0.2">
      <c r="D1183">
        <f t="shared" si="206"/>
        <v>1160</v>
      </c>
      <c r="E1183" s="1">
        <f t="shared" si="207"/>
        <v>-9.7795842319313468</v>
      </c>
      <c r="F1183" s="1">
        <f t="shared" si="208"/>
        <v>-12.115293946461076</v>
      </c>
      <c r="G1183" s="1">
        <f t="shared" si="205"/>
        <v>5.4751332401297144E-6</v>
      </c>
      <c r="H1183" s="1">
        <f t="shared" si="198"/>
        <v>5.6306765847301685E-8</v>
      </c>
      <c r="I1183">
        <f t="shared" si="199"/>
        <v>10</v>
      </c>
      <c r="J1183">
        <f t="shared" si="200"/>
        <v>1146</v>
      </c>
      <c r="K1183" s="5">
        <f t="shared" si="201"/>
        <v>0</v>
      </c>
      <c r="L1183">
        <f t="shared" si="202"/>
        <v>95</v>
      </c>
      <c r="M1183">
        <f t="shared" si="203"/>
        <v>1</v>
      </c>
      <c r="N1183">
        <f t="shared" si="204"/>
        <v>0</v>
      </c>
    </row>
    <row r="1184" spans="4:14" x14ac:dyDescent="0.2">
      <c r="D1184">
        <f t="shared" si="206"/>
        <v>1161</v>
      </c>
      <c r="E1184" s="1">
        <f t="shared" si="207"/>
        <v>-9.7900555317986431</v>
      </c>
      <c r="F1184" s="1">
        <f t="shared" si="208"/>
        <v>-12.125765246328374</v>
      </c>
      <c r="G1184" s="1">
        <f t="shared" si="205"/>
        <v>5.418100602211683E-6</v>
      </c>
      <c r="H1184" s="1">
        <f t="shared" si="198"/>
        <v>5.5720237036392153E-8</v>
      </c>
      <c r="I1184">
        <f t="shared" si="199"/>
        <v>10</v>
      </c>
      <c r="J1184">
        <f t="shared" si="200"/>
        <v>1147</v>
      </c>
      <c r="K1184" s="5">
        <f t="shared" si="201"/>
        <v>0</v>
      </c>
      <c r="L1184">
        <f t="shared" si="202"/>
        <v>95</v>
      </c>
      <c r="M1184">
        <f t="shared" si="203"/>
        <v>1</v>
      </c>
      <c r="N1184">
        <f t="shared" si="204"/>
        <v>0</v>
      </c>
    </row>
    <row r="1185" spans="4:14" x14ac:dyDescent="0.2">
      <c r="D1185">
        <f t="shared" si="206"/>
        <v>1162</v>
      </c>
      <c r="E1185" s="1">
        <f t="shared" si="207"/>
        <v>-9.8005268316659393</v>
      </c>
      <c r="F1185" s="1">
        <f t="shared" si="208"/>
        <v>-12.136236546195668</v>
      </c>
      <c r="G1185" s="1">
        <f t="shared" si="205"/>
        <v>5.3616620542719828E-6</v>
      </c>
      <c r="H1185" s="1">
        <f t="shared" si="198"/>
        <v>5.5139817900596453E-8</v>
      </c>
      <c r="I1185">
        <f t="shared" si="199"/>
        <v>10</v>
      </c>
      <c r="J1185">
        <f t="shared" si="200"/>
        <v>1148</v>
      </c>
      <c r="K1185" s="5">
        <f t="shared" si="201"/>
        <v>0</v>
      </c>
      <c r="L1185">
        <f t="shared" si="202"/>
        <v>95</v>
      </c>
      <c r="M1185">
        <f t="shared" si="203"/>
        <v>1</v>
      </c>
      <c r="N1185">
        <f t="shared" si="204"/>
        <v>0</v>
      </c>
    </row>
    <row r="1186" spans="4:14" x14ac:dyDescent="0.2">
      <c r="D1186">
        <f t="shared" si="206"/>
        <v>1163</v>
      </c>
      <c r="E1186" s="1">
        <f t="shared" si="207"/>
        <v>-9.8109981315332355</v>
      </c>
      <c r="F1186" s="1">
        <f t="shared" si="208"/>
        <v>-12.146707846062966</v>
      </c>
      <c r="G1186" s="1">
        <f t="shared" si="205"/>
        <v>5.3058114078733025E-6</v>
      </c>
      <c r="H1186" s="1">
        <f t="shared" si="198"/>
        <v>5.4565444797465097E-8</v>
      </c>
      <c r="I1186">
        <f t="shared" si="199"/>
        <v>10</v>
      </c>
      <c r="J1186">
        <f t="shared" si="200"/>
        <v>1149</v>
      </c>
      <c r="K1186" s="5">
        <f t="shared" si="201"/>
        <v>0</v>
      </c>
      <c r="L1186">
        <f t="shared" si="202"/>
        <v>95</v>
      </c>
      <c r="M1186">
        <f t="shared" si="203"/>
        <v>1</v>
      </c>
      <c r="N1186">
        <f t="shared" si="204"/>
        <v>0</v>
      </c>
    </row>
    <row r="1187" spans="4:14" x14ac:dyDescent="0.2">
      <c r="D1187">
        <f t="shared" si="206"/>
        <v>1164</v>
      </c>
      <c r="E1187" s="1">
        <f t="shared" si="207"/>
        <v>-9.8214694314005317</v>
      </c>
      <c r="F1187" s="1">
        <f t="shared" si="208"/>
        <v>-12.157179145930261</v>
      </c>
      <c r="G1187" s="1">
        <f t="shared" si="205"/>
        <v>5.2505425390412939E-6</v>
      </c>
      <c r="H1187" s="1">
        <f t="shared" si="198"/>
        <v>5.3997054747491555E-8</v>
      </c>
      <c r="I1187">
        <f t="shared" si="199"/>
        <v>10</v>
      </c>
      <c r="J1187">
        <f t="shared" si="200"/>
        <v>1150</v>
      </c>
      <c r="K1187" s="5">
        <f t="shared" si="201"/>
        <v>0</v>
      </c>
      <c r="L1187">
        <f t="shared" si="202"/>
        <v>95</v>
      </c>
      <c r="M1187">
        <f t="shared" si="203"/>
        <v>1</v>
      </c>
      <c r="N1187">
        <f t="shared" si="204"/>
        <v>0</v>
      </c>
    </row>
    <row r="1188" spans="4:14" x14ac:dyDescent="0.2">
      <c r="D1188">
        <f t="shared" si="206"/>
        <v>1165</v>
      </c>
      <c r="E1188" s="1">
        <f t="shared" si="207"/>
        <v>-9.831940731267828</v>
      </c>
      <c r="F1188" s="1">
        <f t="shared" si="208"/>
        <v>-12.167650445797559</v>
      </c>
      <c r="G1188" s="1">
        <f t="shared" si="205"/>
        <v>5.1958493875929341E-6</v>
      </c>
      <c r="H1188" s="1">
        <f t="shared" si="198"/>
        <v>5.3434585427205049E-8</v>
      </c>
      <c r="I1188">
        <f t="shared" si="199"/>
        <v>10</v>
      </c>
      <c r="J1188">
        <f t="shared" si="200"/>
        <v>1151</v>
      </c>
      <c r="K1188" s="5">
        <f t="shared" si="201"/>
        <v>0</v>
      </c>
      <c r="L1188">
        <f t="shared" si="202"/>
        <v>95</v>
      </c>
      <c r="M1188">
        <f t="shared" si="203"/>
        <v>1</v>
      </c>
      <c r="N1188">
        <f t="shared" si="204"/>
        <v>0</v>
      </c>
    </row>
    <row r="1189" spans="4:14" x14ac:dyDescent="0.2">
      <c r="D1189">
        <f t="shared" si="206"/>
        <v>1166</v>
      </c>
      <c r="E1189" s="1">
        <f t="shared" si="207"/>
        <v>-9.8424120311351242</v>
      </c>
      <c r="F1189" s="1">
        <f t="shared" si="208"/>
        <v>-12.178121745664853</v>
      </c>
      <c r="G1189" s="1">
        <f t="shared" si="205"/>
        <v>5.1417259564721793E-6</v>
      </c>
      <c r="H1189" s="1">
        <f t="shared" si="198"/>
        <v>5.2877975162338378E-8</v>
      </c>
      <c r="I1189">
        <f t="shared" si="199"/>
        <v>10</v>
      </c>
      <c r="J1189">
        <f t="shared" si="200"/>
        <v>1152</v>
      </c>
      <c r="K1189" s="5">
        <f t="shared" si="201"/>
        <v>0</v>
      </c>
      <c r="L1189">
        <f t="shared" si="202"/>
        <v>95</v>
      </c>
      <c r="M1189">
        <f t="shared" si="203"/>
        <v>1</v>
      </c>
      <c r="N1189">
        <f t="shared" si="204"/>
        <v>0</v>
      </c>
    </row>
    <row r="1190" spans="4:14" x14ac:dyDescent="0.2">
      <c r="D1190">
        <f t="shared" si="206"/>
        <v>1167</v>
      </c>
      <c r="E1190" s="1">
        <f t="shared" si="207"/>
        <v>-9.8528833310024204</v>
      </c>
      <c r="F1190" s="1">
        <f t="shared" si="208"/>
        <v>-12.188593045532151</v>
      </c>
      <c r="G1190" s="1">
        <f t="shared" si="205"/>
        <v>5.0881663110922471E-6</v>
      </c>
      <c r="H1190" s="1">
        <f t="shared" si="198"/>
        <v>5.232716292106388E-8</v>
      </c>
      <c r="I1190">
        <f t="shared" si="199"/>
        <v>10</v>
      </c>
      <c r="J1190">
        <f t="shared" si="200"/>
        <v>1153</v>
      </c>
      <c r="K1190" s="5">
        <f t="shared" si="201"/>
        <v>0</v>
      </c>
      <c r="L1190">
        <f t="shared" si="202"/>
        <v>95</v>
      </c>
      <c r="M1190">
        <f t="shared" si="203"/>
        <v>1</v>
      </c>
      <c r="N1190">
        <f t="shared" si="204"/>
        <v>0</v>
      </c>
    </row>
    <row r="1191" spans="4:14" x14ac:dyDescent="0.2">
      <c r="D1191">
        <f t="shared" si="206"/>
        <v>1168</v>
      </c>
      <c r="E1191" s="1">
        <f t="shared" si="207"/>
        <v>-9.8633546308697166</v>
      </c>
      <c r="F1191" s="1">
        <f t="shared" si="208"/>
        <v>-12.199064345399446</v>
      </c>
      <c r="G1191" s="1">
        <f t="shared" si="205"/>
        <v>5.035164578685041E-6</v>
      </c>
      <c r="H1191" s="1">
        <f t="shared" si="198"/>
        <v>5.1782088307302847E-8</v>
      </c>
      <c r="I1191">
        <f t="shared" si="199"/>
        <v>10</v>
      </c>
      <c r="J1191">
        <f t="shared" si="200"/>
        <v>1154</v>
      </c>
      <c r="K1191" s="5">
        <f t="shared" si="201"/>
        <v>0</v>
      </c>
      <c r="L1191">
        <f t="shared" si="202"/>
        <v>95</v>
      </c>
      <c r="M1191">
        <f t="shared" si="203"/>
        <v>1</v>
      </c>
      <c r="N1191">
        <f t="shared" si="204"/>
        <v>0</v>
      </c>
    </row>
    <row r="1192" spans="4:14" x14ac:dyDescent="0.2">
      <c r="D1192">
        <f t="shared" si="206"/>
        <v>1169</v>
      </c>
      <c r="E1192" s="1">
        <f t="shared" si="207"/>
        <v>-9.8738259307370129</v>
      </c>
      <c r="F1192" s="1">
        <f t="shared" si="208"/>
        <v>-12.209535645266744</v>
      </c>
      <c r="G1192" s="1">
        <f t="shared" si="205"/>
        <v>4.9827149476570586E-6</v>
      </c>
      <c r="H1192" s="1">
        <f t="shared" si="198"/>
        <v>5.1242691554101639E-8</v>
      </c>
      <c r="I1192">
        <f t="shared" si="199"/>
        <v>10</v>
      </c>
      <c r="J1192">
        <f t="shared" si="200"/>
        <v>1155</v>
      </c>
      <c r="K1192" s="5">
        <f t="shared" si="201"/>
        <v>0</v>
      </c>
      <c r="L1192">
        <f t="shared" si="202"/>
        <v>95</v>
      </c>
      <c r="M1192">
        <f t="shared" si="203"/>
        <v>1</v>
      </c>
      <c r="N1192">
        <f t="shared" si="204"/>
        <v>0</v>
      </c>
    </row>
    <row r="1193" spans="4:14" x14ac:dyDescent="0.2">
      <c r="D1193">
        <f t="shared" si="206"/>
        <v>1170</v>
      </c>
      <c r="E1193" s="1">
        <f t="shared" si="207"/>
        <v>-9.8842972306043091</v>
      </c>
      <c r="F1193" s="1">
        <f t="shared" si="208"/>
        <v>-12.220006945134038</v>
      </c>
      <c r="G1193" s="1">
        <f t="shared" si="205"/>
        <v>4.9308116669523022E-6</v>
      </c>
      <c r="H1193" s="1">
        <f t="shared" si="198"/>
        <v>5.0708913517079796E-8</v>
      </c>
      <c r="I1193">
        <f t="shared" si="199"/>
        <v>10</v>
      </c>
      <c r="J1193">
        <f t="shared" si="200"/>
        <v>1156</v>
      </c>
      <c r="K1193" s="5">
        <f t="shared" si="201"/>
        <v>0</v>
      </c>
      <c r="L1193">
        <f t="shared" si="202"/>
        <v>95</v>
      </c>
      <c r="M1193">
        <f t="shared" si="203"/>
        <v>1</v>
      </c>
      <c r="N1193">
        <f t="shared" si="204"/>
        <v>0</v>
      </c>
    </row>
    <row r="1194" spans="4:14" x14ac:dyDescent="0.2">
      <c r="D1194">
        <f t="shared" si="206"/>
        <v>1171</v>
      </c>
      <c r="E1194" s="1">
        <f t="shared" si="207"/>
        <v>-9.8947685304716053</v>
      </c>
      <c r="F1194" s="1">
        <f t="shared" si="208"/>
        <v>-12.230478245001336</v>
      </c>
      <c r="G1194" s="1">
        <f t="shared" si="205"/>
        <v>4.8794490454215371E-6</v>
      </c>
      <c r="H1194" s="1">
        <f t="shared" si="198"/>
        <v>5.0180695667943424E-8</v>
      </c>
      <c r="I1194">
        <f t="shared" si="199"/>
        <v>10</v>
      </c>
      <c r="J1194">
        <f t="shared" si="200"/>
        <v>1157</v>
      </c>
      <c r="K1194" s="5">
        <f t="shared" si="201"/>
        <v>0</v>
      </c>
      <c r="L1194">
        <f t="shared" si="202"/>
        <v>95</v>
      </c>
      <c r="M1194">
        <f t="shared" si="203"/>
        <v>1</v>
      </c>
      <c r="N1194">
        <f t="shared" si="204"/>
        <v>0</v>
      </c>
    </row>
    <row r="1195" spans="4:14" x14ac:dyDescent="0.2">
      <c r="D1195">
        <f t="shared" si="206"/>
        <v>1172</v>
      </c>
      <c r="E1195" s="1">
        <f t="shared" si="207"/>
        <v>-9.9052398303389015</v>
      </c>
      <c r="F1195" s="1">
        <f t="shared" si="208"/>
        <v>-12.240949544868631</v>
      </c>
      <c r="G1195" s="1">
        <f t="shared" si="205"/>
        <v>4.8286214511984003E-6</v>
      </c>
      <c r="H1195" s="1">
        <f t="shared" si="198"/>
        <v>4.965798008806906E-8</v>
      </c>
      <c r="I1195">
        <f t="shared" si="199"/>
        <v>10</v>
      </c>
      <c r="J1195">
        <f t="shared" si="200"/>
        <v>1158</v>
      </c>
      <c r="K1195" s="5">
        <f t="shared" si="201"/>
        <v>0</v>
      </c>
      <c r="L1195">
        <f t="shared" si="202"/>
        <v>95</v>
      </c>
      <c r="M1195">
        <f t="shared" si="203"/>
        <v>1</v>
      </c>
      <c r="N1195">
        <f t="shared" si="204"/>
        <v>0</v>
      </c>
    </row>
    <row r="1196" spans="4:14" x14ac:dyDescent="0.2">
      <c r="D1196">
        <f t="shared" si="206"/>
        <v>1173</v>
      </c>
      <c r="E1196" s="1">
        <f t="shared" si="207"/>
        <v>-9.9157111302061978</v>
      </c>
      <c r="F1196" s="1">
        <f t="shared" si="208"/>
        <v>-12.251420844735929</v>
      </c>
      <c r="G1196" s="1">
        <f t="shared" si="205"/>
        <v>4.7783233110817379E-6</v>
      </c>
      <c r="H1196" s="1">
        <f t="shared" si="198"/>
        <v>4.9140709462151545E-8</v>
      </c>
      <c r="I1196">
        <f t="shared" si="199"/>
        <v>10</v>
      </c>
      <c r="J1196">
        <f t="shared" si="200"/>
        <v>1159</v>
      </c>
      <c r="K1196" s="5">
        <f t="shared" si="201"/>
        <v>0</v>
      </c>
      <c r="L1196">
        <f t="shared" si="202"/>
        <v>95</v>
      </c>
      <c r="M1196">
        <f t="shared" si="203"/>
        <v>1</v>
      </c>
      <c r="N1196">
        <f t="shared" si="204"/>
        <v>0</v>
      </c>
    </row>
    <row r="1197" spans="4:14" x14ac:dyDescent="0.2">
      <c r="D1197">
        <f t="shared" si="206"/>
        <v>1174</v>
      </c>
      <c r="E1197" s="1">
        <f t="shared" si="207"/>
        <v>-9.926182430073494</v>
      </c>
      <c r="F1197" s="1">
        <f t="shared" si="208"/>
        <v>-12.261892144603223</v>
      </c>
      <c r="G1197" s="1">
        <f t="shared" si="205"/>
        <v>4.7285491099246414E-6</v>
      </c>
      <c r="H1197" s="1">
        <f t="shared" si="198"/>
        <v>4.8628827071920852E-8</v>
      </c>
      <c r="I1197">
        <f t="shared" si="199"/>
        <v>10</v>
      </c>
      <c r="J1197">
        <f t="shared" si="200"/>
        <v>1160</v>
      </c>
      <c r="K1197" s="5">
        <f t="shared" si="201"/>
        <v>0</v>
      </c>
      <c r="L1197">
        <f t="shared" si="202"/>
        <v>95</v>
      </c>
      <c r="M1197">
        <f t="shared" si="203"/>
        <v>1</v>
      </c>
      <c r="N1197">
        <f t="shared" si="204"/>
        <v>0</v>
      </c>
    </row>
    <row r="1198" spans="4:14" x14ac:dyDescent="0.2">
      <c r="D1198">
        <f t="shared" si="206"/>
        <v>1175</v>
      </c>
      <c r="E1198" s="1">
        <f t="shared" si="207"/>
        <v>-9.9366537299407902</v>
      </c>
      <c r="F1198" s="1">
        <f t="shared" si="208"/>
        <v>-12.272363444470521</v>
      </c>
      <c r="G1198" s="1">
        <f t="shared" si="205"/>
        <v>4.6792933900295803E-6</v>
      </c>
      <c r="H1198" s="1">
        <f t="shared" si="198"/>
        <v>4.8122276789921547E-8</v>
      </c>
      <c r="I1198">
        <f t="shared" si="199"/>
        <v>10</v>
      </c>
      <c r="J1198">
        <f t="shared" si="200"/>
        <v>1161</v>
      </c>
      <c r="K1198" s="5">
        <f t="shared" si="201"/>
        <v>0</v>
      </c>
      <c r="L1198">
        <f t="shared" si="202"/>
        <v>95</v>
      </c>
      <c r="M1198">
        <f t="shared" si="203"/>
        <v>1</v>
      </c>
      <c r="N1198">
        <f t="shared" si="204"/>
        <v>0</v>
      </c>
    </row>
    <row r="1199" spans="4:14" x14ac:dyDescent="0.2">
      <c r="D1199">
        <f t="shared" si="206"/>
        <v>1176</v>
      </c>
      <c r="E1199" s="1">
        <f t="shared" si="207"/>
        <v>-9.9471250298080864</v>
      </c>
      <c r="F1199" s="1">
        <f t="shared" si="208"/>
        <v>-12.282834744337816</v>
      </c>
      <c r="G1199" s="1">
        <f t="shared" si="205"/>
        <v>4.6305507505501102E-6</v>
      </c>
      <c r="H1199" s="1">
        <f t="shared" si="198"/>
        <v>4.7621003073359913E-8</v>
      </c>
      <c r="I1199">
        <f t="shared" si="199"/>
        <v>10</v>
      </c>
      <c r="J1199">
        <f t="shared" si="200"/>
        <v>1162</v>
      </c>
      <c r="K1199" s="5">
        <f t="shared" si="201"/>
        <v>0</v>
      </c>
      <c r="L1199">
        <f t="shared" si="202"/>
        <v>95</v>
      </c>
      <c r="M1199">
        <f t="shared" si="203"/>
        <v>1</v>
      </c>
      <c r="N1199">
        <f t="shared" si="204"/>
        <v>0</v>
      </c>
    </row>
    <row r="1200" spans="4:14" x14ac:dyDescent="0.2">
      <c r="D1200">
        <f t="shared" si="206"/>
        <v>1177</v>
      </c>
      <c r="E1200" s="1">
        <f t="shared" si="207"/>
        <v>-9.9575963296753827</v>
      </c>
      <c r="F1200" s="1">
        <f t="shared" si="208"/>
        <v>-12.293306044205114</v>
      </c>
      <c r="G1200" s="1">
        <f t="shared" si="205"/>
        <v>4.5823158468985345E-6</v>
      </c>
      <c r="H1200" s="1">
        <f t="shared" si="198"/>
        <v>4.7124950958012287E-8</v>
      </c>
      <c r="I1200">
        <f t="shared" si="199"/>
        <v>10</v>
      </c>
      <c r="J1200">
        <f t="shared" si="200"/>
        <v>1163</v>
      </c>
      <c r="K1200" s="5">
        <f t="shared" si="201"/>
        <v>0</v>
      </c>
      <c r="L1200">
        <f t="shared" si="202"/>
        <v>95</v>
      </c>
      <c r="M1200">
        <f t="shared" si="203"/>
        <v>1</v>
      </c>
      <c r="N1200">
        <f t="shared" si="204"/>
        <v>0</v>
      </c>
    </row>
    <row r="1201" spans="4:14" x14ac:dyDescent="0.2">
      <c r="D1201">
        <f t="shared" si="206"/>
        <v>1178</v>
      </c>
      <c r="E1201" s="1">
        <f t="shared" si="207"/>
        <v>-9.9680676295426789</v>
      </c>
      <c r="F1201" s="1">
        <f t="shared" si="208"/>
        <v>-12.303777344072408</v>
      </c>
      <c r="G1201" s="1">
        <f t="shared" si="205"/>
        <v>4.5345833901600128E-6</v>
      </c>
      <c r="H1201" s="1">
        <f t="shared" si="198"/>
        <v>4.6634066052199709E-8</v>
      </c>
      <c r="I1201">
        <f t="shared" si="199"/>
        <v>10</v>
      </c>
      <c r="J1201">
        <f t="shared" si="200"/>
        <v>1164</v>
      </c>
      <c r="K1201" s="5">
        <f t="shared" si="201"/>
        <v>0</v>
      </c>
      <c r="L1201">
        <f t="shared" si="202"/>
        <v>95</v>
      </c>
      <c r="M1201">
        <f t="shared" si="203"/>
        <v>1</v>
      </c>
      <c r="N1201">
        <f t="shared" si="204"/>
        <v>0</v>
      </c>
    </row>
    <row r="1202" spans="4:14" x14ac:dyDescent="0.2">
      <c r="D1202">
        <f t="shared" si="206"/>
        <v>1179</v>
      </c>
      <c r="E1202" s="1">
        <f t="shared" si="207"/>
        <v>-9.9785389294099751</v>
      </c>
      <c r="F1202" s="1">
        <f t="shared" si="208"/>
        <v>-12.314248643939706</v>
      </c>
      <c r="G1202" s="1">
        <f t="shared" si="205"/>
        <v>4.4873481465125008E-6</v>
      </c>
      <c r="H1202" s="1">
        <f t="shared" si="198"/>
        <v>4.6148294530822504E-8</v>
      </c>
      <c r="I1202">
        <f t="shared" si="199"/>
        <v>10</v>
      </c>
      <c r="J1202">
        <f t="shared" si="200"/>
        <v>1165</v>
      </c>
      <c r="K1202" s="5">
        <f t="shared" si="201"/>
        <v>0</v>
      </c>
      <c r="L1202">
        <f t="shared" si="202"/>
        <v>95</v>
      </c>
      <c r="M1202">
        <f t="shared" si="203"/>
        <v>1</v>
      </c>
      <c r="N1202">
        <f t="shared" si="204"/>
        <v>0</v>
      </c>
    </row>
    <row r="1203" spans="4:14" x14ac:dyDescent="0.2">
      <c r="D1203">
        <f t="shared" si="206"/>
        <v>1180</v>
      </c>
      <c r="E1203" s="1">
        <f t="shared" si="207"/>
        <v>-9.9890102292772713</v>
      </c>
      <c r="F1203" s="1">
        <f t="shared" si="208"/>
        <v>-12.324719943807001</v>
      </c>
      <c r="G1203" s="1">
        <f t="shared" si="205"/>
        <v>4.4406049366530001E-6</v>
      </c>
      <c r="H1203" s="1">
        <f t="shared" si="198"/>
        <v>4.5667583129459819E-8</v>
      </c>
      <c r="I1203">
        <f t="shared" si="199"/>
        <v>10</v>
      </c>
      <c r="J1203">
        <f t="shared" si="200"/>
        <v>1166</v>
      </c>
      <c r="K1203" s="5">
        <f t="shared" si="201"/>
        <v>0</v>
      </c>
      <c r="L1203">
        <f t="shared" si="202"/>
        <v>95</v>
      </c>
      <c r="M1203">
        <f t="shared" si="203"/>
        <v>1</v>
      </c>
      <c r="N1203">
        <f t="shared" si="204"/>
        <v>0</v>
      </c>
    </row>
    <row r="1204" spans="4:14" x14ac:dyDescent="0.2">
      <c r="D1204">
        <f t="shared" si="206"/>
        <v>1181</v>
      </c>
      <c r="E1204" s="1">
        <f t="shared" si="207"/>
        <v>-9.9994815291445676</v>
      </c>
      <c r="F1204" s="1">
        <f t="shared" si="208"/>
        <v>-12.335191243674299</v>
      </c>
      <c r="G1204" s="1">
        <f t="shared" si="205"/>
        <v>4.3943486352295196E-6</v>
      </c>
      <c r="H1204" s="1">
        <f t="shared" si="198"/>
        <v>4.5191879138527821E-8</v>
      </c>
      <c r="I1204">
        <f t="shared" si="199"/>
        <v>10</v>
      </c>
      <c r="J1204">
        <f t="shared" si="200"/>
        <v>1167</v>
      </c>
      <c r="K1204" s="5">
        <f t="shared" si="201"/>
        <v>0</v>
      </c>
      <c r="L1204">
        <f t="shared" si="202"/>
        <v>95</v>
      </c>
      <c r="M1204">
        <f t="shared" si="203"/>
        <v>1</v>
      </c>
      <c r="N1204">
        <f t="shared" si="204"/>
        <v>0</v>
      </c>
    </row>
    <row r="1205" spans="4:14" x14ac:dyDescent="0.2">
      <c r="D1205">
        <f t="shared" si="206"/>
        <v>1182</v>
      </c>
      <c r="E1205" s="1">
        <f t="shared" si="207"/>
        <v>-10.009952829011864</v>
      </c>
      <c r="F1205" s="1">
        <f t="shared" si="208"/>
        <v>-12.345662543541593</v>
      </c>
      <c r="G1205" s="1">
        <f t="shared" si="205"/>
        <v>4.3485741702792162E-6</v>
      </c>
      <c r="H1205" s="1">
        <f t="shared" si="198"/>
        <v>4.4721130397501533E-8</v>
      </c>
      <c r="I1205">
        <f t="shared" si="199"/>
        <v>10</v>
      </c>
      <c r="J1205">
        <f t="shared" si="200"/>
        <v>1168</v>
      </c>
      <c r="K1205" s="5">
        <f t="shared" si="201"/>
        <v>0</v>
      </c>
      <c r="L1205">
        <f t="shared" si="202"/>
        <v>95</v>
      </c>
      <c r="M1205">
        <f t="shared" si="203"/>
        <v>1</v>
      </c>
      <c r="N1205">
        <f t="shared" si="204"/>
        <v>0</v>
      </c>
    </row>
    <row r="1206" spans="4:14" x14ac:dyDescent="0.2">
      <c r="D1206">
        <f t="shared" si="206"/>
        <v>1183</v>
      </c>
      <c r="E1206" s="1">
        <f t="shared" si="207"/>
        <v>-10.02042412887916</v>
      </c>
      <c r="F1206" s="1">
        <f t="shared" si="208"/>
        <v>-12.356133843408891</v>
      </c>
      <c r="G1206" s="1">
        <f t="shared" si="205"/>
        <v>4.3032765226721301E-6</v>
      </c>
      <c r="H1206" s="1">
        <f t="shared" si="198"/>
        <v>4.4255285289194111E-8</v>
      </c>
      <c r="I1206">
        <f t="shared" si="199"/>
        <v>10</v>
      </c>
      <c r="J1206">
        <f t="shared" si="200"/>
        <v>1169</v>
      </c>
      <c r="K1206" s="5">
        <f t="shared" si="201"/>
        <v>0</v>
      </c>
      <c r="L1206">
        <f t="shared" si="202"/>
        <v>95</v>
      </c>
      <c r="M1206">
        <f t="shared" si="203"/>
        <v>1</v>
      </c>
      <c r="N1206">
        <f t="shared" si="204"/>
        <v>0</v>
      </c>
    </row>
    <row r="1207" spans="4:14" x14ac:dyDescent="0.2">
      <c r="D1207">
        <f t="shared" si="206"/>
        <v>1184</v>
      </c>
      <c r="E1207" s="1">
        <f t="shared" si="207"/>
        <v>-10.030895428746456</v>
      </c>
      <c r="F1207" s="1">
        <f t="shared" si="208"/>
        <v>-12.366605143276185</v>
      </c>
      <c r="G1207" s="1">
        <f t="shared" si="205"/>
        <v>4.258450725560966E-6</v>
      </c>
      <c r="H1207" s="1">
        <f t="shared" si="198"/>
        <v>4.3794292734098384E-8</v>
      </c>
      <c r="I1207">
        <f t="shared" si="199"/>
        <v>10</v>
      </c>
      <c r="J1207">
        <f t="shared" si="200"/>
        <v>1170</v>
      </c>
      <c r="K1207" s="5">
        <f t="shared" si="201"/>
        <v>0</v>
      </c>
      <c r="L1207">
        <f t="shared" si="202"/>
        <v>95</v>
      </c>
      <c r="M1207">
        <f t="shared" si="203"/>
        <v>1</v>
      </c>
      <c r="N1207">
        <f t="shared" si="204"/>
        <v>0</v>
      </c>
    </row>
    <row r="1208" spans="4:14" x14ac:dyDescent="0.2">
      <c r="D1208">
        <f t="shared" si="206"/>
        <v>1185</v>
      </c>
      <c r="E1208" s="1">
        <f t="shared" si="207"/>
        <v>-10.041366728613752</v>
      </c>
      <c r="F1208" s="1">
        <f t="shared" si="208"/>
        <v>-12.377076443143483</v>
      </c>
      <c r="G1208" s="1">
        <f t="shared" si="205"/>
        <v>4.2140918638363619E-6</v>
      </c>
      <c r="H1208" s="1">
        <f t="shared" si="198"/>
        <v>4.3338102184784744E-8</v>
      </c>
      <c r="I1208">
        <f t="shared" si="199"/>
        <v>10</v>
      </c>
      <c r="J1208">
        <f t="shared" si="200"/>
        <v>1171</v>
      </c>
      <c r="K1208" s="5">
        <f t="shared" si="201"/>
        <v>0</v>
      </c>
      <c r="L1208">
        <f t="shared" si="202"/>
        <v>95</v>
      </c>
      <c r="M1208">
        <f t="shared" si="203"/>
        <v>1</v>
      </c>
      <c r="N1208">
        <f t="shared" si="204"/>
        <v>0</v>
      </c>
    </row>
    <row r="1209" spans="4:14" x14ac:dyDescent="0.2">
      <c r="D1209">
        <f t="shared" si="206"/>
        <v>1186</v>
      </c>
      <c r="E1209" s="1">
        <f t="shared" si="207"/>
        <v>-10.051838028481049</v>
      </c>
      <c r="F1209" s="1">
        <f t="shared" si="208"/>
        <v>-12.387547743010778</v>
      </c>
      <c r="G1209" s="1">
        <f t="shared" si="205"/>
        <v>4.1701950735880701E-6</v>
      </c>
      <c r="H1209" s="1">
        <f t="shared" si="198"/>
        <v>4.2886663620359943E-8</v>
      </c>
      <c r="I1209">
        <f t="shared" si="199"/>
        <v>10</v>
      </c>
      <c r="J1209">
        <f t="shared" si="200"/>
        <v>1172</v>
      </c>
      <c r="K1209" s="5">
        <f t="shared" si="201"/>
        <v>0</v>
      </c>
      <c r="L1209">
        <f t="shared" si="202"/>
        <v>95</v>
      </c>
      <c r="M1209">
        <f t="shared" si="203"/>
        <v>1</v>
      </c>
      <c r="N1209">
        <f t="shared" si="204"/>
        <v>0</v>
      </c>
    </row>
    <row r="1210" spans="4:14" x14ac:dyDescent="0.2">
      <c r="D1210">
        <f t="shared" si="206"/>
        <v>1187</v>
      </c>
      <c r="E1210" s="1">
        <f t="shared" si="207"/>
        <v>-10.062309328348345</v>
      </c>
      <c r="F1210" s="1">
        <f t="shared" si="208"/>
        <v>-12.398019042878076</v>
      </c>
      <c r="G1210" s="1">
        <f t="shared" si="205"/>
        <v>4.1267555415715173E-6</v>
      </c>
      <c r="H1210" s="1">
        <f t="shared" si="198"/>
        <v>4.2439927540981085E-8</v>
      </c>
      <c r="I1210">
        <f t="shared" si="199"/>
        <v>10</v>
      </c>
      <c r="J1210">
        <f t="shared" si="200"/>
        <v>1173</v>
      </c>
      <c r="K1210" s="5">
        <f t="shared" si="201"/>
        <v>0</v>
      </c>
      <c r="L1210">
        <f t="shared" si="202"/>
        <v>95</v>
      </c>
      <c r="M1210">
        <f t="shared" si="203"/>
        <v>1</v>
      </c>
      <c r="N1210">
        <f t="shared" si="204"/>
        <v>0</v>
      </c>
    </row>
    <row r="1211" spans="4:14" x14ac:dyDescent="0.2">
      <c r="D1211">
        <f t="shared" si="206"/>
        <v>1188</v>
      </c>
      <c r="E1211" s="1">
        <f t="shared" si="207"/>
        <v>-10.072780628215641</v>
      </c>
      <c r="F1211" s="1">
        <f t="shared" si="208"/>
        <v>-12.40849034274537</v>
      </c>
      <c r="G1211" s="1">
        <f t="shared" si="205"/>
        <v>4.0837685046801512E-6</v>
      </c>
      <c r="H1211" s="1">
        <f t="shared" si="198"/>
        <v>4.1997844962429242E-8</v>
      </c>
      <c r="I1211">
        <f t="shared" si="199"/>
        <v>10</v>
      </c>
      <c r="J1211">
        <f t="shared" si="200"/>
        <v>1174</v>
      </c>
      <c r="K1211" s="5">
        <f t="shared" si="201"/>
        <v>0</v>
      </c>
      <c r="L1211">
        <f t="shared" si="202"/>
        <v>95</v>
      </c>
      <c r="M1211">
        <f t="shared" si="203"/>
        <v>1</v>
      </c>
      <c r="N1211">
        <f t="shared" si="204"/>
        <v>0</v>
      </c>
    </row>
    <row r="1212" spans="4:14" x14ac:dyDescent="0.2">
      <c r="D1212">
        <f t="shared" si="206"/>
        <v>1189</v>
      </c>
      <c r="E1212" s="1">
        <f t="shared" si="207"/>
        <v>-10.083251928082937</v>
      </c>
      <c r="F1212" s="1">
        <f t="shared" si="208"/>
        <v>-12.418961642612668</v>
      </c>
      <c r="G1212" s="1">
        <f t="shared" si="205"/>
        <v>4.0412292494230558E-6</v>
      </c>
      <c r="H1212" s="1">
        <f t="shared" si="198"/>
        <v>4.1560367410737159E-8</v>
      </c>
      <c r="I1212">
        <f t="shared" si="199"/>
        <v>10</v>
      </c>
      <c r="J1212">
        <f t="shared" si="200"/>
        <v>1175</v>
      </c>
      <c r="K1212" s="5">
        <f t="shared" si="201"/>
        <v>0</v>
      </c>
      <c r="L1212">
        <f t="shared" si="202"/>
        <v>95</v>
      </c>
      <c r="M1212">
        <f t="shared" si="203"/>
        <v>1</v>
      </c>
      <c r="N1212">
        <f t="shared" si="204"/>
        <v>0</v>
      </c>
    </row>
    <row r="1213" spans="4:14" x14ac:dyDescent="0.2">
      <c r="D1213">
        <f t="shared" si="206"/>
        <v>1190</v>
      </c>
      <c r="E1213" s="1">
        <f t="shared" si="207"/>
        <v>-10.093723227950234</v>
      </c>
      <c r="F1213" s="1">
        <f t="shared" si="208"/>
        <v>-12.429432942479963</v>
      </c>
      <c r="G1213" s="1">
        <f t="shared" si="205"/>
        <v>3.9991331114082359E-6</v>
      </c>
      <c r="H1213" s="1">
        <f t="shared" si="198"/>
        <v>4.1127446916875352E-8</v>
      </c>
      <c r="I1213">
        <f t="shared" si="199"/>
        <v>10</v>
      </c>
      <c r="J1213">
        <f t="shared" si="200"/>
        <v>1176</v>
      </c>
      <c r="K1213" s="5">
        <f t="shared" si="201"/>
        <v>0</v>
      </c>
      <c r="L1213">
        <f t="shared" si="202"/>
        <v>95</v>
      </c>
      <c r="M1213">
        <f t="shared" si="203"/>
        <v>1</v>
      </c>
      <c r="N1213">
        <f t="shared" si="204"/>
        <v>0</v>
      </c>
    </row>
    <row r="1214" spans="4:14" x14ac:dyDescent="0.2">
      <c r="D1214">
        <f t="shared" si="206"/>
        <v>1191</v>
      </c>
      <c r="E1214" s="1">
        <f t="shared" si="207"/>
        <v>-10.10419452781753</v>
      </c>
      <c r="F1214" s="1">
        <f t="shared" si="208"/>
        <v>-12.439904242347261</v>
      </c>
      <c r="G1214" s="1">
        <f t="shared" si="205"/>
        <v>3.9574754748310566E-6</v>
      </c>
      <c r="H1214" s="1">
        <f t="shared" si="198"/>
        <v>4.0699036011491131E-8</v>
      </c>
      <c r="I1214">
        <f t="shared" si="199"/>
        <v>10</v>
      </c>
      <c r="J1214">
        <f t="shared" si="200"/>
        <v>1177</v>
      </c>
      <c r="K1214" s="5">
        <f t="shared" si="201"/>
        <v>0</v>
      </c>
      <c r="L1214">
        <f t="shared" si="202"/>
        <v>95</v>
      </c>
      <c r="M1214">
        <f t="shared" si="203"/>
        <v>1</v>
      </c>
      <c r="N1214">
        <f t="shared" si="204"/>
        <v>0</v>
      </c>
    </row>
    <row r="1215" spans="4:14" x14ac:dyDescent="0.2">
      <c r="D1215">
        <f t="shared" si="206"/>
        <v>1192</v>
      </c>
      <c r="E1215" s="1">
        <f t="shared" si="207"/>
        <v>-10.114665827684826</v>
      </c>
      <c r="F1215" s="1">
        <f t="shared" si="208"/>
        <v>-12.450375542214555</v>
      </c>
      <c r="G1215" s="1">
        <f t="shared" si="205"/>
        <v>3.9162517719682372E-6</v>
      </c>
      <c r="H1215" s="1">
        <f t="shared" si="198"/>
        <v>4.0275087719704804E-8</v>
      </c>
      <c r="I1215">
        <f t="shared" si="199"/>
        <v>10</v>
      </c>
      <c r="J1215">
        <f t="shared" si="200"/>
        <v>1178</v>
      </c>
      <c r="K1215" s="5">
        <f t="shared" si="201"/>
        <v>0</v>
      </c>
      <c r="L1215">
        <f t="shared" si="202"/>
        <v>95</v>
      </c>
      <c r="M1215">
        <f t="shared" si="203"/>
        <v>1</v>
      </c>
      <c r="N1215">
        <f t="shared" si="204"/>
        <v>0</v>
      </c>
    </row>
    <row r="1216" spans="4:14" x14ac:dyDescent="0.2">
      <c r="D1216">
        <f t="shared" si="206"/>
        <v>1193</v>
      </c>
      <c r="E1216" s="1">
        <f t="shared" si="207"/>
        <v>-10.125137127552122</v>
      </c>
      <c r="F1216" s="1">
        <f t="shared" si="208"/>
        <v>-12.460846842081853</v>
      </c>
      <c r="G1216" s="1">
        <f t="shared" si="205"/>
        <v>3.8754574826768913E-6</v>
      </c>
      <c r="H1216" s="1">
        <f t="shared" si="198"/>
        <v>3.9855555555957774E-8</v>
      </c>
      <c r="I1216">
        <f t="shared" si="199"/>
        <v>10</v>
      </c>
      <c r="J1216">
        <f t="shared" si="200"/>
        <v>1179</v>
      </c>
      <c r="K1216" s="5">
        <f t="shared" si="201"/>
        <v>0</v>
      </c>
      <c r="L1216">
        <f t="shared" si="202"/>
        <v>95</v>
      </c>
      <c r="M1216">
        <f t="shared" si="203"/>
        <v>1</v>
      </c>
      <c r="N1216">
        <f t="shared" si="204"/>
        <v>0</v>
      </c>
    </row>
    <row r="1217" spans="4:14" x14ac:dyDescent="0.2">
      <c r="D1217">
        <f t="shared" si="206"/>
        <v>1194</v>
      </c>
      <c r="E1217" s="1">
        <f t="shared" si="207"/>
        <v>-10.135608427419418</v>
      </c>
      <c r="F1217" s="1">
        <f t="shared" si="208"/>
        <v>-12.471318141949148</v>
      </c>
      <c r="G1217" s="1">
        <f t="shared" si="205"/>
        <v>3.8350881338990102E-6</v>
      </c>
      <c r="H1217" s="1">
        <f t="shared" si="198"/>
        <v>3.9440393518916581E-8</v>
      </c>
      <c r="I1217">
        <f t="shared" si="199"/>
        <v>10</v>
      </c>
      <c r="J1217">
        <f t="shared" si="200"/>
        <v>1180</v>
      </c>
      <c r="K1217" s="5">
        <f t="shared" si="201"/>
        <v>0</v>
      </c>
      <c r="L1217">
        <f t="shared" si="202"/>
        <v>95</v>
      </c>
      <c r="M1217">
        <f t="shared" si="203"/>
        <v>1</v>
      </c>
      <c r="N1217">
        <f t="shared" si="204"/>
        <v>0</v>
      </c>
    </row>
    <row r="1218" spans="4:14" x14ac:dyDescent="0.2">
      <c r="D1218">
        <f t="shared" si="206"/>
        <v>1195</v>
      </c>
      <c r="E1218" s="1">
        <f t="shared" si="207"/>
        <v>-10.146079727286715</v>
      </c>
      <c r="F1218" s="1">
        <f t="shared" si="208"/>
        <v>-12.481789441816446</v>
      </c>
      <c r="G1218" s="1">
        <f t="shared" si="205"/>
        <v>3.7951392991708858E-6</v>
      </c>
      <c r="H1218" s="1">
        <f t="shared" si="198"/>
        <v>3.9029556086427771E-8</v>
      </c>
      <c r="I1218">
        <f t="shared" si="199"/>
        <v>10</v>
      </c>
      <c r="J1218">
        <f t="shared" si="200"/>
        <v>1181</v>
      </c>
      <c r="K1218" s="5">
        <f t="shared" si="201"/>
        <v>0</v>
      </c>
      <c r="L1218">
        <f t="shared" si="202"/>
        <v>95</v>
      </c>
      <c r="M1218">
        <f t="shared" si="203"/>
        <v>1</v>
      </c>
      <c r="N1218">
        <f t="shared" si="204"/>
        <v>0</v>
      </c>
    </row>
    <row r="1219" spans="4:14" x14ac:dyDescent="0.2">
      <c r="D1219">
        <f t="shared" si="206"/>
        <v>1196</v>
      </c>
      <c r="E1219" s="1">
        <f t="shared" si="207"/>
        <v>-10.156551027154011</v>
      </c>
      <c r="F1219" s="1">
        <f t="shared" si="208"/>
        <v>-12.49226074168374</v>
      </c>
      <c r="G1219" s="1">
        <f t="shared" si="205"/>
        <v>3.7556065981378594E-6</v>
      </c>
      <c r="H1219" s="1">
        <f t="shared" si="198"/>
        <v>3.8622998210527518E-8</v>
      </c>
      <c r="I1219">
        <f t="shared" si="199"/>
        <v>10</v>
      </c>
      <c r="J1219">
        <f t="shared" si="200"/>
        <v>1182</v>
      </c>
      <c r="K1219" s="5">
        <f t="shared" si="201"/>
        <v>0</v>
      </c>
      <c r="L1219">
        <f t="shared" si="202"/>
        <v>95</v>
      </c>
      <c r="M1219">
        <f t="shared" si="203"/>
        <v>1</v>
      </c>
      <c r="N1219">
        <f t="shared" si="204"/>
        <v>0</v>
      </c>
    </row>
    <row r="1220" spans="4:14" x14ac:dyDescent="0.2">
      <c r="D1220">
        <f t="shared" si="206"/>
        <v>1197</v>
      </c>
      <c r="E1220" s="1">
        <f t="shared" si="207"/>
        <v>-10.167022327021307</v>
      </c>
      <c r="F1220" s="1">
        <f t="shared" si="208"/>
        <v>-12.502732041551038</v>
      </c>
      <c r="G1220" s="1">
        <f t="shared" si="205"/>
        <v>3.7164856960739135E-6</v>
      </c>
      <c r="H1220" s="1">
        <f t="shared" si="198"/>
        <v>3.8220675312501087E-8</v>
      </c>
      <c r="I1220">
        <f t="shared" si="199"/>
        <v>10</v>
      </c>
      <c r="J1220">
        <f t="shared" si="200"/>
        <v>1183</v>
      </c>
      <c r="K1220" s="5">
        <f t="shared" si="201"/>
        <v>0</v>
      </c>
      <c r="L1220">
        <f t="shared" si="202"/>
        <v>95</v>
      </c>
      <c r="M1220">
        <f t="shared" si="203"/>
        <v>1</v>
      </c>
      <c r="N1220">
        <f t="shared" si="204"/>
        <v>0</v>
      </c>
    </row>
    <row r="1221" spans="4:14" x14ac:dyDescent="0.2">
      <c r="D1221">
        <f t="shared" si="206"/>
        <v>1198</v>
      </c>
      <c r="E1221" s="1">
        <f t="shared" si="207"/>
        <v>-10.177493626888603</v>
      </c>
      <c r="F1221" s="1">
        <f t="shared" si="208"/>
        <v>-12.513203341418333</v>
      </c>
      <c r="G1221" s="1">
        <f t="shared" si="205"/>
        <v>3.6777723034064807E-6</v>
      </c>
      <c r="H1221" s="1">
        <f t="shared" si="198"/>
        <v>3.7822543277995906E-8</v>
      </c>
      <c r="I1221">
        <f t="shared" si="199"/>
        <v>10</v>
      </c>
      <c r="J1221">
        <f t="shared" si="200"/>
        <v>1184</v>
      </c>
      <c r="K1221" s="5">
        <f t="shared" si="201"/>
        <v>0</v>
      </c>
      <c r="L1221">
        <f t="shared" si="202"/>
        <v>95</v>
      </c>
      <c r="M1221">
        <f t="shared" si="203"/>
        <v>1</v>
      </c>
      <c r="N1221">
        <f t="shared" si="204"/>
        <v>0</v>
      </c>
    </row>
    <row r="1222" spans="4:14" x14ac:dyDescent="0.2">
      <c r="D1222">
        <f t="shared" si="206"/>
        <v>1199</v>
      </c>
      <c r="E1222" s="1">
        <f t="shared" si="207"/>
        <v>-10.1879649267559</v>
      </c>
      <c r="F1222" s="1">
        <f t="shared" si="208"/>
        <v>-12.523674641285631</v>
      </c>
      <c r="G1222" s="1">
        <f t="shared" si="205"/>
        <v>3.639462175245987E-6</v>
      </c>
      <c r="H1222" s="1">
        <f t="shared" si="198"/>
        <v>3.7428558452183353E-8</v>
      </c>
      <c r="I1222">
        <f t="shared" si="199"/>
        <v>10</v>
      </c>
      <c r="J1222">
        <f t="shared" si="200"/>
        <v>1185</v>
      </c>
      <c r="K1222" s="5">
        <f t="shared" si="201"/>
        <v>0</v>
      </c>
      <c r="L1222">
        <f t="shared" si="202"/>
        <v>95</v>
      </c>
      <c r="M1222">
        <f t="shared" si="203"/>
        <v>1</v>
      </c>
      <c r="N1222">
        <f t="shared" si="204"/>
        <v>0</v>
      </c>
    </row>
    <row r="1223" spans="4:14" x14ac:dyDescent="0.2">
      <c r="D1223">
        <f t="shared" si="206"/>
        <v>1200</v>
      </c>
      <c r="E1223" s="1">
        <f t="shared" si="207"/>
        <v>-10.198436226623196</v>
      </c>
      <c r="F1223" s="1">
        <f t="shared" si="208"/>
        <v>-12.534145941152925</v>
      </c>
      <c r="G1223" s="1">
        <f t="shared" si="205"/>
        <v>3.6015511109205112E-6</v>
      </c>
      <c r="H1223" s="1">
        <f t="shared" si="198"/>
        <v>3.7038677634973145E-8</v>
      </c>
      <c r="I1223">
        <f t="shared" si="199"/>
        <v>10</v>
      </c>
      <c r="J1223">
        <f t="shared" si="200"/>
        <v>1186</v>
      </c>
      <c r="K1223" s="5">
        <f t="shared" si="201"/>
        <v>0</v>
      </c>
      <c r="L1223">
        <f t="shared" si="202"/>
        <v>95</v>
      </c>
      <c r="M1223">
        <f t="shared" si="203"/>
        <v>1</v>
      </c>
      <c r="N1223">
        <f t="shared" si="204"/>
        <v>0</v>
      </c>
    </row>
    <row r="1224" spans="4:14" x14ac:dyDescent="0.2">
      <c r="D1224">
        <f t="shared" si="206"/>
        <v>1201</v>
      </c>
      <c r="E1224" s="1">
        <f t="shared" si="207"/>
        <v>-10.208907526490492</v>
      </c>
      <c r="F1224" s="1">
        <f t="shared" si="208"/>
        <v>-12.544617241020223</v>
      </c>
      <c r="G1224" s="1">
        <f t="shared" si="205"/>
        <v>3.56403495351508E-6</v>
      </c>
      <c r="H1224" s="1">
        <f t="shared" si="198"/>
        <v>3.6652858076275408E-8</v>
      </c>
      <c r="I1224">
        <f t="shared" si="199"/>
        <v>10</v>
      </c>
      <c r="J1224">
        <f t="shared" si="200"/>
        <v>1187</v>
      </c>
      <c r="K1224" s="5">
        <f t="shared" si="201"/>
        <v>0</v>
      </c>
      <c r="L1224">
        <f t="shared" si="202"/>
        <v>95</v>
      </c>
      <c r="M1224">
        <f t="shared" si="203"/>
        <v>1</v>
      </c>
      <c r="N1224">
        <f t="shared" si="204"/>
        <v>0</v>
      </c>
    </row>
    <row r="1225" spans="4:14" x14ac:dyDescent="0.2">
      <c r="D1225">
        <f t="shared" si="206"/>
        <v>1202</v>
      </c>
      <c r="E1225" s="1">
        <f t="shared" si="207"/>
        <v>-10.219378826357788</v>
      </c>
      <c r="F1225" s="1">
        <f t="shared" si="208"/>
        <v>-12.555088540887517</v>
      </c>
      <c r="G1225" s="1">
        <f t="shared" si="205"/>
        <v>3.5269095894159682E-6</v>
      </c>
      <c r="H1225" s="1">
        <f t="shared" si="198"/>
        <v>3.6271057471314241E-8</v>
      </c>
      <c r="I1225">
        <f t="shared" si="199"/>
        <v>10</v>
      </c>
      <c r="J1225">
        <f t="shared" si="200"/>
        <v>1188</v>
      </c>
      <c r="K1225" s="5">
        <f t="shared" si="201"/>
        <v>0</v>
      </c>
      <c r="L1225">
        <f t="shared" si="202"/>
        <v>95</v>
      </c>
      <c r="M1225">
        <f t="shared" si="203"/>
        <v>1</v>
      </c>
      <c r="N1225">
        <f t="shared" si="204"/>
        <v>0</v>
      </c>
    </row>
    <row r="1226" spans="4:14" x14ac:dyDescent="0.2">
      <c r="D1226">
        <f t="shared" si="206"/>
        <v>1203</v>
      </c>
      <c r="E1226" s="1">
        <f t="shared" si="207"/>
        <v>-10.229850126225084</v>
      </c>
      <c r="F1226" s="1">
        <f t="shared" si="208"/>
        <v>-12.565559840754815</v>
      </c>
      <c r="G1226" s="1">
        <f t="shared" si="205"/>
        <v>3.4901709478595426E-6</v>
      </c>
      <c r="H1226" s="1">
        <f t="shared" si="198"/>
        <v>3.5893233955987961E-8</v>
      </c>
      <c r="I1226">
        <f t="shared" si="199"/>
        <v>10</v>
      </c>
      <c r="J1226">
        <f t="shared" si="200"/>
        <v>1189</v>
      </c>
      <c r="K1226" s="5">
        <f t="shared" si="201"/>
        <v>0</v>
      </c>
      <c r="L1226">
        <f t="shared" si="202"/>
        <v>95</v>
      </c>
      <c r="M1226">
        <f t="shared" si="203"/>
        <v>1</v>
      </c>
      <c r="N1226">
        <f t="shared" si="204"/>
        <v>0</v>
      </c>
    </row>
    <row r="1227" spans="4:14" x14ac:dyDescent="0.2">
      <c r="D1227">
        <f t="shared" si="206"/>
        <v>1204</v>
      </c>
      <c r="E1227" s="1">
        <f t="shared" si="207"/>
        <v>-10.240321426092381</v>
      </c>
      <c r="F1227" s="1">
        <f t="shared" si="208"/>
        <v>-12.57603114062211</v>
      </c>
      <c r="G1227" s="1">
        <f t="shared" si="205"/>
        <v>3.4538150004860089E-6</v>
      </c>
      <c r="H1227" s="1">
        <f t="shared" si="198"/>
        <v>3.5519346102279784E-8</v>
      </c>
      <c r="I1227">
        <f t="shared" si="199"/>
        <v>10</v>
      </c>
      <c r="J1227">
        <f t="shared" si="200"/>
        <v>1190</v>
      </c>
      <c r="K1227" s="5">
        <f t="shared" si="201"/>
        <v>0</v>
      </c>
      <c r="L1227">
        <f t="shared" si="202"/>
        <v>95</v>
      </c>
      <c r="M1227">
        <f t="shared" si="203"/>
        <v>1</v>
      </c>
      <c r="N1227">
        <f t="shared" si="204"/>
        <v>0</v>
      </c>
    </row>
    <row r="1228" spans="4:14" x14ac:dyDescent="0.2">
      <c r="D1228">
        <f t="shared" si="206"/>
        <v>1205</v>
      </c>
      <c r="E1228" s="1">
        <f t="shared" si="207"/>
        <v>-10.250792725959677</v>
      </c>
      <c r="F1228" s="1">
        <f t="shared" si="208"/>
        <v>-12.586502440489408</v>
      </c>
      <c r="G1228" s="1">
        <f t="shared" si="205"/>
        <v>3.4178377608976041E-6</v>
      </c>
      <c r="H1228" s="1">
        <f t="shared" si="198"/>
        <v>3.5149352913714278E-8</v>
      </c>
      <c r="I1228">
        <f t="shared" si="199"/>
        <v>10</v>
      </c>
      <c r="J1228">
        <f t="shared" si="200"/>
        <v>1191</v>
      </c>
      <c r="K1228" s="5">
        <f t="shared" si="201"/>
        <v>0</v>
      </c>
      <c r="L1228">
        <f t="shared" si="202"/>
        <v>95</v>
      </c>
      <c r="M1228">
        <f t="shared" si="203"/>
        <v>1</v>
      </c>
      <c r="N1228">
        <f t="shared" si="204"/>
        <v>0</v>
      </c>
    </row>
    <row r="1229" spans="4:14" x14ac:dyDescent="0.2">
      <c r="D1229">
        <f t="shared" si="206"/>
        <v>1206</v>
      </c>
      <c r="E1229" s="1">
        <f t="shared" si="207"/>
        <v>-10.261264025826973</v>
      </c>
      <c r="F1229" s="1">
        <f t="shared" si="208"/>
        <v>-12.596973740356702</v>
      </c>
      <c r="G1229" s="1">
        <f t="shared" si="205"/>
        <v>3.3822352842215907E-6</v>
      </c>
      <c r="H1229" s="1">
        <f t="shared" si="198"/>
        <v>3.4783213820863123E-8</v>
      </c>
      <c r="I1229">
        <f t="shared" si="199"/>
        <v>10</v>
      </c>
      <c r="J1229">
        <f t="shared" si="200"/>
        <v>1192</v>
      </c>
      <c r="K1229" s="5">
        <f t="shared" si="201"/>
        <v>0</v>
      </c>
      <c r="L1229">
        <f t="shared" si="202"/>
        <v>95</v>
      </c>
      <c r="M1229">
        <f t="shared" si="203"/>
        <v>1</v>
      </c>
      <c r="N1229">
        <f t="shared" si="204"/>
        <v>0</v>
      </c>
    </row>
    <row r="1230" spans="4:14" x14ac:dyDescent="0.2">
      <c r="D1230">
        <f t="shared" si="206"/>
        <v>1207</v>
      </c>
      <c r="E1230" s="1">
        <f t="shared" si="207"/>
        <v>-10.271735325694269</v>
      </c>
      <c r="F1230" s="1">
        <f t="shared" si="208"/>
        <v>-12.607445040224</v>
      </c>
      <c r="G1230" s="1">
        <f t="shared" si="205"/>
        <v>3.3470036666776071E-6</v>
      </c>
      <c r="H1230" s="1">
        <f t="shared" si="198"/>
        <v>3.4420888676895711E-8</v>
      </c>
      <c r="I1230">
        <f t="shared" si="199"/>
        <v>10</v>
      </c>
      <c r="J1230">
        <f t="shared" si="200"/>
        <v>1193</v>
      </c>
      <c r="K1230" s="5">
        <f t="shared" si="201"/>
        <v>0</v>
      </c>
      <c r="L1230">
        <f t="shared" si="202"/>
        <v>95</v>
      </c>
      <c r="M1230">
        <f t="shared" si="203"/>
        <v>1</v>
      </c>
      <c r="N1230">
        <f t="shared" si="204"/>
        <v>0</v>
      </c>
    </row>
    <row r="1231" spans="4:14" x14ac:dyDescent="0.2">
      <c r="D1231">
        <f t="shared" si="206"/>
        <v>1208</v>
      </c>
      <c r="E1231" s="1">
        <f t="shared" si="207"/>
        <v>-10.282206625561566</v>
      </c>
      <c r="F1231" s="1">
        <f t="shared" si="208"/>
        <v>-12.617916340091295</v>
      </c>
      <c r="G1231" s="1">
        <f t="shared" si="205"/>
        <v>3.3121390451497187E-6</v>
      </c>
      <c r="H1231" s="1">
        <f t="shared" si="198"/>
        <v>3.4062337753178079E-8</v>
      </c>
      <c r="I1231">
        <f t="shared" si="199"/>
        <v>10</v>
      </c>
      <c r="J1231">
        <f t="shared" si="200"/>
        <v>1194</v>
      </c>
      <c r="K1231" s="5">
        <f t="shared" si="201"/>
        <v>0</v>
      </c>
      <c r="L1231">
        <f t="shared" si="202"/>
        <v>95</v>
      </c>
      <c r="M1231">
        <f t="shared" si="203"/>
        <v>1</v>
      </c>
      <c r="N1231">
        <f t="shared" si="204"/>
        <v>0</v>
      </c>
    </row>
    <row r="1232" spans="4:14" x14ac:dyDescent="0.2">
      <c r="D1232">
        <f t="shared" si="206"/>
        <v>1209</v>
      </c>
      <c r="E1232" s="1">
        <f t="shared" si="207"/>
        <v>-10.292677925428862</v>
      </c>
      <c r="F1232" s="1">
        <f t="shared" si="208"/>
        <v>-12.628387639958593</v>
      </c>
      <c r="G1232" s="1">
        <f t="shared" si="205"/>
        <v>3.2776375967627339E-6</v>
      </c>
      <c r="H1232" s="1">
        <f t="shared" si="198"/>
        <v>3.3707521734915718E-8</v>
      </c>
      <c r="I1232">
        <f t="shared" si="199"/>
        <v>10</v>
      </c>
      <c r="J1232">
        <f t="shared" si="200"/>
        <v>1195</v>
      </c>
      <c r="K1232" s="5">
        <f t="shared" si="201"/>
        <v>0</v>
      </c>
      <c r="L1232">
        <f t="shared" si="202"/>
        <v>95</v>
      </c>
      <c r="M1232">
        <f t="shared" si="203"/>
        <v>1</v>
      </c>
      <c r="N1232">
        <f t="shared" si="204"/>
        <v>0</v>
      </c>
    </row>
    <row r="1233" spans="4:14" x14ac:dyDescent="0.2">
      <c r="D1233">
        <f t="shared" si="206"/>
        <v>1210</v>
      </c>
      <c r="E1233" s="1">
        <f t="shared" si="207"/>
        <v>-10.303149225296158</v>
      </c>
      <c r="F1233" s="1">
        <f t="shared" si="208"/>
        <v>-12.638858939825887</v>
      </c>
      <c r="G1233" s="1">
        <f t="shared" si="205"/>
        <v>3.2434955384631251E-6</v>
      </c>
      <c r="H1233" s="1">
        <f t="shared" si="198"/>
        <v>3.3356401716843708E-8</v>
      </c>
      <c r="I1233">
        <f t="shared" si="199"/>
        <v>10</v>
      </c>
      <c r="J1233">
        <f t="shared" si="200"/>
        <v>1196</v>
      </c>
      <c r="K1233" s="5">
        <f t="shared" si="201"/>
        <v>0</v>
      </c>
      <c r="L1233">
        <f t="shared" si="202"/>
        <v>95</v>
      </c>
      <c r="M1233">
        <f t="shared" si="203"/>
        <v>1</v>
      </c>
      <c r="N1233">
        <f t="shared" si="204"/>
        <v>0</v>
      </c>
    </row>
    <row r="1234" spans="4:14" x14ac:dyDescent="0.2">
      <c r="D1234">
        <f t="shared" si="206"/>
        <v>1211</v>
      </c>
      <c r="E1234" s="1">
        <f t="shared" si="207"/>
        <v>-10.313620525163454</v>
      </c>
      <c r="F1234" s="1">
        <f t="shared" si="208"/>
        <v>-12.649330239693185</v>
      </c>
      <c r="G1234" s="1">
        <f t="shared" si="205"/>
        <v>3.2097091266041257E-6</v>
      </c>
      <c r="H1234" s="1">
        <f t="shared" si="198"/>
        <v>3.3008939198959839E-8</v>
      </c>
      <c r="I1234">
        <f t="shared" si="199"/>
        <v>10</v>
      </c>
      <c r="J1234">
        <f t="shared" si="200"/>
        <v>1197</v>
      </c>
      <c r="K1234" s="5">
        <f t="shared" si="201"/>
        <v>0</v>
      </c>
      <c r="L1234">
        <f t="shared" si="202"/>
        <v>95</v>
      </c>
      <c r="M1234">
        <f t="shared" si="203"/>
        <v>1</v>
      </c>
      <c r="N1234">
        <f t="shared" si="204"/>
        <v>0</v>
      </c>
    </row>
    <row r="1235" spans="4:14" x14ac:dyDescent="0.2">
      <c r="D1235">
        <f t="shared" si="206"/>
        <v>1212</v>
      </c>
      <c r="E1235" s="1">
        <f t="shared" si="207"/>
        <v>-10.324091825030751</v>
      </c>
      <c r="F1235" s="1">
        <f t="shared" si="208"/>
        <v>-12.65980153956048</v>
      </c>
      <c r="G1235" s="1">
        <f t="shared" si="205"/>
        <v>3.1762746565353362E-6</v>
      </c>
      <c r="H1235" s="1">
        <f t="shared" si="198"/>
        <v>3.266509608230404E-8</v>
      </c>
      <c r="I1235">
        <f t="shared" si="199"/>
        <v>10</v>
      </c>
      <c r="J1235">
        <f t="shared" si="200"/>
        <v>1198</v>
      </c>
      <c r="K1235" s="5">
        <f t="shared" si="201"/>
        <v>0</v>
      </c>
      <c r="L1235">
        <f t="shared" si="202"/>
        <v>95</v>
      </c>
      <c r="M1235">
        <f t="shared" si="203"/>
        <v>1</v>
      </c>
      <c r="N1235">
        <f t="shared" si="204"/>
        <v>0</v>
      </c>
    </row>
    <row r="1236" spans="4:14" x14ac:dyDescent="0.2">
      <c r="D1236">
        <f t="shared" si="206"/>
        <v>1213</v>
      </c>
      <c r="E1236" s="1">
        <f t="shared" si="207"/>
        <v>-10.334563124898047</v>
      </c>
      <c r="F1236" s="1">
        <f t="shared" si="208"/>
        <v>-12.670272839427778</v>
      </c>
      <c r="G1236" s="1">
        <f t="shared" si="205"/>
        <v>3.1431884621964182E-6</v>
      </c>
      <c r="H1236" s="1">
        <f t="shared" si="198"/>
        <v>3.2324834664779952E-8</v>
      </c>
      <c r="I1236">
        <f t="shared" si="199"/>
        <v>10</v>
      </c>
      <c r="J1236">
        <f t="shared" si="200"/>
        <v>1199</v>
      </c>
      <c r="K1236" s="5">
        <f t="shared" si="201"/>
        <v>0</v>
      </c>
      <c r="L1236">
        <f t="shared" si="202"/>
        <v>95</v>
      </c>
      <c r="M1236">
        <f t="shared" si="203"/>
        <v>1</v>
      </c>
      <c r="N1236">
        <f t="shared" si="204"/>
        <v>0</v>
      </c>
    </row>
    <row r="1237" spans="4:14" x14ac:dyDescent="0.2">
      <c r="D1237">
        <f t="shared" si="206"/>
        <v>1214</v>
      </c>
      <c r="E1237" s="1">
        <f t="shared" si="207"/>
        <v>-10.345034424765343</v>
      </c>
      <c r="F1237" s="1">
        <f t="shared" si="208"/>
        <v>-12.680744139295072</v>
      </c>
      <c r="G1237" s="1">
        <f t="shared" si="205"/>
        <v>3.1104469157152083E-6</v>
      </c>
      <c r="H1237" s="1">
        <f t="shared" si="198"/>
        <v>3.1988117637021857E-8</v>
      </c>
      <c r="I1237">
        <f t="shared" si="199"/>
        <v>10</v>
      </c>
      <c r="J1237">
        <f t="shared" si="200"/>
        <v>1200</v>
      </c>
      <c r="K1237" s="5">
        <f t="shared" si="201"/>
        <v>0</v>
      </c>
      <c r="L1237">
        <f t="shared" si="202"/>
        <v>95</v>
      </c>
      <c r="M1237">
        <f t="shared" si="203"/>
        <v>1</v>
      </c>
      <c r="N1237">
        <f t="shared" si="204"/>
        <v>0</v>
      </c>
    </row>
    <row r="1238" spans="4:14" x14ac:dyDescent="0.2">
      <c r="D1238">
        <f t="shared" si="206"/>
        <v>1215</v>
      </c>
      <c r="E1238" s="1">
        <f t="shared" si="207"/>
        <v>-10.355505724632639</v>
      </c>
      <c r="F1238" s="1">
        <f t="shared" si="208"/>
        <v>-12.69121543916237</v>
      </c>
      <c r="G1238" s="1">
        <f t="shared" si="205"/>
        <v>3.0780464270098336E-6</v>
      </c>
      <c r="H1238" s="1">
        <f t="shared" si="198"/>
        <v>3.1654908078302801E-8</v>
      </c>
      <c r="I1238">
        <f t="shared" si="199"/>
        <v>10</v>
      </c>
      <c r="J1238">
        <f t="shared" si="200"/>
        <v>1201</v>
      </c>
      <c r="K1238" s="5">
        <f t="shared" si="201"/>
        <v>0</v>
      </c>
      <c r="L1238">
        <f t="shared" si="202"/>
        <v>95</v>
      </c>
      <c r="M1238">
        <f t="shared" si="203"/>
        <v>1</v>
      </c>
      <c r="N1238">
        <f t="shared" si="204"/>
        <v>0</v>
      </c>
    </row>
    <row r="1239" spans="4:14" x14ac:dyDescent="0.2">
      <c r="D1239">
        <f t="shared" si="206"/>
        <v>1216</v>
      </c>
      <c r="E1239" s="1">
        <f t="shared" si="207"/>
        <v>-10.365977024499935</v>
      </c>
      <c r="F1239" s="1">
        <f t="shared" si="208"/>
        <v>-12.701686739029665</v>
      </c>
      <c r="G1239" s="1">
        <f t="shared" si="205"/>
        <v>3.0459834433951509E-6</v>
      </c>
      <c r="H1239" s="1">
        <f t="shared" ref="H1239:H1302" si="209">G1239/$G$21</f>
        <v>3.1325169452487179E-8</v>
      </c>
      <c r="I1239">
        <f t="shared" ref="I1239:I1302" si="210">IF($F$11&lt;=D1239, IF(D1239&lt;=$A$15,D1239-$F$11,$C$11),0)</f>
        <v>10</v>
      </c>
      <c r="J1239">
        <f t="shared" ref="J1239:J1302" si="211">IF(D1239&lt;=$A$15,0,D1239-$A$15)</f>
        <v>1202</v>
      </c>
      <c r="K1239" s="5">
        <f t="shared" ref="K1239:K1302" si="212">IF(D1239&lt;$F$11,H1239,0)</f>
        <v>0</v>
      </c>
      <c r="L1239">
        <f t="shared" ref="L1239:L1302" si="213">IF(D1239&lt;$A$15,$D$11,$D$11*(1-$H$11))</f>
        <v>95</v>
      </c>
      <c r="M1239">
        <f t="shared" ref="M1239:M1302" si="214">IF(D1239&lt;$A$15,0,1)</f>
        <v>1</v>
      </c>
      <c r="N1239">
        <f t="shared" ref="N1239:N1302" si="215">IF(SUM(I1239:J1239)&lt;=($G$11/60*$F$11/($E$11/60)),1,0)</f>
        <v>0</v>
      </c>
    </row>
    <row r="1240" spans="4:14" x14ac:dyDescent="0.2">
      <c r="D1240">
        <f t="shared" si="206"/>
        <v>1217</v>
      </c>
      <c r="E1240" s="1">
        <f t="shared" si="207"/>
        <v>-10.376448324367232</v>
      </c>
      <c r="F1240" s="1">
        <f t="shared" si="208"/>
        <v>-12.712158038896963</v>
      </c>
      <c r="G1240" s="1">
        <f t="shared" ref="G1240:G1303" si="216">EXP(F1240)</f>
        <v>3.0142544491931103E-6</v>
      </c>
      <c r="H1240" s="1">
        <f t="shared" si="209"/>
        <v>3.0998865604023686E-8</v>
      </c>
      <c r="I1240">
        <f t="shared" si="210"/>
        <v>10</v>
      </c>
      <c r="J1240">
        <f t="shared" si="211"/>
        <v>1203</v>
      </c>
      <c r="K1240" s="5">
        <f t="shared" si="212"/>
        <v>0</v>
      </c>
      <c r="L1240">
        <f t="shared" si="213"/>
        <v>95</v>
      </c>
      <c r="M1240">
        <f t="shared" si="214"/>
        <v>1</v>
      </c>
      <c r="N1240">
        <f t="shared" si="215"/>
        <v>0</v>
      </c>
    </row>
    <row r="1241" spans="4:14" x14ac:dyDescent="0.2">
      <c r="D1241">
        <f t="shared" ref="D1241:D1304" si="217">1+D1240</f>
        <v>1218</v>
      </c>
      <c r="E1241" s="1">
        <f t="shared" ref="E1241:E1304" si="218">IF($H$11=1,IF(D1241&lt;=$A$15, E1240+LN($D$11)-LN(60/$E$11)-LN(MIN(D1241,$F$11)), E1240-LN(60/$E$11)-LN(MIN(D1241,$F$11))), IF(D1241&lt;=$A$15, E1240+LN($D$11)-LN(60/$E$11)-LN(MIN(D1241,$F$11)), E1240+LN($D$11)+LN(1-$H$11)-LN(60/$E$11)-LN(MIN(D1241,$F$11))))</f>
        <v>-10.386919624234528</v>
      </c>
      <c r="F1241" s="1">
        <f t="shared" ref="F1241:F1304" si="219">E1241-$E$21</f>
        <v>-12.722629338764257</v>
      </c>
      <c r="G1241" s="1">
        <f t="shared" si="216"/>
        <v>2.9828559653473514E-6</v>
      </c>
      <c r="H1241" s="1">
        <f t="shared" si="209"/>
        <v>3.0675960753981802E-8</v>
      </c>
      <c r="I1241">
        <f t="shared" si="210"/>
        <v>10</v>
      </c>
      <c r="J1241">
        <f t="shared" si="211"/>
        <v>1204</v>
      </c>
      <c r="K1241" s="5">
        <f t="shared" si="212"/>
        <v>0</v>
      </c>
      <c r="L1241">
        <f t="shared" si="213"/>
        <v>95</v>
      </c>
      <c r="M1241">
        <f t="shared" si="214"/>
        <v>1</v>
      </c>
      <c r="N1241">
        <f t="shared" si="215"/>
        <v>0</v>
      </c>
    </row>
    <row r="1242" spans="4:14" x14ac:dyDescent="0.2">
      <c r="D1242">
        <f t="shared" si="217"/>
        <v>1219</v>
      </c>
      <c r="E1242" s="1">
        <f t="shared" si="218"/>
        <v>-10.397390924101824</v>
      </c>
      <c r="F1242" s="1">
        <f t="shared" si="219"/>
        <v>-12.733100638631555</v>
      </c>
      <c r="G1242" s="1">
        <f t="shared" si="216"/>
        <v>2.9517845490416423E-6</v>
      </c>
      <c r="H1242" s="1">
        <f t="shared" si="209"/>
        <v>3.0356419496127746E-8</v>
      </c>
      <c r="I1242">
        <f t="shared" si="210"/>
        <v>10</v>
      </c>
      <c r="J1242">
        <f t="shared" si="211"/>
        <v>1205</v>
      </c>
      <c r="K1242" s="5">
        <f t="shared" si="212"/>
        <v>0</v>
      </c>
      <c r="L1242">
        <f t="shared" si="213"/>
        <v>95</v>
      </c>
      <c r="M1242">
        <f t="shared" si="214"/>
        <v>1</v>
      </c>
      <c r="N1242">
        <f t="shared" si="215"/>
        <v>0</v>
      </c>
    </row>
    <row r="1243" spans="4:14" x14ac:dyDescent="0.2">
      <c r="D1243">
        <f t="shared" si="217"/>
        <v>1220</v>
      </c>
      <c r="E1243" s="1">
        <f t="shared" si="218"/>
        <v>-10.40786222396912</v>
      </c>
      <c r="F1243" s="1">
        <f t="shared" si="219"/>
        <v>-12.74357193849885</v>
      </c>
      <c r="G1243" s="1">
        <f t="shared" si="216"/>
        <v>2.9210367933224612E-6</v>
      </c>
      <c r="H1243" s="1">
        <f t="shared" si="209"/>
        <v>3.0040206793043109E-8</v>
      </c>
      <c r="I1243">
        <f t="shared" si="210"/>
        <v>10</v>
      </c>
      <c r="J1243">
        <f t="shared" si="211"/>
        <v>1206</v>
      </c>
      <c r="K1243" s="5">
        <f t="shared" si="212"/>
        <v>0</v>
      </c>
      <c r="L1243">
        <f t="shared" si="213"/>
        <v>95</v>
      </c>
      <c r="M1243">
        <f t="shared" si="214"/>
        <v>1</v>
      </c>
      <c r="N1243">
        <f t="shared" si="215"/>
        <v>0</v>
      </c>
    </row>
    <row r="1244" spans="4:14" x14ac:dyDescent="0.2">
      <c r="D1244">
        <f t="shared" si="217"/>
        <v>1221</v>
      </c>
      <c r="E1244" s="1">
        <f t="shared" si="218"/>
        <v>-10.418333523836417</v>
      </c>
      <c r="F1244" s="1">
        <f t="shared" si="219"/>
        <v>-12.754043238366148</v>
      </c>
      <c r="G1244" s="1">
        <f t="shared" si="216"/>
        <v>2.8906093267253449E-6</v>
      </c>
      <c r="H1244" s="1">
        <f t="shared" si="209"/>
        <v>2.9727287972282172E-8</v>
      </c>
      <c r="I1244">
        <f t="shared" si="210"/>
        <v>10</v>
      </c>
      <c r="J1244">
        <f t="shared" si="211"/>
        <v>1207</v>
      </c>
      <c r="K1244" s="5">
        <f t="shared" si="212"/>
        <v>0</v>
      </c>
      <c r="L1244">
        <f t="shared" si="213"/>
        <v>95</v>
      </c>
      <c r="M1244">
        <f t="shared" si="214"/>
        <v>1</v>
      </c>
      <c r="N1244">
        <f t="shared" si="215"/>
        <v>0</v>
      </c>
    </row>
    <row r="1245" spans="4:14" x14ac:dyDescent="0.2">
      <c r="D1245">
        <f t="shared" si="217"/>
        <v>1222</v>
      </c>
      <c r="E1245" s="1">
        <f t="shared" si="218"/>
        <v>-10.428804823703713</v>
      </c>
      <c r="F1245" s="1">
        <f t="shared" si="219"/>
        <v>-12.764514538233442</v>
      </c>
      <c r="G1245" s="1">
        <f t="shared" si="216"/>
        <v>2.8604988129052918E-6</v>
      </c>
      <c r="H1245" s="1">
        <f t="shared" si="209"/>
        <v>2.9417628722570925E-8</v>
      </c>
      <c r="I1245">
        <f t="shared" si="210"/>
        <v>10</v>
      </c>
      <c r="J1245">
        <f t="shared" si="211"/>
        <v>1208</v>
      </c>
      <c r="K1245" s="5">
        <f t="shared" si="212"/>
        <v>0</v>
      </c>
      <c r="L1245">
        <f t="shared" si="213"/>
        <v>95</v>
      </c>
      <c r="M1245">
        <f t="shared" si="214"/>
        <v>1</v>
      </c>
      <c r="N1245">
        <f t="shared" si="215"/>
        <v>0</v>
      </c>
    </row>
    <row r="1246" spans="4:14" x14ac:dyDescent="0.2">
      <c r="D1246">
        <f t="shared" si="217"/>
        <v>1223</v>
      </c>
      <c r="E1246" s="1">
        <f t="shared" si="218"/>
        <v>-10.439276123571009</v>
      </c>
      <c r="F1246" s="1">
        <f t="shared" si="219"/>
        <v>-12.77498583810074</v>
      </c>
      <c r="G1246" s="1">
        <f t="shared" si="216"/>
        <v>2.8307019502708544E-6</v>
      </c>
      <c r="H1246" s="1">
        <f t="shared" si="209"/>
        <v>2.911119509004407E-8</v>
      </c>
      <c r="I1246">
        <f t="shared" si="210"/>
        <v>10</v>
      </c>
      <c r="J1246">
        <f t="shared" si="211"/>
        <v>1209</v>
      </c>
      <c r="K1246" s="5">
        <f t="shared" si="212"/>
        <v>0</v>
      </c>
      <c r="L1246">
        <f t="shared" si="213"/>
        <v>95</v>
      </c>
      <c r="M1246">
        <f t="shared" si="214"/>
        <v>1</v>
      </c>
      <c r="N1246">
        <f t="shared" si="215"/>
        <v>0</v>
      </c>
    </row>
    <row r="1247" spans="4:14" x14ac:dyDescent="0.2">
      <c r="D1247">
        <f t="shared" si="217"/>
        <v>1224</v>
      </c>
      <c r="E1247" s="1">
        <f t="shared" si="218"/>
        <v>-10.449747423438305</v>
      </c>
      <c r="F1247" s="1">
        <f t="shared" si="219"/>
        <v>-12.785457137968034</v>
      </c>
      <c r="G1247" s="1">
        <f t="shared" si="216"/>
        <v>2.8012154716222023E-6</v>
      </c>
      <c r="H1247" s="1">
        <f t="shared" si="209"/>
        <v>2.8807953474522803E-8</v>
      </c>
      <c r="I1247">
        <f t="shared" si="210"/>
        <v>10</v>
      </c>
      <c r="J1247">
        <f t="shared" si="211"/>
        <v>1210</v>
      </c>
      <c r="K1247" s="5">
        <f t="shared" si="212"/>
        <v>0</v>
      </c>
      <c r="L1247">
        <f t="shared" si="213"/>
        <v>95</v>
      </c>
      <c r="M1247">
        <f t="shared" si="214"/>
        <v>1</v>
      </c>
      <c r="N1247">
        <f t="shared" si="215"/>
        <v>0</v>
      </c>
    </row>
    <row r="1248" spans="4:14" x14ac:dyDescent="0.2">
      <c r="D1248">
        <f t="shared" si="217"/>
        <v>1225</v>
      </c>
      <c r="E1248" s="1">
        <f t="shared" si="218"/>
        <v>-10.460218723305601</v>
      </c>
      <c r="F1248" s="1">
        <f t="shared" si="219"/>
        <v>-12.795928437835332</v>
      </c>
      <c r="G1248" s="1">
        <f t="shared" si="216"/>
        <v>2.7720361437927972E-6</v>
      </c>
      <c r="H1248" s="1">
        <f t="shared" si="209"/>
        <v>2.8507870625829785E-8</v>
      </c>
      <c r="I1248">
        <f t="shared" si="210"/>
        <v>10</v>
      </c>
      <c r="J1248">
        <f t="shared" si="211"/>
        <v>1211</v>
      </c>
      <c r="K1248" s="5">
        <f t="shared" si="212"/>
        <v>0</v>
      </c>
      <c r="L1248">
        <f t="shared" si="213"/>
        <v>95</v>
      </c>
      <c r="M1248">
        <f t="shared" si="214"/>
        <v>1</v>
      </c>
      <c r="N1248">
        <f t="shared" si="215"/>
        <v>0</v>
      </c>
    </row>
    <row r="1249" spans="4:14" x14ac:dyDescent="0.2">
      <c r="D1249">
        <f t="shared" si="217"/>
        <v>1226</v>
      </c>
      <c r="E1249" s="1">
        <f t="shared" si="218"/>
        <v>-10.470690023172898</v>
      </c>
      <c r="F1249" s="1">
        <f t="shared" si="219"/>
        <v>-12.806399737702627</v>
      </c>
      <c r="G1249" s="1">
        <f t="shared" si="216"/>
        <v>2.743160767294958E-6</v>
      </c>
      <c r="H1249" s="1">
        <f t="shared" si="209"/>
        <v>2.8210913640144084E-8</v>
      </c>
      <c r="I1249">
        <f t="shared" si="210"/>
        <v>10</v>
      </c>
      <c r="J1249">
        <f t="shared" si="211"/>
        <v>1212</v>
      </c>
      <c r="K1249" s="5">
        <f t="shared" si="212"/>
        <v>0</v>
      </c>
      <c r="L1249">
        <f t="shared" si="213"/>
        <v>95</v>
      </c>
      <c r="M1249">
        <f t="shared" si="214"/>
        <v>1</v>
      </c>
      <c r="N1249">
        <f t="shared" si="215"/>
        <v>0</v>
      </c>
    </row>
    <row r="1250" spans="4:14" x14ac:dyDescent="0.2">
      <c r="D1250">
        <f t="shared" si="217"/>
        <v>1227</v>
      </c>
      <c r="E1250" s="1">
        <f t="shared" si="218"/>
        <v>-10.481161323040194</v>
      </c>
      <c r="F1250" s="1">
        <f t="shared" si="219"/>
        <v>-12.816871037569925</v>
      </c>
      <c r="G1250" s="1">
        <f t="shared" si="216"/>
        <v>2.7145861759689618E-6</v>
      </c>
      <c r="H1250" s="1">
        <f t="shared" si="209"/>
        <v>2.7917049956392508E-8</v>
      </c>
      <c r="I1250">
        <f t="shared" si="210"/>
        <v>10</v>
      </c>
      <c r="J1250">
        <f t="shared" si="211"/>
        <v>1213</v>
      </c>
      <c r="K1250" s="5">
        <f t="shared" si="212"/>
        <v>0</v>
      </c>
      <c r="L1250">
        <f t="shared" si="213"/>
        <v>95</v>
      </c>
      <c r="M1250">
        <f t="shared" si="214"/>
        <v>1</v>
      </c>
      <c r="N1250">
        <f t="shared" si="215"/>
        <v>0</v>
      </c>
    </row>
    <row r="1251" spans="4:14" x14ac:dyDescent="0.2">
      <c r="D1251">
        <f t="shared" si="217"/>
        <v>1228</v>
      </c>
      <c r="E1251" s="1">
        <f t="shared" si="218"/>
        <v>-10.49163262290749</v>
      </c>
      <c r="F1251" s="1">
        <f t="shared" si="219"/>
        <v>-12.827342337437219</v>
      </c>
      <c r="G1251" s="1">
        <f t="shared" si="216"/>
        <v>2.6863092366359545E-6</v>
      </c>
      <c r="H1251" s="1">
        <f t="shared" si="209"/>
        <v>2.7626247352680115E-8</v>
      </c>
      <c r="I1251">
        <f t="shared" si="210"/>
        <v>10</v>
      </c>
      <c r="J1251">
        <f t="shared" si="211"/>
        <v>1214</v>
      </c>
      <c r="K1251" s="5">
        <f t="shared" si="212"/>
        <v>0</v>
      </c>
      <c r="L1251">
        <f t="shared" si="213"/>
        <v>95</v>
      </c>
      <c r="M1251">
        <f t="shared" si="214"/>
        <v>1</v>
      </c>
      <c r="N1251">
        <f t="shared" si="215"/>
        <v>0</v>
      </c>
    </row>
    <row r="1252" spans="4:14" x14ac:dyDescent="0.2">
      <c r="D1252">
        <f t="shared" si="217"/>
        <v>1229</v>
      </c>
      <c r="E1252" s="1">
        <f t="shared" si="218"/>
        <v>-10.502103922774786</v>
      </c>
      <c r="F1252" s="1">
        <f t="shared" si="219"/>
        <v>-12.837813637304517</v>
      </c>
      <c r="G1252" s="1">
        <f t="shared" si="216"/>
        <v>2.6583268487543231E-6</v>
      </c>
      <c r="H1252" s="1">
        <f t="shared" si="209"/>
        <v>2.7338473942756294E-8</v>
      </c>
      <c r="I1252">
        <f t="shared" si="210"/>
        <v>10</v>
      </c>
      <c r="J1252">
        <f t="shared" si="211"/>
        <v>1215</v>
      </c>
      <c r="K1252" s="5">
        <f t="shared" si="212"/>
        <v>0</v>
      </c>
      <c r="L1252">
        <f t="shared" si="213"/>
        <v>95</v>
      </c>
      <c r="M1252">
        <f t="shared" si="214"/>
        <v>1</v>
      </c>
      <c r="N1252">
        <f t="shared" si="215"/>
        <v>0</v>
      </c>
    </row>
    <row r="1253" spans="4:14" x14ac:dyDescent="0.2">
      <c r="D1253">
        <f t="shared" si="217"/>
        <v>1230</v>
      </c>
      <c r="E1253" s="1">
        <f t="shared" si="218"/>
        <v>-10.512575222642083</v>
      </c>
      <c r="F1253" s="1">
        <f t="shared" si="219"/>
        <v>-12.848284937171812</v>
      </c>
      <c r="G1253" s="1">
        <f t="shared" si="216"/>
        <v>2.6306359440798013E-6</v>
      </c>
      <c r="H1253" s="1">
        <f t="shared" si="209"/>
        <v>2.7053698172519272E-8</v>
      </c>
      <c r="I1253">
        <f t="shared" si="210"/>
        <v>10</v>
      </c>
      <c r="J1253">
        <f t="shared" si="211"/>
        <v>1216</v>
      </c>
      <c r="K1253" s="5">
        <f t="shared" si="212"/>
        <v>0</v>
      </c>
      <c r="L1253">
        <f t="shared" si="213"/>
        <v>95</v>
      </c>
      <c r="M1253">
        <f t="shared" si="214"/>
        <v>1</v>
      </c>
      <c r="N1253">
        <f t="shared" si="215"/>
        <v>0</v>
      </c>
    </row>
    <row r="1254" spans="4:14" x14ac:dyDescent="0.2">
      <c r="D1254">
        <f t="shared" si="217"/>
        <v>1231</v>
      </c>
      <c r="E1254" s="1">
        <f t="shared" si="218"/>
        <v>-10.523046522509379</v>
      </c>
      <c r="F1254" s="1">
        <f t="shared" si="219"/>
        <v>-12.85875623703911</v>
      </c>
      <c r="G1254" s="1">
        <f t="shared" si="216"/>
        <v>2.6032334863289635E-6</v>
      </c>
      <c r="H1254" s="1">
        <f t="shared" si="209"/>
        <v>2.6771888816555465E-8</v>
      </c>
      <c r="I1254">
        <f t="shared" si="210"/>
        <v>10</v>
      </c>
      <c r="J1254">
        <f t="shared" si="211"/>
        <v>1217</v>
      </c>
      <c r="K1254" s="5">
        <f t="shared" si="212"/>
        <v>0</v>
      </c>
      <c r="L1254">
        <f t="shared" si="213"/>
        <v>95</v>
      </c>
      <c r="M1254">
        <f t="shared" si="214"/>
        <v>1</v>
      </c>
      <c r="N1254">
        <f t="shared" si="215"/>
        <v>0</v>
      </c>
    </row>
    <row r="1255" spans="4:14" x14ac:dyDescent="0.2">
      <c r="D1255">
        <f t="shared" si="217"/>
        <v>1232</v>
      </c>
      <c r="E1255" s="1">
        <f t="shared" si="218"/>
        <v>-10.533517822376675</v>
      </c>
      <c r="F1255" s="1">
        <f t="shared" si="219"/>
        <v>-12.869227536906404</v>
      </c>
      <c r="G1255" s="1">
        <f t="shared" si="216"/>
        <v>2.5761164708463723E-6</v>
      </c>
      <c r="H1255" s="1">
        <f t="shared" si="209"/>
        <v>2.6493014974716367E-8</v>
      </c>
      <c r="I1255">
        <f t="shared" si="210"/>
        <v>10</v>
      </c>
      <c r="J1255">
        <f t="shared" si="211"/>
        <v>1218</v>
      </c>
      <c r="K1255" s="5">
        <f t="shared" si="212"/>
        <v>0</v>
      </c>
      <c r="L1255">
        <f t="shared" si="213"/>
        <v>95</v>
      </c>
      <c r="M1255">
        <f t="shared" si="214"/>
        <v>1</v>
      </c>
      <c r="N1255">
        <f t="shared" si="215"/>
        <v>0</v>
      </c>
    </row>
    <row r="1256" spans="4:14" x14ac:dyDescent="0.2">
      <c r="D1256">
        <f t="shared" si="217"/>
        <v>1233</v>
      </c>
      <c r="E1256" s="1">
        <f t="shared" si="218"/>
        <v>-10.543989122243971</v>
      </c>
      <c r="F1256" s="1">
        <f t="shared" si="219"/>
        <v>-12.879698836773702</v>
      </c>
      <c r="G1256" s="1">
        <f t="shared" si="216"/>
        <v>2.5492819242750493E-6</v>
      </c>
      <c r="H1256" s="1">
        <f t="shared" si="209"/>
        <v>2.621704606872967E-8</v>
      </c>
      <c r="I1256">
        <f t="shared" si="210"/>
        <v>10</v>
      </c>
      <c r="J1256">
        <f t="shared" si="211"/>
        <v>1219</v>
      </c>
      <c r="K1256" s="5">
        <f t="shared" si="212"/>
        <v>0</v>
      </c>
      <c r="L1256">
        <f t="shared" si="213"/>
        <v>95</v>
      </c>
      <c r="M1256">
        <f t="shared" si="214"/>
        <v>1</v>
      </c>
      <c r="N1256">
        <f t="shared" si="215"/>
        <v>0</v>
      </c>
    </row>
    <row r="1257" spans="4:14" x14ac:dyDescent="0.2">
      <c r="D1257">
        <f t="shared" si="217"/>
        <v>1234</v>
      </c>
      <c r="E1257" s="1">
        <f t="shared" si="218"/>
        <v>-10.554460422111267</v>
      </c>
      <c r="F1257" s="1">
        <f t="shared" si="219"/>
        <v>-12.890170136640997</v>
      </c>
      <c r="G1257" s="1">
        <f t="shared" si="216"/>
        <v>2.5227269042305202E-6</v>
      </c>
      <c r="H1257" s="1">
        <f t="shared" si="209"/>
        <v>2.5943951838847097E-8</v>
      </c>
      <c r="I1257">
        <f t="shared" si="210"/>
        <v>10</v>
      </c>
      <c r="J1257">
        <f t="shared" si="211"/>
        <v>1220</v>
      </c>
      <c r="K1257" s="5">
        <f t="shared" si="212"/>
        <v>0</v>
      </c>
      <c r="L1257">
        <f t="shared" si="213"/>
        <v>95</v>
      </c>
      <c r="M1257">
        <f t="shared" si="214"/>
        <v>1</v>
      </c>
      <c r="N1257">
        <f t="shared" si="215"/>
        <v>0</v>
      </c>
    </row>
    <row r="1258" spans="4:14" x14ac:dyDescent="0.2">
      <c r="D1258">
        <f t="shared" si="217"/>
        <v>1235</v>
      </c>
      <c r="E1258" s="1">
        <f t="shared" si="218"/>
        <v>-10.564931721978564</v>
      </c>
      <c r="F1258" s="1">
        <f t="shared" si="219"/>
        <v>-12.900641436508295</v>
      </c>
      <c r="G1258" s="1">
        <f t="shared" si="216"/>
        <v>2.4964484989781125E-6</v>
      </c>
      <c r="H1258" s="1">
        <f t="shared" si="209"/>
        <v>2.5673702340525704E-8</v>
      </c>
      <c r="I1258">
        <f t="shared" si="210"/>
        <v>10</v>
      </c>
      <c r="J1258">
        <f t="shared" si="211"/>
        <v>1221</v>
      </c>
      <c r="K1258" s="5">
        <f t="shared" si="212"/>
        <v>0</v>
      </c>
      <c r="L1258">
        <f t="shared" si="213"/>
        <v>95</v>
      </c>
      <c r="M1258">
        <f t="shared" si="214"/>
        <v>1</v>
      </c>
      <c r="N1258">
        <f t="shared" si="215"/>
        <v>0</v>
      </c>
    </row>
    <row r="1259" spans="4:14" x14ac:dyDescent="0.2">
      <c r="D1259">
        <f t="shared" si="217"/>
        <v>1236</v>
      </c>
      <c r="E1259" s="1">
        <f t="shared" si="218"/>
        <v>-10.57540302184586</v>
      </c>
      <c r="F1259" s="1">
        <f t="shared" si="219"/>
        <v>-12.911112736375589</v>
      </c>
      <c r="G1259" s="1">
        <f t="shared" si="216"/>
        <v>2.4704438271137594E-6</v>
      </c>
      <c r="H1259" s="1">
        <f t="shared" si="209"/>
        <v>2.5406267941145254E-8</v>
      </c>
      <c r="I1259">
        <f t="shared" si="210"/>
        <v>10</v>
      </c>
      <c r="J1259">
        <f t="shared" si="211"/>
        <v>1222</v>
      </c>
      <c r="K1259" s="5">
        <f t="shared" si="212"/>
        <v>0</v>
      </c>
      <c r="L1259">
        <f t="shared" si="213"/>
        <v>95</v>
      </c>
      <c r="M1259">
        <f t="shared" si="214"/>
        <v>1</v>
      </c>
      <c r="N1259">
        <f t="shared" si="215"/>
        <v>0</v>
      </c>
    </row>
    <row r="1260" spans="4:14" x14ac:dyDescent="0.2">
      <c r="D1260">
        <f t="shared" si="217"/>
        <v>1237</v>
      </c>
      <c r="E1260" s="1">
        <f t="shared" si="218"/>
        <v>-10.585874321713156</v>
      </c>
      <c r="F1260" s="1">
        <f t="shared" si="219"/>
        <v>-12.921584036242887</v>
      </c>
      <c r="G1260" s="1">
        <f t="shared" si="216"/>
        <v>2.4447100372479845E-6</v>
      </c>
      <c r="H1260" s="1">
        <f t="shared" si="209"/>
        <v>2.5141619316758256E-8</v>
      </c>
      <c r="I1260">
        <f t="shared" si="210"/>
        <v>10</v>
      </c>
      <c r="J1260">
        <f t="shared" si="211"/>
        <v>1223</v>
      </c>
      <c r="K1260" s="5">
        <f t="shared" si="212"/>
        <v>0</v>
      </c>
      <c r="L1260">
        <f t="shared" si="213"/>
        <v>95</v>
      </c>
      <c r="M1260">
        <f t="shared" si="214"/>
        <v>1</v>
      </c>
      <c r="N1260">
        <f t="shared" si="215"/>
        <v>0</v>
      </c>
    </row>
    <row r="1261" spans="4:14" x14ac:dyDescent="0.2">
      <c r="D1261">
        <f t="shared" si="217"/>
        <v>1238</v>
      </c>
      <c r="E1261" s="1">
        <f t="shared" si="218"/>
        <v>-10.596345621580452</v>
      </c>
      <c r="F1261" s="1">
        <f t="shared" si="219"/>
        <v>-12.932055336110182</v>
      </c>
      <c r="G1261" s="1">
        <f t="shared" si="216"/>
        <v>2.4192443076933206E-6</v>
      </c>
      <c r="H1261" s="1">
        <f t="shared" si="209"/>
        <v>2.4879727448875384E-8</v>
      </c>
      <c r="I1261">
        <f t="shared" si="210"/>
        <v>10</v>
      </c>
      <c r="J1261">
        <f t="shared" si="211"/>
        <v>1224</v>
      </c>
      <c r="K1261" s="5">
        <f t="shared" si="212"/>
        <v>0</v>
      </c>
      <c r="L1261">
        <f t="shared" si="213"/>
        <v>95</v>
      </c>
      <c r="M1261">
        <f t="shared" si="214"/>
        <v>1</v>
      </c>
      <c r="N1261">
        <f t="shared" si="215"/>
        <v>0</v>
      </c>
    </row>
    <row r="1262" spans="4:14" x14ac:dyDescent="0.2">
      <c r="D1262">
        <f t="shared" si="217"/>
        <v>1239</v>
      </c>
      <c r="E1262" s="1">
        <f t="shared" si="218"/>
        <v>-10.606816921447749</v>
      </c>
      <c r="F1262" s="1">
        <f t="shared" si="219"/>
        <v>-12.94252663597748</v>
      </c>
      <c r="G1262" s="1">
        <f t="shared" si="216"/>
        <v>2.3940438461548422E-6</v>
      </c>
      <c r="H1262" s="1">
        <f t="shared" si="209"/>
        <v>2.4620563621282867E-8</v>
      </c>
      <c r="I1262">
        <f t="shared" si="210"/>
        <v>10</v>
      </c>
      <c r="J1262">
        <f t="shared" si="211"/>
        <v>1225</v>
      </c>
      <c r="K1262" s="5">
        <f t="shared" si="212"/>
        <v>0</v>
      </c>
      <c r="L1262">
        <f t="shared" si="213"/>
        <v>95</v>
      </c>
      <c r="M1262">
        <f t="shared" si="214"/>
        <v>1</v>
      </c>
      <c r="N1262">
        <f t="shared" si="215"/>
        <v>0</v>
      </c>
    </row>
    <row r="1263" spans="4:14" x14ac:dyDescent="0.2">
      <c r="D1263">
        <f t="shared" si="217"/>
        <v>1240</v>
      </c>
      <c r="E1263" s="1">
        <f t="shared" si="218"/>
        <v>-10.617288221315045</v>
      </c>
      <c r="F1263" s="1">
        <f t="shared" si="219"/>
        <v>-12.952997935844774</v>
      </c>
      <c r="G1263" s="1">
        <f t="shared" si="216"/>
        <v>2.3691058894240649E-6</v>
      </c>
      <c r="H1263" s="1">
        <f t="shared" si="209"/>
        <v>2.4364099416894526E-8</v>
      </c>
      <c r="I1263">
        <f t="shared" si="210"/>
        <v>10</v>
      </c>
      <c r="J1263">
        <f t="shared" si="211"/>
        <v>1226</v>
      </c>
      <c r="K1263" s="5">
        <f t="shared" si="212"/>
        <v>0</v>
      </c>
      <c r="L1263">
        <f t="shared" si="213"/>
        <v>95</v>
      </c>
      <c r="M1263">
        <f t="shared" si="214"/>
        <v>1</v>
      </c>
      <c r="N1263">
        <f t="shared" si="215"/>
        <v>0</v>
      </c>
    </row>
    <row r="1264" spans="4:14" x14ac:dyDescent="0.2">
      <c r="D1264">
        <f t="shared" si="217"/>
        <v>1241</v>
      </c>
      <c r="E1264" s="1">
        <f t="shared" si="218"/>
        <v>-10.627759521182341</v>
      </c>
      <c r="F1264" s="1">
        <f t="shared" si="219"/>
        <v>-12.963469235712072</v>
      </c>
      <c r="G1264" s="1">
        <f t="shared" si="216"/>
        <v>2.3444277030758914E-6</v>
      </c>
      <c r="H1264" s="1">
        <f t="shared" si="209"/>
        <v>2.4110306714635147E-8</v>
      </c>
      <c r="I1264">
        <f t="shared" si="210"/>
        <v>10</v>
      </c>
      <c r="J1264">
        <f t="shared" si="211"/>
        <v>1227</v>
      </c>
      <c r="K1264" s="5">
        <f t="shared" si="212"/>
        <v>0</v>
      </c>
      <c r="L1264">
        <f t="shared" si="213"/>
        <v>95</v>
      </c>
      <c r="M1264">
        <f t="shared" si="214"/>
        <v>1</v>
      </c>
      <c r="N1264">
        <f t="shared" si="215"/>
        <v>0</v>
      </c>
    </row>
    <row r="1265" spans="4:14" x14ac:dyDescent="0.2">
      <c r="D1265">
        <f t="shared" si="217"/>
        <v>1242</v>
      </c>
      <c r="E1265" s="1">
        <f t="shared" si="218"/>
        <v>-10.638230821049637</v>
      </c>
      <c r="F1265" s="1">
        <f t="shared" si="219"/>
        <v>-12.973940535579366</v>
      </c>
      <c r="G1265" s="1">
        <f t="shared" si="216"/>
        <v>2.3200065811688529E-6</v>
      </c>
      <c r="H1265" s="1">
        <f t="shared" si="209"/>
        <v>2.3859157686357718E-8</v>
      </c>
      <c r="I1265">
        <f t="shared" si="210"/>
        <v>10</v>
      </c>
      <c r="J1265">
        <f t="shared" si="211"/>
        <v>1228</v>
      </c>
      <c r="K1265" s="5">
        <f t="shared" si="212"/>
        <v>0</v>
      </c>
      <c r="L1265">
        <f t="shared" si="213"/>
        <v>95</v>
      </c>
      <c r="M1265">
        <f t="shared" si="214"/>
        <v>1</v>
      </c>
      <c r="N1265">
        <f t="shared" si="215"/>
        <v>0</v>
      </c>
    </row>
    <row r="1266" spans="4:14" x14ac:dyDescent="0.2">
      <c r="D1266">
        <f t="shared" si="217"/>
        <v>1243</v>
      </c>
      <c r="E1266" s="1">
        <f t="shared" si="218"/>
        <v>-10.648702120916933</v>
      </c>
      <c r="F1266" s="1">
        <f t="shared" si="219"/>
        <v>-12.984411835446664</v>
      </c>
      <c r="G1266" s="1">
        <f t="shared" si="216"/>
        <v>2.2958398459483382E-6</v>
      </c>
      <c r="H1266" s="1">
        <f t="shared" si="209"/>
        <v>2.3610624793791432E-8</v>
      </c>
      <c r="I1266">
        <f t="shared" si="210"/>
        <v>10</v>
      </c>
      <c r="J1266">
        <f t="shared" si="211"/>
        <v>1229</v>
      </c>
      <c r="K1266" s="5">
        <f t="shared" si="212"/>
        <v>0</v>
      </c>
      <c r="L1266">
        <f t="shared" si="213"/>
        <v>95</v>
      </c>
      <c r="M1266">
        <f t="shared" si="214"/>
        <v>1</v>
      </c>
      <c r="N1266">
        <f t="shared" si="215"/>
        <v>0</v>
      </c>
    </row>
    <row r="1267" spans="4:14" x14ac:dyDescent="0.2">
      <c r="D1267">
        <f t="shared" si="217"/>
        <v>1244</v>
      </c>
      <c r="E1267" s="1">
        <f t="shared" si="218"/>
        <v>-10.65917342078423</v>
      </c>
      <c r="F1267" s="1">
        <f t="shared" si="219"/>
        <v>-12.994883135313959</v>
      </c>
      <c r="G1267" s="1">
        <f t="shared" si="216"/>
        <v>2.271924847553045E-6</v>
      </c>
      <c r="H1267" s="1">
        <f t="shared" si="209"/>
        <v>2.3364680785522793E-8</v>
      </c>
      <c r="I1267">
        <f t="shared" si="210"/>
        <v>10</v>
      </c>
      <c r="J1267">
        <f t="shared" si="211"/>
        <v>1230</v>
      </c>
      <c r="K1267" s="5">
        <f t="shared" si="212"/>
        <v>0</v>
      </c>
      <c r="L1267">
        <f t="shared" si="213"/>
        <v>95</v>
      </c>
      <c r="M1267">
        <f t="shared" si="214"/>
        <v>1</v>
      </c>
      <c r="N1267">
        <f t="shared" si="215"/>
        <v>0</v>
      </c>
    </row>
    <row r="1268" spans="4:14" x14ac:dyDescent="0.2">
      <c r="D1268">
        <f t="shared" si="217"/>
        <v>1245</v>
      </c>
      <c r="E1268" s="1">
        <f t="shared" si="218"/>
        <v>-10.669644720651526</v>
      </c>
      <c r="F1268" s="1">
        <f t="shared" si="219"/>
        <v>-13.005354435181257</v>
      </c>
      <c r="G1268" s="1">
        <f t="shared" si="216"/>
        <v>2.2482589637243619E-6</v>
      </c>
      <c r="H1268" s="1">
        <f t="shared" si="209"/>
        <v>2.3121298694006871E-8</v>
      </c>
      <c r="I1268">
        <f t="shared" si="210"/>
        <v>10</v>
      </c>
      <c r="J1268">
        <f t="shared" si="211"/>
        <v>1231</v>
      </c>
      <c r="K1268" s="5">
        <f t="shared" si="212"/>
        <v>0</v>
      </c>
      <c r="L1268">
        <f t="shared" si="213"/>
        <v>95</v>
      </c>
      <c r="M1268">
        <f t="shared" si="214"/>
        <v>1</v>
      </c>
      <c r="N1268">
        <f t="shared" si="215"/>
        <v>0</v>
      </c>
    </row>
    <row r="1269" spans="4:14" x14ac:dyDescent="0.2">
      <c r="D1269">
        <f t="shared" si="217"/>
        <v>1246</v>
      </c>
      <c r="E1269" s="1">
        <f t="shared" si="218"/>
        <v>-10.680116020518822</v>
      </c>
      <c r="F1269" s="1">
        <f t="shared" si="219"/>
        <v>-13.015825735048551</v>
      </c>
      <c r="G1269" s="1">
        <f t="shared" si="216"/>
        <v>2.2248395995189017E-6</v>
      </c>
      <c r="H1269" s="1">
        <f t="shared" si="209"/>
        <v>2.2880451832610986E-8</v>
      </c>
      <c r="I1269">
        <f t="shared" si="210"/>
        <v>10</v>
      </c>
      <c r="J1269">
        <f t="shared" si="211"/>
        <v>1232</v>
      </c>
      <c r="K1269" s="5">
        <f t="shared" si="212"/>
        <v>0</v>
      </c>
      <c r="L1269">
        <f t="shared" si="213"/>
        <v>95</v>
      </c>
      <c r="M1269">
        <f t="shared" si="214"/>
        <v>1</v>
      </c>
      <c r="N1269">
        <f t="shared" si="215"/>
        <v>0</v>
      </c>
    </row>
    <row r="1270" spans="4:14" x14ac:dyDescent="0.2">
      <c r="D1270">
        <f t="shared" si="217"/>
        <v>1247</v>
      </c>
      <c r="E1270" s="1">
        <f t="shared" si="218"/>
        <v>-10.690587320386118</v>
      </c>
      <c r="F1270" s="1">
        <f t="shared" si="219"/>
        <v>-13.026297034915849</v>
      </c>
      <c r="G1270" s="1">
        <f t="shared" si="216"/>
        <v>2.2016641870239077E-6</v>
      </c>
      <c r="H1270" s="1">
        <f t="shared" si="209"/>
        <v>2.26421137926879E-8</v>
      </c>
      <c r="I1270">
        <f t="shared" si="210"/>
        <v>10</v>
      </c>
      <c r="J1270">
        <f t="shared" si="211"/>
        <v>1233</v>
      </c>
      <c r="K1270" s="5">
        <f t="shared" si="212"/>
        <v>0</v>
      </c>
      <c r="L1270">
        <f t="shared" si="213"/>
        <v>95</v>
      </c>
      <c r="M1270">
        <f t="shared" si="214"/>
        <v>1</v>
      </c>
      <c r="N1270">
        <f t="shared" si="215"/>
        <v>0</v>
      </c>
    </row>
    <row r="1271" spans="4:14" x14ac:dyDescent="0.2">
      <c r="D1271">
        <f t="shared" si="217"/>
        <v>1248</v>
      </c>
      <c r="E1271" s="1">
        <f t="shared" si="218"/>
        <v>-10.701058620253415</v>
      </c>
      <c r="F1271" s="1">
        <f t="shared" si="219"/>
        <v>-13.036768334783144</v>
      </c>
      <c r="G1271" s="1">
        <f t="shared" si="216"/>
        <v>2.1787301850757439E-6</v>
      </c>
      <c r="H1271" s="1">
        <f t="shared" si="209"/>
        <v>2.2406258440680754E-8</v>
      </c>
      <c r="I1271">
        <f t="shared" si="210"/>
        <v>10</v>
      </c>
      <c r="J1271">
        <f t="shared" si="211"/>
        <v>1234</v>
      </c>
      <c r="K1271" s="5">
        <f t="shared" si="212"/>
        <v>0</v>
      </c>
      <c r="L1271">
        <f t="shared" si="213"/>
        <v>95</v>
      </c>
      <c r="M1271">
        <f t="shared" si="214"/>
        <v>1</v>
      </c>
      <c r="N1271">
        <f t="shared" si="215"/>
        <v>0</v>
      </c>
    </row>
    <row r="1272" spans="4:14" x14ac:dyDescent="0.2">
      <c r="D1272">
        <f t="shared" si="217"/>
        <v>1249</v>
      </c>
      <c r="E1272" s="1">
        <f t="shared" si="218"/>
        <v>-10.711529920120711</v>
      </c>
      <c r="F1272" s="1">
        <f t="shared" si="219"/>
        <v>-13.047239634650442</v>
      </c>
      <c r="G1272" s="1">
        <f t="shared" si="216"/>
        <v>2.1560350789811993E-6</v>
      </c>
      <c r="H1272" s="1">
        <f t="shared" si="209"/>
        <v>2.2172859915256939E-8</v>
      </c>
      <c r="I1272">
        <f t="shared" si="210"/>
        <v>10</v>
      </c>
      <c r="J1272">
        <f t="shared" si="211"/>
        <v>1235</v>
      </c>
      <c r="K1272" s="5">
        <f t="shared" si="212"/>
        <v>0</v>
      </c>
      <c r="L1272">
        <f t="shared" si="213"/>
        <v>95</v>
      </c>
      <c r="M1272">
        <f t="shared" si="214"/>
        <v>1</v>
      </c>
      <c r="N1272">
        <f t="shared" si="215"/>
        <v>0</v>
      </c>
    </row>
    <row r="1273" spans="4:14" x14ac:dyDescent="0.2">
      <c r="D1273">
        <f t="shared" si="217"/>
        <v>1250</v>
      </c>
      <c r="E1273" s="1">
        <f t="shared" si="218"/>
        <v>-10.722001219988007</v>
      </c>
      <c r="F1273" s="1">
        <f t="shared" si="219"/>
        <v>-13.057710934517736</v>
      </c>
      <c r="G1273" s="1">
        <f t="shared" si="216"/>
        <v>2.133576380241814E-6</v>
      </c>
      <c r="H1273" s="1">
        <f t="shared" si="209"/>
        <v>2.1941892624473033E-8</v>
      </c>
      <c r="I1273">
        <f t="shared" si="210"/>
        <v>10</v>
      </c>
      <c r="J1273">
        <f t="shared" si="211"/>
        <v>1236</v>
      </c>
      <c r="K1273" s="5">
        <f t="shared" si="212"/>
        <v>0</v>
      </c>
      <c r="L1273">
        <f t="shared" si="213"/>
        <v>95</v>
      </c>
      <c r="M1273">
        <f t="shared" si="214"/>
        <v>1</v>
      </c>
      <c r="N1273">
        <f t="shared" si="215"/>
        <v>0</v>
      </c>
    </row>
    <row r="1274" spans="4:14" x14ac:dyDescent="0.2">
      <c r="D1274">
        <f t="shared" si="217"/>
        <v>1251</v>
      </c>
      <c r="E1274" s="1">
        <f t="shared" si="218"/>
        <v>-10.732472519855303</v>
      </c>
      <c r="F1274" s="1">
        <f t="shared" si="219"/>
        <v>-13.068182234385034</v>
      </c>
      <c r="G1274" s="1">
        <f t="shared" si="216"/>
        <v>2.111351626280956E-6</v>
      </c>
      <c r="H1274" s="1">
        <f t="shared" si="209"/>
        <v>2.1713331242968049E-8</v>
      </c>
      <c r="I1274">
        <f t="shared" si="210"/>
        <v>10</v>
      </c>
      <c r="J1274">
        <f t="shared" si="211"/>
        <v>1237</v>
      </c>
      <c r="K1274" s="5">
        <f t="shared" si="212"/>
        <v>0</v>
      </c>
      <c r="L1274">
        <f t="shared" si="213"/>
        <v>95</v>
      </c>
      <c r="M1274">
        <f t="shared" si="214"/>
        <v>1</v>
      </c>
      <c r="N1274">
        <f t="shared" si="215"/>
        <v>0</v>
      </c>
    </row>
    <row r="1275" spans="4:14" x14ac:dyDescent="0.2">
      <c r="D1275">
        <f t="shared" si="217"/>
        <v>1252</v>
      </c>
      <c r="E1275" s="1">
        <f t="shared" si="218"/>
        <v>-10.742943819722599</v>
      </c>
      <c r="F1275" s="1">
        <f t="shared" si="219"/>
        <v>-13.078653534252329</v>
      </c>
      <c r="G1275" s="1">
        <f t="shared" si="216"/>
        <v>2.089358380173865E-6</v>
      </c>
      <c r="H1275" s="1">
        <f t="shared" si="209"/>
        <v>2.1487150709187153E-8</v>
      </c>
      <c r="I1275">
        <f t="shared" si="210"/>
        <v>10</v>
      </c>
      <c r="J1275">
        <f t="shared" si="211"/>
        <v>1238</v>
      </c>
      <c r="K1275" s="5">
        <f t="shared" si="212"/>
        <v>0</v>
      </c>
      <c r="L1275">
        <f t="shared" si="213"/>
        <v>95</v>
      </c>
      <c r="M1275">
        <f t="shared" si="214"/>
        <v>1</v>
      </c>
      <c r="N1275">
        <f t="shared" si="215"/>
        <v>0</v>
      </c>
    </row>
    <row r="1276" spans="4:14" x14ac:dyDescent="0.2">
      <c r="D1276">
        <f t="shared" si="217"/>
        <v>1253</v>
      </c>
      <c r="E1276" s="1">
        <f t="shared" si="218"/>
        <v>-10.753415119589896</v>
      </c>
      <c r="F1276" s="1">
        <f t="shared" si="219"/>
        <v>-13.089124834119627</v>
      </c>
      <c r="G1276" s="1">
        <f t="shared" si="216"/>
        <v>2.0675942303803817E-6</v>
      </c>
      <c r="H1276" s="1">
        <f t="shared" si="209"/>
        <v>2.1263326222633062E-8</v>
      </c>
      <c r="I1276">
        <f t="shared" si="210"/>
        <v>10</v>
      </c>
      <c r="J1276">
        <f t="shared" si="211"/>
        <v>1239</v>
      </c>
      <c r="K1276" s="5">
        <f t="shared" si="212"/>
        <v>0</v>
      </c>
      <c r="L1276">
        <f t="shared" si="213"/>
        <v>95</v>
      </c>
      <c r="M1276">
        <f t="shared" si="214"/>
        <v>1</v>
      </c>
      <c r="N1276">
        <f t="shared" si="215"/>
        <v>0</v>
      </c>
    </row>
    <row r="1277" spans="4:14" x14ac:dyDescent="0.2">
      <c r="D1277">
        <f t="shared" si="217"/>
        <v>1254</v>
      </c>
      <c r="E1277" s="1">
        <f t="shared" si="218"/>
        <v>-10.763886419457192</v>
      </c>
      <c r="F1277" s="1">
        <f t="shared" si="219"/>
        <v>-13.099596133986921</v>
      </c>
      <c r="G1277" s="1">
        <f t="shared" si="216"/>
        <v>2.0460567904805882E-6</v>
      </c>
      <c r="H1277" s="1">
        <f t="shared" si="209"/>
        <v>2.1041833241147326E-8</v>
      </c>
      <c r="I1277">
        <f t="shared" si="210"/>
        <v>10</v>
      </c>
      <c r="J1277">
        <f t="shared" si="211"/>
        <v>1240</v>
      </c>
      <c r="K1277" s="5">
        <f t="shared" si="212"/>
        <v>0</v>
      </c>
      <c r="L1277">
        <f t="shared" si="213"/>
        <v>95</v>
      </c>
      <c r="M1277">
        <f t="shared" si="214"/>
        <v>1</v>
      </c>
      <c r="N1277">
        <f t="shared" si="215"/>
        <v>0</v>
      </c>
    </row>
    <row r="1278" spans="4:14" x14ac:dyDescent="0.2">
      <c r="D1278">
        <f t="shared" si="217"/>
        <v>1255</v>
      </c>
      <c r="E1278" s="1">
        <f t="shared" si="218"/>
        <v>-10.774357719324488</v>
      </c>
      <c r="F1278" s="1">
        <f t="shared" si="219"/>
        <v>-13.110067433854219</v>
      </c>
      <c r="G1278" s="1">
        <f t="shared" si="216"/>
        <v>2.0247436989130767E-6</v>
      </c>
      <c r="H1278" s="1">
        <f t="shared" si="209"/>
        <v>2.0822647478218653E-8</v>
      </c>
      <c r="I1278">
        <f t="shared" si="210"/>
        <v>10</v>
      </c>
      <c r="J1278">
        <f t="shared" si="211"/>
        <v>1241</v>
      </c>
      <c r="K1278" s="5">
        <f t="shared" si="212"/>
        <v>0</v>
      </c>
      <c r="L1278">
        <f t="shared" si="213"/>
        <v>95</v>
      </c>
      <c r="M1278">
        <f t="shared" si="214"/>
        <v>1</v>
      </c>
      <c r="N1278">
        <f t="shared" si="215"/>
        <v>0</v>
      </c>
    </row>
    <row r="1279" spans="4:14" x14ac:dyDescent="0.2">
      <c r="D1279">
        <f t="shared" si="217"/>
        <v>1256</v>
      </c>
      <c r="E1279" s="1">
        <f t="shared" si="218"/>
        <v>-10.784829019191784</v>
      </c>
      <c r="F1279" s="1">
        <f t="shared" si="219"/>
        <v>-13.120538733721514</v>
      </c>
      <c r="G1279" s="1">
        <f t="shared" si="216"/>
        <v>2.0036526187160675E-6</v>
      </c>
      <c r="H1279" s="1">
        <f t="shared" si="209"/>
        <v>2.0605744900320561E-8</v>
      </c>
      <c r="I1279">
        <f t="shared" si="210"/>
        <v>10</v>
      </c>
      <c r="J1279">
        <f t="shared" si="211"/>
        <v>1242</v>
      </c>
      <c r="K1279" s="5">
        <f t="shared" si="212"/>
        <v>0</v>
      </c>
      <c r="L1279">
        <f t="shared" si="213"/>
        <v>95</v>
      </c>
      <c r="M1279">
        <f t="shared" si="214"/>
        <v>1</v>
      </c>
      <c r="N1279">
        <f t="shared" si="215"/>
        <v>0</v>
      </c>
    </row>
    <row r="1280" spans="4:14" x14ac:dyDescent="0.2">
      <c r="D1280">
        <f t="shared" si="217"/>
        <v>1257</v>
      </c>
      <c r="E1280" s="1">
        <f t="shared" si="218"/>
        <v>-10.795300319059081</v>
      </c>
      <c r="F1280" s="1">
        <f t="shared" si="219"/>
        <v>-13.131010033588812</v>
      </c>
      <c r="G1280" s="1">
        <f t="shared" si="216"/>
        <v>1.9827812372711034E-6</v>
      </c>
      <c r="H1280" s="1">
        <f t="shared" si="209"/>
        <v>2.0391101724275502E-8</v>
      </c>
      <c r="I1280">
        <f t="shared" si="210"/>
        <v>10</v>
      </c>
      <c r="J1280">
        <f t="shared" si="211"/>
        <v>1243</v>
      </c>
      <c r="K1280" s="5">
        <f t="shared" si="212"/>
        <v>0</v>
      </c>
      <c r="L1280">
        <f t="shared" si="213"/>
        <v>95</v>
      </c>
      <c r="M1280">
        <f t="shared" si="214"/>
        <v>1</v>
      </c>
      <c r="N1280">
        <f t="shared" si="215"/>
        <v>0</v>
      </c>
    </row>
    <row r="1281" spans="4:14" x14ac:dyDescent="0.2">
      <c r="D1281">
        <f t="shared" si="217"/>
        <v>1258</v>
      </c>
      <c r="E1281" s="1">
        <f t="shared" si="218"/>
        <v>-10.805771618926377</v>
      </c>
      <c r="F1281" s="1">
        <f t="shared" si="219"/>
        <v>-13.141481333456106</v>
      </c>
      <c r="G1281" s="1">
        <f t="shared" si="216"/>
        <v>1.9621272660495309E-6</v>
      </c>
      <c r="H1281" s="1">
        <f t="shared" si="209"/>
        <v>2.0178694414647648E-8</v>
      </c>
      <c r="I1281">
        <f t="shared" si="210"/>
        <v>10</v>
      </c>
      <c r="J1281">
        <f t="shared" si="211"/>
        <v>1244</v>
      </c>
      <c r="K1281" s="5">
        <f t="shared" si="212"/>
        <v>0</v>
      </c>
      <c r="L1281">
        <f t="shared" si="213"/>
        <v>95</v>
      </c>
      <c r="M1281">
        <f t="shared" si="214"/>
        <v>1</v>
      </c>
      <c r="N1281">
        <f t="shared" si="215"/>
        <v>0</v>
      </c>
    </row>
    <row r="1282" spans="4:14" x14ac:dyDescent="0.2">
      <c r="D1282">
        <f t="shared" si="217"/>
        <v>1259</v>
      </c>
      <c r="E1282" s="1">
        <f t="shared" si="218"/>
        <v>-10.816242918793673</v>
      </c>
      <c r="F1282" s="1">
        <f t="shared" si="219"/>
        <v>-13.151952633323404</v>
      </c>
      <c r="G1282" s="1">
        <f t="shared" si="216"/>
        <v>1.9416884403615102E-6</v>
      </c>
      <c r="H1282" s="1">
        <f t="shared" si="209"/>
        <v>1.9968499681161689E-8</v>
      </c>
      <c r="I1282">
        <f t="shared" si="210"/>
        <v>10</v>
      </c>
      <c r="J1282">
        <f t="shared" si="211"/>
        <v>1245</v>
      </c>
      <c r="K1282" s="5">
        <f t="shared" si="212"/>
        <v>0</v>
      </c>
      <c r="L1282">
        <f t="shared" si="213"/>
        <v>95</v>
      </c>
      <c r="M1282">
        <f t="shared" si="214"/>
        <v>1</v>
      </c>
      <c r="N1282">
        <f t="shared" si="215"/>
        <v>0</v>
      </c>
    </row>
    <row r="1283" spans="4:14" x14ac:dyDescent="0.2">
      <c r="D1283">
        <f t="shared" si="217"/>
        <v>1260</v>
      </c>
      <c r="E1283" s="1">
        <f t="shared" si="218"/>
        <v>-10.826714218660969</v>
      </c>
      <c r="F1283" s="1">
        <f t="shared" si="219"/>
        <v>-13.162423933190698</v>
      </c>
      <c r="G1283" s="1">
        <f t="shared" si="216"/>
        <v>1.9214625191077462E-6</v>
      </c>
      <c r="H1283" s="1">
        <f t="shared" si="209"/>
        <v>1.9760494476149604E-8</v>
      </c>
      <c r="I1283">
        <f t="shared" si="210"/>
        <v>10</v>
      </c>
      <c r="J1283">
        <f t="shared" si="211"/>
        <v>1246</v>
      </c>
      <c r="K1283" s="5">
        <f t="shared" si="212"/>
        <v>0</v>
      </c>
      <c r="L1283">
        <f t="shared" si="213"/>
        <v>95</v>
      </c>
      <c r="M1283">
        <f t="shared" si="214"/>
        <v>1</v>
      </c>
      <c r="N1283">
        <f t="shared" si="215"/>
        <v>0</v>
      </c>
    </row>
    <row r="1284" spans="4:14" x14ac:dyDescent="0.2">
      <c r="D1284">
        <f t="shared" si="217"/>
        <v>1261</v>
      </c>
      <c r="E1284" s="1">
        <f t="shared" si="218"/>
        <v>-10.837185518528266</v>
      </c>
      <c r="F1284" s="1">
        <f t="shared" si="219"/>
        <v>-13.172895233057996</v>
      </c>
      <c r="G1284" s="1">
        <f t="shared" si="216"/>
        <v>1.9014472845337022E-6</v>
      </c>
      <c r="H1284" s="1">
        <f t="shared" si="209"/>
        <v>1.9554655992022996E-8</v>
      </c>
      <c r="I1284">
        <f t="shared" si="210"/>
        <v>10</v>
      </c>
      <c r="J1284">
        <f t="shared" si="211"/>
        <v>1247</v>
      </c>
      <c r="K1284" s="5">
        <f t="shared" si="212"/>
        <v>0</v>
      </c>
      <c r="L1284">
        <f t="shared" si="213"/>
        <v>95</v>
      </c>
      <c r="M1284">
        <f t="shared" si="214"/>
        <v>1</v>
      </c>
      <c r="N1284">
        <f t="shared" si="215"/>
        <v>0</v>
      </c>
    </row>
    <row r="1285" spans="4:14" x14ac:dyDescent="0.2">
      <c r="D1285">
        <f t="shared" si="217"/>
        <v>1262</v>
      </c>
      <c r="E1285" s="1">
        <f t="shared" si="218"/>
        <v>-10.847656818395562</v>
      </c>
      <c r="F1285" s="1">
        <f t="shared" si="219"/>
        <v>-13.183366532925291</v>
      </c>
      <c r="G1285" s="1">
        <f t="shared" si="216"/>
        <v>1.881640541986478E-6</v>
      </c>
      <c r="H1285" s="1">
        <f t="shared" si="209"/>
        <v>1.9350961658772774E-8</v>
      </c>
      <c r="I1285">
        <f t="shared" si="210"/>
        <v>10</v>
      </c>
      <c r="J1285">
        <f t="shared" si="211"/>
        <v>1248</v>
      </c>
      <c r="K1285" s="5">
        <f t="shared" si="212"/>
        <v>0</v>
      </c>
      <c r="L1285">
        <f t="shared" si="213"/>
        <v>95</v>
      </c>
      <c r="M1285">
        <f t="shared" si="214"/>
        <v>1</v>
      </c>
      <c r="N1285">
        <f t="shared" si="215"/>
        <v>0</v>
      </c>
    </row>
    <row r="1286" spans="4:14" x14ac:dyDescent="0.2">
      <c r="D1286">
        <f t="shared" si="217"/>
        <v>1263</v>
      </c>
      <c r="E1286" s="1">
        <f t="shared" si="218"/>
        <v>-10.858128118262858</v>
      </c>
      <c r="F1286" s="1">
        <f t="shared" si="219"/>
        <v>-13.193837832792589</v>
      </c>
      <c r="G1286" s="1">
        <f t="shared" si="216"/>
        <v>1.862040119674114E-6</v>
      </c>
      <c r="H1286" s="1">
        <f t="shared" si="209"/>
        <v>1.9149389141493843E-8</v>
      </c>
      <c r="I1286">
        <f t="shared" si="210"/>
        <v>10</v>
      </c>
      <c r="J1286">
        <f t="shared" si="211"/>
        <v>1249</v>
      </c>
      <c r="K1286" s="5">
        <f t="shared" si="212"/>
        <v>0</v>
      </c>
      <c r="L1286">
        <f t="shared" si="213"/>
        <v>95</v>
      </c>
      <c r="M1286">
        <f t="shared" si="214"/>
        <v>1</v>
      </c>
      <c r="N1286">
        <f t="shared" si="215"/>
        <v>0</v>
      </c>
    </row>
    <row r="1287" spans="4:14" x14ac:dyDescent="0.2">
      <c r="D1287">
        <f t="shared" si="217"/>
        <v>1264</v>
      </c>
      <c r="E1287" s="1">
        <f t="shared" si="218"/>
        <v>-10.868599418130154</v>
      </c>
      <c r="F1287" s="1">
        <f t="shared" si="219"/>
        <v>-13.204309132659883</v>
      </c>
      <c r="G1287" s="1">
        <f t="shared" si="216"/>
        <v>1.8426438684275105E-6</v>
      </c>
      <c r="H1287" s="1">
        <f t="shared" si="209"/>
        <v>1.8949916337936633E-8</v>
      </c>
      <c r="I1287">
        <f t="shared" si="210"/>
        <v>10</v>
      </c>
      <c r="J1287">
        <f t="shared" si="211"/>
        <v>1250</v>
      </c>
      <c r="K1287" s="5">
        <f t="shared" si="212"/>
        <v>0</v>
      </c>
      <c r="L1287">
        <f t="shared" si="213"/>
        <v>95</v>
      </c>
      <c r="M1287">
        <f t="shared" si="214"/>
        <v>1</v>
      </c>
      <c r="N1287">
        <f t="shared" si="215"/>
        <v>0</v>
      </c>
    </row>
    <row r="1288" spans="4:14" x14ac:dyDescent="0.2">
      <c r="D1288">
        <f t="shared" si="217"/>
        <v>1265</v>
      </c>
      <c r="E1288" s="1">
        <f t="shared" si="218"/>
        <v>-10.87907071799745</v>
      </c>
      <c r="F1288" s="1">
        <f t="shared" si="219"/>
        <v>-13.214780432527181</v>
      </c>
      <c r="G1288" s="1">
        <f t="shared" si="216"/>
        <v>1.8234496614647191E-6</v>
      </c>
      <c r="H1288" s="1">
        <f t="shared" si="209"/>
        <v>1.8752521376083077E-8</v>
      </c>
      <c r="I1288">
        <f t="shared" si="210"/>
        <v>10</v>
      </c>
      <c r="J1288">
        <f t="shared" si="211"/>
        <v>1251</v>
      </c>
      <c r="K1288" s="5">
        <f t="shared" si="212"/>
        <v>0</v>
      </c>
      <c r="L1288">
        <f t="shared" si="213"/>
        <v>95</v>
      </c>
      <c r="M1288">
        <f t="shared" si="214"/>
        <v>1</v>
      </c>
      <c r="N1288">
        <f t="shared" si="215"/>
        <v>0</v>
      </c>
    </row>
    <row r="1289" spans="4:14" x14ac:dyDescent="0.2">
      <c r="D1289">
        <f t="shared" si="217"/>
        <v>1266</v>
      </c>
      <c r="E1289" s="1">
        <f t="shared" si="218"/>
        <v>-10.889542017864747</v>
      </c>
      <c r="F1289" s="1">
        <f t="shared" si="219"/>
        <v>-13.225251732394476</v>
      </c>
      <c r="G1289" s="1">
        <f t="shared" si="216"/>
        <v>1.8044553941577968E-6</v>
      </c>
      <c r="H1289" s="1">
        <f t="shared" si="209"/>
        <v>1.8557182611748897E-8</v>
      </c>
      <c r="I1289">
        <f t="shared" si="210"/>
        <v>10</v>
      </c>
      <c r="J1289">
        <f t="shared" si="211"/>
        <v>1252</v>
      </c>
      <c r="K1289" s="5">
        <f t="shared" si="212"/>
        <v>0</v>
      </c>
      <c r="L1289">
        <f t="shared" si="213"/>
        <v>95</v>
      </c>
      <c r="M1289">
        <f t="shared" si="214"/>
        <v>1</v>
      </c>
      <c r="N1289">
        <f t="shared" si="215"/>
        <v>0</v>
      </c>
    </row>
    <row r="1290" spans="4:14" x14ac:dyDescent="0.2">
      <c r="D1290">
        <f t="shared" si="217"/>
        <v>1267</v>
      </c>
      <c r="E1290" s="1">
        <f t="shared" si="218"/>
        <v>-10.900013317732043</v>
      </c>
      <c r="F1290" s="1">
        <f t="shared" si="219"/>
        <v>-13.235723032261774</v>
      </c>
      <c r="G1290" s="1">
        <f t="shared" si="216"/>
        <v>1.7856589838019817E-6</v>
      </c>
      <c r="H1290" s="1">
        <f t="shared" si="209"/>
        <v>1.8363878626209796E-8</v>
      </c>
      <c r="I1290">
        <f t="shared" si="210"/>
        <v>10</v>
      </c>
      <c r="J1290">
        <f t="shared" si="211"/>
        <v>1253</v>
      </c>
      <c r="K1290" s="5">
        <f t="shared" si="212"/>
        <v>0</v>
      </c>
      <c r="L1290">
        <f t="shared" si="213"/>
        <v>95</v>
      </c>
      <c r="M1290">
        <f t="shared" si="214"/>
        <v>1</v>
      </c>
      <c r="N1290">
        <f t="shared" si="215"/>
        <v>0</v>
      </c>
    </row>
    <row r="1291" spans="4:14" x14ac:dyDescent="0.2">
      <c r="D1291">
        <f t="shared" si="217"/>
        <v>1268</v>
      </c>
      <c r="E1291" s="1">
        <f t="shared" si="218"/>
        <v>-10.910484617599339</v>
      </c>
      <c r="F1291" s="1">
        <f t="shared" si="219"/>
        <v>-13.246194332129068</v>
      </c>
      <c r="G1291" s="1">
        <f t="shared" si="216"/>
        <v>1.7670583693873794E-6</v>
      </c>
      <c r="H1291" s="1">
        <f t="shared" si="209"/>
        <v>1.8172588223853461E-8</v>
      </c>
      <c r="I1291">
        <f t="shared" si="210"/>
        <v>10</v>
      </c>
      <c r="J1291">
        <f t="shared" si="211"/>
        <v>1254</v>
      </c>
      <c r="K1291" s="5">
        <f t="shared" si="212"/>
        <v>0</v>
      </c>
      <c r="L1291">
        <f t="shared" si="213"/>
        <v>95</v>
      </c>
      <c r="M1291">
        <f t="shared" si="214"/>
        <v>1</v>
      </c>
      <c r="N1291">
        <f t="shared" si="215"/>
        <v>0</v>
      </c>
    </row>
    <row r="1292" spans="4:14" x14ac:dyDescent="0.2">
      <c r="D1292">
        <f t="shared" si="217"/>
        <v>1269</v>
      </c>
      <c r="E1292" s="1">
        <f t="shared" si="218"/>
        <v>-10.920955917466635</v>
      </c>
      <c r="F1292" s="1">
        <f t="shared" si="219"/>
        <v>-13.256665631996366</v>
      </c>
      <c r="G1292" s="1">
        <f t="shared" si="216"/>
        <v>1.748651511372923E-6</v>
      </c>
      <c r="H1292" s="1">
        <f t="shared" si="209"/>
        <v>1.7983290429854943E-8</v>
      </c>
      <c r="I1292">
        <f t="shared" si="210"/>
        <v>10</v>
      </c>
      <c r="J1292">
        <f t="shared" si="211"/>
        <v>1255</v>
      </c>
      <c r="K1292" s="5">
        <f t="shared" si="212"/>
        <v>0</v>
      </c>
      <c r="L1292">
        <f t="shared" si="213"/>
        <v>95</v>
      </c>
      <c r="M1292">
        <f t="shared" si="214"/>
        <v>1</v>
      </c>
      <c r="N1292">
        <f t="shared" si="215"/>
        <v>0</v>
      </c>
    </row>
    <row r="1293" spans="4:14" x14ac:dyDescent="0.2">
      <c r="D1293">
        <f t="shared" si="217"/>
        <v>1270</v>
      </c>
      <c r="E1293" s="1">
        <f t="shared" si="218"/>
        <v>-10.931427217333932</v>
      </c>
      <c r="F1293" s="1">
        <f t="shared" si="219"/>
        <v>-13.267136931863661</v>
      </c>
      <c r="G1293" s="1">
        <f t="shared" si="216"/>
        <v>1.73043639146279E-6</v>
      </c>
      <c r="H1293" s="1">
        <f t="shared" si="209"/>
        <v>1.7795964487877304E-8</v>
      </c>
      <c r="I1293">
        <f t="shared" si="210"/>
        <v>10</v>
      </c>
      <c r="J1293">
        <f t="shared" si="211"/>
        <v>1256</v>
      </c>
      <c r="K1293" s="5">
        <f t="shared" si="212"/>
        <v>0</v>
      </c>
      <c r="L1293">
        <f t="shared" si="213"/>
        <v>95</v>
      </c>
      <c r="M1293">
        <f t="shared" si="214"/>
        <v>1</v>
      </c>
      <c r="N1293">
        <f t="shared" si="215"/>
        <v>0</v>
      </c>
    </row>
    <row r="1294" spans="4:14" x14ac:dyDescent="0.2">
      <c r="D1294">
        <f t="shared" si="217"/>
        <v>1271</v>
      </c>
      <c r="E1294" s="1">
        <f t="shared" si="218"/>
        <v>-10.941898517201228</v>
      </c>
      <c r="F1294" s="1">
        <f t="shared" si="219"/>
        <v>-13.277608231730959</v>
      </c>
      <c r="G1294" s="1">
        <f t="shared" si="216"/>
        <v>1.7124110123850481E-6</v>
      </c>
      <c r="H1294" s="1">
        <f t="shared" si="209"/>
        <v>1.7610589857795202E-8</v>
      </c>
      <c r="I1294">
        <f t="shared" si="210"/>
        <v>10</v>
      </c>
      <c r="J1294">
        <f t="shared" si="211"/>
        <v>1257</v>
      </c>
      <c r="K1294" s="5">
        <f t="shared" si="212"/>
        <v>0</v>
      </c>
      <c r="L1294">
        <f t="shared" si="213"/>
        <v>95</v>
      </c>
      <c r="M1294">
        <f t="shared" si="214"/>
        <v>1</v>
      </c>
      <c r="N1294">
        <f t="shared" si="215"/>
        <v>0</v>
      </c>
    </row>
    <row r="1295" spans="4:14" x14ac:dyDescent="0.2">
      <c r="D1295">
        <f t="shared" si="217"/>
        <v>1272</v>
      </c>
      <c r="E1295" s="1">
        <f t="shared" si="218"/>
        <v>-10.952369817068524</v>
      </c>
      <c r="F1295" s="1">
        <f t="shared" si="219"/>
        <v>-13.288079531598253</v>
      </c>
      <c r="G1295" s="1">
        <f t="shared" si="216"/>
        <v>1.6945733976727055E-6</v>
      </c>
      <c r="H1295" s="1">
        <f t="shared" si="209"/>
        <v>1.7427146213443185E-8</v>
      </c>
      <c r="I1295">
        <f t="shared" si="210"/>
        <v>10</v>
      </c>
      <c r="J1295">
        <f t="shared" si="211"/>
        <v>1258</v>
      </c>
      <c r="K1295" s="5">
        <f t="shared" si="212"/>
        <v>0</v>
      </c>
      <c r="L1295">
        <f t="shared" si="213"/>
        <v>95</v>
      </c>
      <c r="M1295">
        <f t="shared" si="214"/>
        <v>1</v>
      </c>
      <c r="N1295">
        <f t="shared" si="215"/>
        <v>0</v>
      </c>
    </row>
    <row r="1296" spans="4:14" x14ac:dyDescent="0.2">
      <c r="D1296">
        <f t="shared" si="217"/>
        <v>1273</v>
      </c>
      <c r="E1296" s="1">
        <f t="shared" si="218"/>
        <v>-10.96284111693582</v>
      </c>
      <c r="F1296" s="1">
        <f t="shared" si="219"/>
        <v>-13.298550831465551</v>
      </c>
      <c r="G1296" s="1">
        <f t="shared" si="216"/>
        <v>1.6769215914469438E-6</v>
      </c>
      <c r="H1296" s="1">
        <f t="shared" si="209"/>
        <v>1.7245613440386442E-8</v>
      </c>
      <c r="I1296">
        <f t="shared" si="210"/>
        <v>10</v>
      </c>
      <c r="J1296">
        <f t="shared" si="211"/>
        <v>1259</v>
      </c>
      <c r="K1296" s="5">
        <f t="shared" si="212"/>
        <v>0</v>
      </c>
      <c r="L1296">
        <f t="shared" si="213"/>
        <v>95</v>
      </c>
      <c r="M1296">
        <f t="shared" si="214"/>
        <v>1</v>
      </c>
      <c r="N1296">
        <f t="shared" si="215"/>
        <v>0</v>
      </c>
    </row>
    <row r="1297" spans="4:14" x14ac:dyDescent="0.2">
      <c r="D1297">
        <f t="shared" si="217"/>
        <v>1274</v>
      </c>
      <c r="E1297" s="1">
        <f t="shared" si="218"/>
        <v>-10.973312416803116</v>
      </c>
      <c r="F1297" s="1">
        <f t="shared" si="219"/>
        <v>-13.309022131332846</v>
      </c>
      <c r="G1297" s="1">
        <f t="shared" si="216"/>
        <v>1.6594536582027064E-6</v>
      </c>
      <c r="H1297" s="1">
        <f t="shared" si="209"/>
        <v>1.7065971633715766E-8</v>
      </c>
      <c r="I1297">
        <f t="shared" si="210"/>
        <v>10</v>
      </c>
      <c r="J1297">
        <f t="shared" si="211"/>
        <v>1260</v>
      </c>
      <c r="K1297" s="5">
        <f t="shared" si="212"/>
        <v>0</v>
      </c>
      <c r="L1297">
        <f t="shared" si="213"/>
        <v>95</v>
      </c>
      <c r="M1297">
        <f t="shared" si="214"/>
        <v>1</v>
      </c>
      <c r="N1297">
        <f t="shared" si="215"/>
        <v>0</v>
      </c>
    </row>
    <row r="1298" spans="4:14" x14ac:dyDescent="0.2">
      <c r="D1298">
        <f t="shared" si="217"/>
        <v>1275</v>
      </c>
      <c r="E1298" s="1">
        <f t="shared" si="218"/>
        <v>-10.983783716670413</v>
      </c>
      <c r="F1298" s="1">
        <f t="shared" si="219"/>
        <v>-13.319493431200144</v>
      </c>
      <c r="G1298" s="1">
        <f t="shared" si="216"/>
        <v>1.6421676825964239E-6</v>
      </c>
      <c r="H1298" s="1">
        <f t="shared" si="209"/>
        <v>1.6888201095864515E-8</v>
      </c>
      <c r="I1298">
        <f t="shared" si="210"/>
        <v>10</v>
      </c>
      <c r="J1298">
        <f t="shared" si="211"/>
        <v>1261</v>
      </c>
      <c r="K1298" s="5">
        <f t="shared" si="212"/>
        <v>0</v>
      </c>
      <c r="L1298">
        <f t="shared" si="213"/>
        <v>95</v>
      </c>
      <c r="M1298">
        <f t="shared" si="214"/>
        <v>1</v>
      </c>
      <c r="N1298">
        <f t="shared" si="215"/>
        <v>0</v>
      </c>
    </row>
    <row r="1299" spans="4:14" x14ac:dyDescent="0.2">
      <c r="D1299">
        <f t="shared" si="217"/>
        <v>1276</v>
      </c>
      <c r="E1299" s="1">
        <f t="shared" si="218"/>
        <v>-10.994255016537709</v>
      </c>
      <c r="F1299" s="1">
        <f t="shared" si="219"/>
        <v>-13.329964731067438</v>
      </c>
      <c r="G1299" s="1">
        <f t="shared" si="216"/>
        <v>1.6250617692360461E-6</v>
      </c>
      <c r="H1299" s="1">
        <f t="shared" si="209"/>
        <v>1.6712282334449277E-8</v>
      </c>
      <c r="I1299">
        <f t="shared" si="210"/>
        <v>10</v>
      </c>
      <c r="J1299">
        <f t="shared" si="211"/>
        <v>1262</v>
      </c>
      <c r="K1299" s="5">
        <f t="shared" si="212"/>
        <v>0</v>
      </c>
      <c r="L1299">
        <f t="shared" si="213"/>
        <v>95</v>
      </c>
      <c r="M1299">
        <f t="shared" si="214"/>
        <v>1</v>
      </c>
      <c r="N1299">
        <f t="shared" si="215"/>
        <v>0</v>
      </c>
    </row>
    <row r="1300" spans="4:14" x14ac:dyDescent="0.2">
      <c r="D1300">
        <f t="shared" si="217"/>
        <v>1277</v>
      </c>
      <c r="E1300" s="1">
        <f t="shared" si="218"/>
        <v>-11.004726316405005</v>
      </c>
      <c r="F1300" s="1">
        <f t="shared" si="219"/>
        <v>-13.340436030934736</v>
      </c>
      <c r="G1300" s="1">
        <f t="shared" si="216"/>
        <v>1.6081340424731665E-6</v>
      </c>
      <c r="H1300" s="1">
        <f t="shared" si="209"/>
        <v>1.6538196060132055E-8</v>
      </c>
      <c r="I1300">
        <f t="shared" si="210"/>
        <v>10</v>
      </c>
      <c r="J1300">
        <f t="shared" si="211"/>
        <v>1263</v>
      </c>
      <c r="K1300" s="5">
        <f t="shared" si="212"/>
        <v>0</v>
      </c>
      <c r="L1300">
        <f t="shared" si="213"/>
        <v>95</v>
      </c>
      <c r="M1300">
        <f t="shared" si="214"/>
        <v>1</v>
      </c>
      <c r="N1300">
        <f t="shared" si="215"/>
        <v>0</v>
      </c>
    </row>
    <row r="1301" spans="4:14" x14ac:dyDescent="0.2">
      <c r="D1301">
        <f t="shared" si="217"/>
        <v>1278</v>
      </c>
      <c r="E1301" s="1">
        <f t="shared" si="218"/>
        <v>-11.015197616272301</v>
      </c>
      <c r="F1301" s="1">
        <f t="shared" si="219"/>
        <v>-13.350907330802031</v>
      </c>
      <c r="G1301" s="1">
        <f t="shared" si="216"/>
        <v>1.5913826461974058E-6</v>
      </c>
      <c r="H1301" s="1">
        <f t="shared" si="209"/>
        <v>1.6365923184505694E-8</v>
      </c>
      <c r="I1301">
        <f t="shared" si="210"/>
        <v>10</v>
      </c>
      <c r="J1301">
        <f t="shared" si="211"/>
        <v>1264</v>
      </c>
      <c r="K1301" s="5">
        <f t="shared" si="212"/>
        <v>0</v>
      </c>
      <c r="L1301">
        <f t="shared" si="213"/>
        <v>95</v>
      </c>
      <c r="M1301">
        <f t="shared" si="214"/>
        <v>1</v>
      </c>
      <c r="N1301">
        <f t="shared" si="215"/>
        <v>0</v>
      </c>
    </row>
    <row r="1302" spans="4:14" x14ac:dyDescent="0.2">
      <c r="D1302">
        <f t="shared" si="217"/>
        <v>1279</v>
      </c>
      <c r="E1302" s="1">
        <f t="shared" si="218"/>
        <v>-11.025668916139598</v>
      </c>
      <c r="F1302" s="1">
        <f t="shared" si="219"/>
        <v>-13.361378630669329</v>
      </c>
      <c r="G1302" s="1">
        <f t="shared" si="216"/>
        <v>1.5748057436328453E-6</v>
      </c>
      <c r="H1302" s="1">
        <f t="shared" si="209"/>
        <v>1.6195444818000383E-8</v>
      </c>
      <c r="I1302">
        <f t="shared" si="210"/>
        <v>10</v>
      </c>
      <c r="J1302">
        <f t="shared" si="211"/>
        <v>1265</v>
      </c>
      <c r="K1302" s="5">
        <f t="shared" si="212"/>
        <v>0</v>
      </c>
      <c r="L1302">
        <f t="shared" si="213"/>
        <v>95</v>
      </c>
      <c r="M1302">
        <f t="shared" si="214"/>
        <v>1</v>
      </c>
      <c r="N1302">
        <f t="shared" si="215"/>
        <v>0</v>
      </c>
    </row>
    <row r="1303" spans="4:14" x14ac:dyDescent="0.2">
      <c r="D1303">
        <f t="shared" si="217"/>
        <v>1280</v>
      </c>
      <c r="E1303" s="1">
        <f t="shared" si="218"/>
        <v>-11.036140216006894</v>
      </c>
      <c r="F1303" s="1">
        <f t="shared" si="219"/>
        <v>-13.371849930536623</v>
      </c>
      <c r="G1303" s="1">
        <f t="shared" si="216"/>
        <v>1.5584015171366714E-6</v>
      </c>
      <c r="H1303" s="1">
        <f t="shared" ref="H1303:H1366" si="220">G1303/$G$21</f>
        <v>1.6026742267812894E-8</v>
      </c>
      <c r="I1303">
        <f t="shared" ref="I1303:I1366" si="221">IF($F$11&lt;=D1303, IF(D1303&lt;=$A$15,D1303-$F$11,$C$11),0)</f>
        <v>10</v>
      </c>
      <c r="J1303">
        <f t="shared" ref="J1303:J1366" si="222">IF(D1303&lt;=$A$15,0,D1303-$A$15)</f>
        <v>1266</v>
      </c>
      <c r="K1303" s="5">
        <f t="shared" ref="K1303:K1366" si="223">IF(D1303&lt;$F$11,H1303,0)</f>
        <v>0</v>
      </c>
      <c r="L1303">
        <f t="shared" ref="L1303:L1366" si="224">IF(D1303&lt;$A$15,$D$11,$D$11*(1-$H$11))</f>
        <v>95</v>
      </c>
      <c r="M1303">
        <f t="shared" ref="M1303:M1366" si="225">IF(D1303&lt;$A$15,0,1)</f>
        <v>1</v>
      </c>
      <c r="N1303">
        <f t="shared" ref="N1303:N1366" si="226">IF(SUM(I1303:J1303)&lt;=($G$11/60*$F$11/($E$11/60)),1,0)</f>
        <v>0</v>
      </c>
    </row>
    <row r="1304" spans="4:14" x14ac:dyDescent="0.2">
      <c r="D1304">
        <f t="shared" si="217"/>
        <v>1281</v>
      </c>
      <c r="E1304" s="1">
        <f t="shared" si="218"/>
        <v>-11.04661151587419</v>
      </c>
      <c r="F1304" s="1">
        <f t="shared" si="219"/>
        <v>-13.382321230403921</v>
      </c>
      <c r="G1304" s="1">
        <f t="shared" ref="G1304:G1367" si="227">EXP(F1304)</f>
        <v>1.5421681679998272E-6</v>
      </c>
      <c r="H1304" s="1">
        <f t="shared" si="220"/>
        <v>1.5859797035856469E-8</v>
      </c>
      <c r="I1304">
        <f t="shared" si="221"/>
        <v>10</v>
      </c>
      <c r="J1304">
        <f t="shared" si="222"/>
        <v>1267</v>
      </c>
      <c r="K1304" s="5">
        <f t="shared" si="223"/>
        <v>0</v>
      </c>
      <c r="L1304">
        <f t="shared" si="224"/>
        <v>95</v>
      </c>
      <c r="M1304">
        <f t="shared" si="225"/>
        <v>1</v>
      </c>
      <c r="N1304">
        <f t="shared" si="226"/>
        <v>0</v>
      </c>
    </row>
    <row r="1305" spans="4:14" x14ac:dyDescent="0.2">
      <c r="D1305">
        <f t="shared" ref="D1305:D1368" si="228">1+D1304</f>
        <v>1282</v>
      </c>
      <c r="E1305" s="1">
        <f t="shared" ref="E1305:E1368" si="229">IF($H$11=1,IF(D1305&lt;=$A$15, E1304+LN($D$11)-LN(60/$E$11)-LN(MIN(D1305,$F$11)), E1304-LN(60/$E$11)-LN(MIN(D1305,$F$11))), IF(D1305&lt;=$A$15, E1304+LN($D$11)-LN(60/$E$11)-LN(MIN(D1305,$F$11)), E1304+LN($D$11)+LN(1-$H$11)-LN(60/$E$11)-LN(MIN(D1305,$F$11))))</f>
        <v>-11.057082815741486</v>
      </c>
      <c r="F1305" s="1">
        <f t="shared" ref="F1305:F1368" si="230">E1305-$E$21</f>
        <v>-13.392792530271215</v>
      </c>
      <c r="G1305" s="1">
        <f t="shared" si="227"/>
        <v>1.5261039162498304E-6</v>
      </c>
      <c r="H1305" s="1">
        <f t="shared" si="220"/>
        <v>1.5694590816732978E-8</v>
      </c>
      <c r="I1305">
        <f t="shared" si="221"/>
        <v>10</v>
      </c>
      <c r="J1305">
        <f t="shared" si="222"/>
        <v>1268</v>
      </c>
      <c r="K1305" s="5">
        <f t="shared" si="223"/>
        <v>0</v>
      </c>
      <c r="L1305">
        <f t="shared" si="224"/>
        <v>95</v>
      </c>
      <c r="M1305">
        <f t="shared" si="225"/>
        <v>1</v>
      </c>
      <c r="N1305">
        <f t="shared" si="226"/>
        <v>0</v>
      </c>
    </row>
    <row r="1306" spans="4:14" x14ac:dyDescent="0.2">
      <c r="D1306">
        <f t="shared" si="228"/>
        <v>1283</v>
      </c>
      <c r="E1306" s="1">
        <f t="shared" si="229"/>
        <v>-11.067554115608782</v>
      </c>
      <c r="F1306" s="1">
        <f t="shared" si="230"/>
        <v>-13.403263830138513</v>
      </c>
      <c r="G1306" s="1">
        <f t="shared" si="227"/>
        <v>1.5102070004555573E-6</v>
      </c>
      <c r="H1306" s="1">
        <f t="shared" si="220"/>
        <v>1.5531105495725303E-8</v>
      </c>
      <c r="I1306">
        <f t="shared" si="221"/>
        <v>10</v>
      </c>
      <c r="J1306">
        <f t="shared" si="222"/>
        <v>1269</v>
      </c>
      <c r="K1306" s="5">
        <f t="shared" si="223"/>
        <v>0</v>
      </c>
      <c r="L1306">
        <f t="shared" si="224"/>
        <v>95</v>
      </c>
      <c r="M1306">
        <f t="shared" si="225"/>
        <v>1</v>
      </c>
      <c r="N1306">
        <f t="shared" si="226"/>
        <v>0</v>
      </c>
    </row>
    <row r="1307" spans="4:14" x14ac:dyDescent="0.2">
      <c r="D1307">
        <f t="shared" si="228"/>
        <v>1284</v>
      </c>
      <c r="E1307" s="1">
        <f t="shared" si="229"/>
        <v>-11.078025415476079</v>
      </c>
      <c r="F1307" s="1">
        <f t="shared" si="230"/>
        <v>-13.413735130005808</v>
      </c>
      <c r="G1307" s="1">
        <f t="shared" si="227"/>
        <v>1.4944756775341468E-6</v>
      </c>
      <c r="H1307" s="1">
        <f t="shared" si="220"/>
        <v>1.5369323146811513E-8</v>
      </c>
      <c r="I1307">
        <f t="shared" si="221"/>
        <v>10</v>
      </c>
      <c r="J1307">
        <f t="shared" si="222"/>
        <v>1270</v>
      </c>
      <c r="K1307" s="5">
        <f t="shared" si="223"/>
        <v>0</v>
      </c>
      <c r="L1307">
        <f t="shared" si="224"/>
        <v>95</v>
      </c>
      <c r="M1307">
        <f t="shared" si="225"/>
        <v>1</v>
      </c>
      <c r="N1307">
        <f t="shared" si="226"/>
        <v>0</v>
      </c>
    </row>
    <row r="1308" spans="4:14" x14ac:dyDescent="0.2">
      <c r="D1308">
        <f t="shared" si="228"/>
        <v>1285</v>
      </c>
      <c r="E1308" s="1">
        <f t="shared" si="229"/>
        <v>-11.088496715343375</v>
      </c>
      <c r="F1308" s="1">
        <f t="shared" si="230"/>
        <v>-13.424206429873106</v>
      </c>
      <c r="G1308" s="1">
        <f t="shared" si="227"/>
        <v>1.4789082225598288E-6</v>
      </c>
      <c r="H1308" s="1">
        <f t="shared" si="220"/>
        <v>1.5209226030698853E-8</v>
      </c>
      <c r="I1308">
        <f t="shared" si="221"/>
        <v>10</v>
      </c>
      <c r="J1308">
        <f t="shared" si="222"/>
        <v>1271</v>
      </c>
      <c r="K1308" s="5">
        <f t="shared" si="223"/>
        <v>0</v>
      </c>
      <c r="L1308">
        <f t="shared" si="224"/>
        <v>95</v>
      </c>
      <c r="M1308">
        <f t="shared" si="225"/>
        <v>1</v>
      </c>
      <c r="N1308">
        <f t="shared" si="226"/>
        <v>0</v>
      </c>
    </row>
    <row r="1309" spans="4:14" x14ac:dyDescent="0.2">
      <c r="D1309">
        <f t="shared" si="228"/>
        <v>1286</v>
      </c>
      <c r="E1309" s="1">
        <f t="shared" si="229"/>
        <v>-11.098968015210671</v>
      </c>
      <c r="F1309" s="1">
        <f t="shared" si="230"/>
        <v>-13.4346777297404</v>
      </c>
      <c r="G1309" s="1">
        <f t="shared" si="227"/>
        <v>1.463502928574832E-6</v>
      </c>
      <c r="H1309" s="1">
        <f t="shared" si="220"/>
        <v>1.5050796592879088E-8</v>
      </c>
      <c r="I1309">
        <f t="shared" si="221"/>
        <v>10</v>
      </c>
      <c r="J1309">
        <f t="shared" si="222"/>
        <v>1272</v>
      </c>
      <c r="K1309" s="5">
        <f t="shared" si="223"/>
        <v>0</v>
      </c>
      <c r="L1309">
        <f t="shared" si="224"/>
        <v>95</v>
      </c>
      <c r="M1309">
        <f t="shared" si="225"/>
        <v>1</v>
      </c>
      <c r="N1309">
        <f t="shared" si="226"/>
        <v>0</v>
      </c>
    </row>
    <row r="1310" spans="4:14" x14ac:dyDescent="0.2">
      <c r="D1310">
        <f t="shared" si="228"/>
        <v>1287</v>
      </c>
      <c r="E1310" s="1">
        <f t="shared" si="229"/>
        <v>-11.109439315077967</v>
      </c>
      <c r="F1310" s="1">
        <f t="shared" si="230"/>
        <v>-13.445149029607698</v>
      </c>
      <c r="G1310" s="1">
        <f t="shared" si="227"/>
        <v>1.4482581064021738E-6</v>
      </c>
      <c r="H1310" s="1">
        <f t="shared" si="220"/>
        <v>1.4894017461703227E-8</v>
      </c>
      <c r="I1310">
        <f t="shared" si="221"/>
        <v>10</v>
      </c>
      <c r="J1310">
        <f t="shared" si="222"/>
        <v>1273</v>
      </c>
      <c r="K1310" s="5">
        <f t="shared" si="223"/>
        <v>0</v>
      </c>
      <c r="L1310">
        <f t="shared" si="224"/>
        <v>95</v>
      </c>
      <c r="M1310">
        <f t="shared" si="225"/>
        <v>1</v>
      </c>
      <c r="N1310">
        <f t="shared" si="226"/>
        <v>0</v>
      </c>
    </row>
    <row r="1311" spans="4:14" x14ac:dyDescent="0.2">
      <c r="D1311">
        <f t="shared" si="228"/>
        <v>1288</v>
      </c>
      <c r="E1311" s="1">
        <f t="shared" si="229"/>
        <v>-11.119910614945264</v>
      </c>
      <c r="F1311" s="1">
        <f t="shared" si="230"/>
        <v>-13.455620329474993</v>
      </c>
      <c r="G1311" s="1">
        <f t="shared" si="227"/>
        <v>1.4331720844604859E-6</v>
      </c>
      <c r="H1311" s="1">
        <f t="shared" si="220"/>
        <v>1.4738871446477165E-8</v>
      </c>
      <c r="I1311">
        <f t="shared" si="221"/>
        <v>10</v>
      </c>
      <c r="J1311">
        <f t="shared" si="222"/>
        <v>1274</v>
      </c>
      <c r="K1311" s="5">
        <f t="shared" si="223"/>
        <v>0</v>
      </c>
      <c r="L1311">
        <f t="shared" si="224"/>
        <v>95</v>
      </c>
      <c r="M1311">
        <f t="shared" si="225"/>
        <v>1</v>
      </c>
      <c r="N1311">
        <f t="shared" si="226"/>
        <v>0</v>
      </c>
    </row>
    <row r="1312" spans="4:14" x14ac:dyDescent="0.2">
      <c r="D1312">
        <f t="shared" si="228"/>
        <v>1289</v>
      </c>
      <c r="E1312" s="1">
        <f t="shared" si="229"/>
        <v>-11.13038191481256</v>
      </c>
      <c r="F1312" s="1">
        <f t="shared" si="230"/>
        <v>-13.466091629342291</v>
      </c>
      <c r="G1312" s="1">
        <f t="shared" si="227"/>
        <v>1.4182432085806854E-6</v>
      </c>
      <c r="H1312" s="1">
        <f t="shared" si="220"/>
        <v>1.4585341535576323E-8</v>
      </c>
      <c r="I1312">
        <f t="shared" si="221"/>
        <v>10</v>
      </c>
      <c r="J1312">
        <f t="shared" si="222"/>
        <v>1275</v>
      </c>
      <c r="K1312" s="5">
        <f t="shared" si="223"/>
        <v>0</v>
      </c>
      <c r="L1312">
        <f t="shared" si="224"/>
        <v>95</v>
      </c>
      <c r="M1312">
        <f t="shared" si="225"/>
        <v>1</v>
      </c>
      <c r="N1312">
        <f t="shared" si="226"/>
        <v>0</v>
      </c>
    </row>
    <row r="1313" spans="4:14" x14ac:dyDescent="0.2">
      <c r="D1313">
        <f t="shared" si="228"/>
        <v>1290</v>
      </c>
      <c r="E1313" s="1">
        <f t="shared" si="229"/>
        <v>-11.140853214679856</v>
      </c>
      <c r="F1313" s="1">
        <f t="shared" si="230"/>
        <v>-13.476562929209585</v>
      </c>
      <c r="G1313" s="1">
        <f t="shared" si="227"/>
        <v>1.403469841824638E-6</v>
      </c>
      <c r="H1313" s="1">
        <f t="shared" si="220"/>
        <v>1.4433410894580751E-8</v>
      </c>
      <c r="I1313">
        <f t="shared" si="221"/>
        <v>10</v>
      </c>
      <c r="J1313">
        <f t="shared" si="222"/>
        <v>1276</v>
      </c>
      <c r="K1313" s="5">
        <f t="shared" si="223"/>
        <v>0</v>
      </c>
      <c r="L1313">
        <f t="shared" si="224"/>
        <v>95</v>
      </c>
      <c r="M1313">
        <f t="shared" si="225"/>
        <v>1</v>
      </c>
      <c r="N1313">
        <f t="shared" si="226"/>
        <v>0</v>
      </c>
    </row>
    <row r="1314" spans="4:14" x14ac:dyDescent="0.2">
      <c r="D1314">
        <f t="shared" si="228"/>
        <v>1291</v>
      </c>
      <c r="E1314" s="1">
        <f t="shared" si="229"/>
        <v>-11.151324514547152</v>
      </c>
      <c r="F1314" s="1">
        <f t="shared" si="230"/>
        <v>-13.487034229076883</v>
      </c>
      <c r="G1314" s="1">
        <f t="shared" si="227"/>
        <v>1.3888503643056278E-6</v>
      </c>
      <c r="H1314" s="1">
        <f t="shared" si="220"/>
        <v>1.4283062864428831E-8</v>
      </c>
      <c r="I1314">
        <f t="shared" si="221"/>
        <v>10</v>
      </c>
      <c r="J1314">
        <f t="shared" si="222"/>
        <v>1277</v>
      </c>
      <c r="K1314" s="5">
        <f t="shared" si="223"/>
        <v>0</v>
      </c>
      <c r="L1314">
        <f t="shared" si="224"/>
        <v>95</v>
      </c>
      <c r="M1314">
        <f t="shared" si="225"/>
        <v>1</v>
      </c>
      <c r="N1314">
        <f t="shared" si="226"/>
        <v>0</v>
      </c>
    </row>
    <row r="1315" spans="4:14" x14ac:dyDescent="0.2">
      <c r="D1315">
        <f t="shared" si="228"/>
        <v>1292</v>
      </c>
      <c r="E1315" s="1">
        <f t="shared" si="229"/>
        <v>-11.161795814414448</v>
      </c>
      <c r="F1315" s="1">
        <f t="shared" si="230"/>
        <v>-13.497505528944178</v>
      </c>
      <c r="G1315" s="1">
        <f t="shared" si="227"/>
        <v>1.3743831730107787E-6</v>
      </c>
      <c r="H1315" s="1">
        <f t="shared" si="220"/>
        <v>1.4134280959591042E-8</v>
      </c>
      <c r="I1315">
        <f t="shared" si="221"/>
        <v>10</v>
      </c>
      <c r="J1315">
        <f t="shared" si="222"/>
        <v>1278</v>
      </c>
      <c r="K1315" s="5">
        <f t="shared" si="223"/>
        <v>0</v>
      </c>
      <c r="L1315">
        <f t="shared" si="224"/>
        <v>95</v>
      </c>
      <c r="M1315">
        <f t="shared" si="225"/>
        <v>1</v>
      </c>
      <c r="N1315">
        <f t="shared" si="226"/>
        <v>0</v>
      </c>
    </row>
    <row r="1316" spans="4:14" x14ac:dyDescent="0.2">
      <c r="D1316">
        <f t="shared" si="228"/>
        <v>1293</v>
      </c>
      <c r="E1316" s="1">
        <f t="shared" si="229"/>
        <v>-11.172267114281745</v>
      </c>
      <c r="F1316" s="1">
        <f t="shared" si="230"/>
        <v>-13.507976828811476</v>
      </c>
      <c r="G1316" s="1">
        <f t="shared" si="227"/>
        <v>1.3600666816252463E-6</v>
      </c>
      <c r="H1316" s="1">
        <f t="shared" si="220"/>
        <v>1.3987048866261934E-8</v>
      </c>
      <c r="I1316">
        <f t="shared" si="221"/>
        <v>10</v>
      </c>
      <c r="J1316">
        <f t="shared" si="222"/>
        <v>1279</v>
      </c>
      <c r="K1316" s="5">
        <f t="shared" si="223"/>
        <v>0</v>
      </c>
      <c r="L1316">
        <f t="shared" si="224"/>
        <v>95</v>
      </c>
      <c r="M1316">
        <f t="shared" si="225"/>
        <v>1</v>
      </c>
      <c r="N1316">
        <f t="shared" si="226"/>
        <v>0</v>
      </c>
    </row>
    <row r="1317" spans="4:14" x14ac:dyDescent="0.2">
      <c r="D1317">
        <f t="shared" si="228"/>
        <v>1294</v>
      </c>
      <c r="E1317" s="1">
        <f t="shared" si="229"/>
        <v>-11.182738414149041</v>
      </c>
      <c r="F1317" s="1">
        <f t="shared" si="230"/>
        <v>-13.51844812867877</v>
      </c>
      <c r="G1317" s="1">
        <f t="shared" si="227"/>
        <v>1.345899320358318E-6</v>
      </c>
      <c r="H1317" s="1">
        <f t="shared" si="220"/>
        <v>1.3841350440571719E-8</v>
      </c>
      <c r="I1317">
        <f t="shared" si="221"/>
        <v>10</v>
      </c>
      <c r="J1317">
        <f t="shared" si="222"/>
        <v>1280</v>
      </c>
      <c r="K1317" s="5">
        <f t="shared" si="223"/>
        <v>0</v>
      </c>
      <c r="L1317">
        <f t="shared" si="224"/>
        <v>95</v>
      </c>
      <c r="M1317">
        <f t="shared" si="225"/>
        <v>1</v>
      </c>
      <c r="N1317">
        <f t="shared" si="226"/>
        <v>0</v>
      </c>
    </row>
    <row r="1318" spans="4:14" x14ac:dyDescent="0.2">
      <c r="D1318">
        <f t="shared" si="228"/>
        <v>1295</v>
      </c>
      <c r="E1318" s="1">
        <f t="shared" si="229"/>
        <v>-11.193209714016337</v>
      </c>
      <c r="F1318" s="1">
        <f t="shared" si="230"/>
        <v>-13.528919428546068</v>
      </c>
      <c r="G1318" s="1">
        <f t="shared" si="227"/>
        <v>1.3318795357712486E-6</v>
      </c>
      <c r="H1318" s="1">
        <f t="shared" si="220"/>
        <v>1.3697169706815728E-8</v>
      </c>
      <c r="I1318">
        <f t="shared" si="221"/>
        <v>10</v>
      </c>
      <c r="J1318">
        <f t="shared" si="222"/>
        <v>1281</v>
      </c>
      <c r="K1318" s="5">
        <f t="shared" si="223"/>
        <v>0</v>
      </c>
      <c r="L1318">
        <f t="shared" si="224"/>
        <v>95</v>
      </c>
      <c r="M1318">
        <f t="shared" si="225"/>
        <v>1</v>
      </c>
      <c r="N1318">
        <f t="shared" si="226"/>
        <v>0</v>
      </c>
    </row>
    <row r="1319" spans="4:14" x14ac:dyDescent="0.2">
      <c r="D1319">
        <f t="shared" si="228"/>
        <v>1296</v>
      </c>
      <c r="E1319" s="1">
        <f t="shared" si="229"/>
        <v>-11.203681013883633</v>
      </c>
      <c r="F1319" s="1">
        <f t="shared" si="230"/>
        <v>-13.539390728413363</v>
      </c>
      <c r="G1319" s="1">
        <f t="shared" si="227"/>
        <v>1.318005790606966E-6</v>
      </c>
      <c r="H1319" s="1">
        <f t="shared" si="220"/>
        <v>1.3554490855703076E-8</v>
      </c>
      <c r="I1319">
        <f t="shared" si="221"/>
        <v>10</v>
      </c>
      <c r="J1319">
        <f t="shared" si="222"/>
        <v>1282</v>
      </c>
      <c r="K1319" s="5">
        <f t="shared" si="223"/>
        <v>0</v>
      </c>
      <c r="L1319">
        <f t="shared" si="224"/>
        <v>95</v>
      </c>
      <c r="M1319">
        <f t="shared" si="225"/>
        <v>1</v>
      </c>
      <c r="N1319">
        <f t="shared" si="226"/>
        <v>0</v>
      </c>
    </row>
    <row r="1320" spans="4:14" x14ac:dyDescent="0.2">
      <c r="D1320">
        <f t="shared" si="228"/>
        <v>1297</v>
      </c>
      <c r="E1320" s="1">
        <f t="shared" si="229"/>
        <v>-11.21415231375093</v>
      </c>
      <c r="F1320" s="1">
        <f t="shared" si="230"/>
        <v>-13.549862028280661</v>
      </c>
      <c r="G1320" s="1">
        <f t="shared" si="227"/>
        <v>1.3042765636214735E-6</v>
      </c>
      <c r="H1320" s="1">
        <f t="shared" si="220"/>
        <v>1.3413298242622802E-8</v>
      </c>
      <c r="I1320">
        <f t="shared" si="221"/>
        <v>10</v>
      </c>
      <c r="J1320">
        <f t="shared" si="222"/>
        <v>1283</v>
      </c>
      <c r="K1320" s="5">
        <f t="shared" si="223"/>
        <v>0</v>
      </c>
      <c r="L1320">
        <f t="shared" si="224"/>
        <v>95</v>
      </c>
      <c r="M1320">
        <f t="shared" si="225"/>
        <v>1</v>
      </c>
      <c r="N1320">
        <f t="shared" si="226"/>
        <v>0</v>
      </c>
    </row>
    <row r="1321" spans="4:14" x14ac:dyDescent="0.2">
      <c r="D1321">
        <f t="shared" si="228"/>
        <v>1298</v>
      </c>
      <c r="E1321" s="1">
        <f t="shared" si="229"/>
        <v>-11.224623613618226</v>
      </c>
      <c r="F1321" s="1">
        <f t="shared" si="230"/>
        <v>-13.560333328147955</v>
      </c>
      <c r="G1321" s="1">
        <f t="shared" si="227"/>
        <v>1.2906903494170843E-6</v>
      </c>
      <c r="H1321" s="1">
        <f t="shared" si="220"/>
        <v>1.3273576385928827E-8</v>
      </c>
      <c r="I1321">
        <f t="shared" si="221"/>
        <v>10</v>
      </c>
      <c r="J1321">
        <f t="shared" si="222"/>
        <v>1284</v>
      </c>
      <c r="K1321" s="5">
        <f t="shared" si="223"/>
        <v>0</v>
      </c>
      <c r="L1321">
        <f t="shared" si="224"/>
        <v>95</v>
      </c>
      <c r="M1321">
        <f t="shared" si="225"/>
        <v>1</v>
      </c>
      <c r="N1321">
        <f t="shared" si="226"/>
        <v>0</v>
      </c>
    </row>
    <row r="1322" spans="4:14" x14ac:dyDescent="0.2">
      <c r="D1322">
        <f t="shared" si="228"/>
        <v>1299</v>
      </c>
      <c r="E1322" s="1">
        <f t="shared" si="229"/>
        <v>-11.235094913485522</v>
      </c>
      <c r="F1322" s="1">
        <f t="shared" si="230"/>
        <v>-13.570804628015253</v>
      </c>
      <c r="G1322" s="1">
        <f t="shared" si="227"/>
        <v>1.2772456582773197E-6</v>
      </c>
      <c r="H1322" s="1">
        <f t="shared" si="220"/>
        <v>1.3135309965242034E-8</v>
      </c>
      <c r="I1322">
        <f t="shared" si="221"/>
        <v>10</v>
      </c>
      <c r="J1322">
        <f t="shared" si="222"/>
        <v>1285</v>
      </c>
      <c r="K1322" s="5">
        <f t="shared" si="223"/>
        <v>0</v>
      </c>
      <c r="L1322">
        <f t="shared" si="224"/>
        <v>95</v>
      </c>
      <c r="M1322">
        <f t="shared" si="225"/>
        <v>1</v>
      </c>
      <c r="N1322">
        <f t="shared" si="226"/>
        <v>0</v>
      </c>
    </row>
    <row r="1323" spans="4:14" x14ac:dyDescent="0.2">
      <c r="D1323">
        <f t="shared" si="228"/>
        <v>1300</v>
      </c>
      <c r="E1323" s="1">
        <f t="shared" si="229"/>
        <v>-11.245566213352818</v>
      </c>
      <c r="F1323" s="1">
        <f t="shared" si="230"/>
        <v>-13.581275927882547</v>
      </c>
      <c r="G1323" s="1">
        <f t="shared" si="227"/>
        <v>1.2639410160035988E-6</v>
      </c>
      <c r="H1323" s="1">
        <f t="shared" si="220"/>
        <v>1.2998483819770775E-8</v>
      </c>
      <c r="I1323">
        <f t="shared" si="221"/>
        <v>10</v>
      </c>
      <c r="J1323">
        <f t="shared" si="222"/>
        <v>1286</v>
      </c>
      <c r="K1323" s="5">
        <f t="shared" si="223"/>
        <v>0</v>
      </c>
      <c r="L1323">
        <f t="shared" si="224"/>
        <v>95</v>
      </c>
      <c r="M1323">
        <f t="shared" si="225"/>
        <v>1</v>
      </c>
      <c r="N1323">
        <f t="shared" si="226"/>
        <v>0</v>
      </c>
    </row>
    <row r="1324" spans="4:14" x14ac:dyDescent="0.2">
      <c r="D1324">
        <f t="shared" si="228"/>
        <v>1301</v>
      </c>
      <c r="E1324" s="1">
        <f t="shared" si="229"/>
        <v>-11.256037513220114</v>
      </c>
      <c r="F1324" s="1">
        <f t="shared" si="230"/>
        <v>-13.591747227749845</v>
      </c>
      <c r="G1324" s="1">
        <f t="shared" si="227"/>
        <v>1.2507749637535581E-6</v>
      </c>
      <c r="H1324" s="1">
        <f t="shared" si="220"/>
        <v>1.286308294664813E-8</v>
      </c>
      <c r="I1324">
        <f t="shared" si="221"/>
        <v>10</v>
      </c>
      <c r="J1324">
        <f t="shared" si="222"/>
        <v>1287</v>
      </c>
      <c r="K1324" s="5">
        <f t="shared" si="223"/>
        <v>0</v>
      </c>
      <c r="L1324">
        <f t="shared" si="224"/>
        <v>95</v>
      </c>
      <c r="M1324">
        <f t="shared" si="225"/>
        <v>1</v>
      </c>
      <c r="N1324">
        <f t="shared" si="226"/>
        <v>0</v>
      </c>
    </row>
    <row r="1325" spans="4:14" x14ac:dyDescent="0.2">
      <c r="D1325">
        <f t="shared" si="228"/>
        <v>1302</v>
      </c>
      <c r="E1325" s="1">
        <f t="shared" si="229"/>
        <v>-11.266508813087411</v>
      </c>
      <c r="F1325" s="1">
        <f t="shared" si="230"/>
        <v>-13.60221852761714</v>
      </c>
      <c r="G1325" s="1">
        <f t="shared" si="227"/>
        <v>1.2377460578811264E-6</v>
      </c>
      <c r="H1325" s="1">
        <f t="shared" si="220"/>
        <v>1.2729092499287224E-8</v>
      </c>
      <c r="I1325">
        <f t="shared" si="221"/>
        <v>10</v>
      </c>
      <c r="J1325">
        <f t="shared" si="222"/>
        <v>1288</v>
      </c>
      <c r="K1325" s="5">
        <f t="shared" si="223"/>
        <v>0</v>
      </c>
      <c r="L1325">
        <f t="shared" si="224"/>
        <v>95</v>
      </c>
      <c r="M1325">
        <f t="shared" si="225"/>
        <v>1</v>
      </c>
      <c r="N1325">
        <f t="shared" si="226"/>
        <v>0</v>
      </c>
    </row>
    <row r="1326" spans="4:14" x14ac:dyDescent="0.2">
      <c r="D1326">
        <f t="shared" si="228"/>
        <v>1303</v>
      </c>
      <c r="E1326" s="1">
        <f t="shared" si="229"/>
        <v>-11.276980112954707</v>
      </c>
      <c r="F1326" s="1">
        <f t="shared" si="230"/>
        <v>-13.612689827484438</v>
      </c>
      <c r="G1326" s="1">
        <f t="shared" si="227"/>
        <v>1.2248528697781947E-6</v>
      </c>
      <c r="H1326" s="1">
        <f t="shared" si="220"/>
        <v>1.2596497785752948E-8</v>
      </c>
      <c r="I1326">
        <f t="shared" si="221"/>
        <v>10</v>
      </c>
      <c r="J1326">
        <f t="shared" si="222"/>
        <v>1289</v>
      </c>
      <c r="K1326" s="5">
        <f t="shared" si="223"/>
        <v>0</v>
      </c>
      <c r="L1326">
        <f t="shared" si="224"/>
        <v>95</v>
      </c>
      <c r="M1326">
        <f t="shared" si="225"/>
        <v>1</v>
      </c>
      <c r="N1326">
        <f t="shared" si="226"/>
        <v>0</v>
      </c>
    </row>
    <row r="1327" spans="4:14" x14ac:dyDescent="0.2">
      <c r="D1327">
        <f t="shared" si="228"/>
        <v>1304</v>
      </c>
      <c r="E1327" s="1">
        <f t="shared" si="229"/>
        <v>-11.287451412822003</v>
      </c>
      <c r="F1327" s="1">
        <f t="shared" si="230"/>
        <v>-13.623161127351732</v>
      </c>
      <c r="G1327" s="1">
        <f t="shared" si="227"/>
        <v>1.2120939857180064E-6</v>
      </c>
      <c r="H1327" s="1">
        <f t="shared" si="220"/>
        <v>1.2465284267151368E-8</v>
      </c>
      <c r="I1327">
        <f t="shared" si="221"/>
        <v>10</v>
      </c>
      <c r="J1327">
        <f t="shared" si="222"/>
        <v>1290</v>
      </c>
      <c r="K1327" s="5">
        <f t="shared" si="223"/>
        <v>0</v>
      </c>
      <c r="L1327">
        <f t="shared" si="224"/>
        <v>95</v>
      </c>
      <c r="M1327">
        <f t="shared" si="225"/>
        <v>1</v>
      </c>
      <c r="N1327">
        <f t="shared" si="226"/>
        <v>0</v>
      </c>
    </row>
    <row r="1328" spans="4:14" x14ac:dyDescent="0.2">
      <c r="D1328">
        <f t="shared" si="228"/>
        <v>1305</v>
      </c>
      <c r="E1328" s="1">
        <f t="shared" si="229"/>
        <v>-11.297922712689299</v>
      </c>
      <c r="F1328" s="1">
        <f t="shared" si="230"/>
        <v>-13.63363242721903</v>
      </c>
      <c r="G1328" s="1">
        <f t="shared" si="227"/>
        <v>1.1994680067001074E-6</v>
      </c>
      <c r="H1328" s="1">
        <f t="shared" si="220"/>
        <v>1.2335437556035175E-8</v>
      </c>
      <c r="I1328">
        <f t="shared" si="221"/>
        <v>10</v>
      </c>
      <c r="J1328">
        <f t="shared" si="222"/>
        <v>1291</v>
      </c>
      <c r="K1328" s="5">
        <f t="shared" si="223"/>
        <v>0</v>
      </c>
      <c r="L1328">
        <f t="shared" si="224"/>
        <v>95</v>
      </c>
      <c r="M1328">
        <f t="shared" si="225"/>
        <v>1</v>
      </c>
      <c r="N1328">
        <f t="shared" si="226"/>
        <v>0</v>
      </c>
    </row>
    <row r="1329" spans="4:14" x14ac:dyDescent="0.2">
      <c r="D1329">
        <f t="shared" si="228"/>
        <v>1306</v>
      </c>
      <c r="E1329" s="1">
        <f t="shared" si="229"/>
        <v>-11.308394012556596</v>
      </c>
      <c r="F1329" s="1">
        <f t="shared" si="230"/>
        <v>-13.644103727086325</v>
      </c>
      <c r="G1329" s="1">
        <f t="shared" si="227"/>
        <v>1.1869735482969825E-6</v>
      </c>
      <c r="H1329" s="1">
        <f t="shared" si="220"/>
        <v>1.2206943414826488E-8</v>
      </c>
      <c r="I1329">
        <f t="shared" si="221"/>
        <v>10</v>
      </c>
      <c r="J1329">
        <f t="shared" si="222"/>
        <v>1292</v>
      </c>
      <c r="K1329" s="5">
        <f t="shared" si="223"/>
        <v>0</v>
      </c>
      <c r="L1329">
        <f t="shared" si="224"/>
        <v>95</v>
      </c>
      <c r="M1329">
        <f t="shared" si="225"/>
        <v>1</v>
      </c>
      <c r="N1329">
        <f t="shared" si="226"/>
        <v>0</v>
      </c>
    </row>
    <row r="1330" spans="4:14" x14ac:dyDescent="0.2">
      <c r="D1330">
        <f t="shared" si="228"/>
        <v>1307</v>
      </c>
      <c r="E1330" s="1">
        <f t="shared" si="229"/>
        <v>-11.318865312423892</v>
      </c>
      <c r="F1330" s="1">
        <f t="shared" si="230"/>
        <v>-13.654575026953623</v>
      </c>
      <c r="G1330" s="1">
        <f t="shared" si="227"/>
        <v>1.1746092405022192E-6</v>
      </c>
      <c r="H1330" s="1">
        <f t="shared" si="220"/>
        <v>1.2079787754255347E-8</v>
      </c>
      <c r="I1330">
        <f t="shared" si="221"/>
        <v>10</v>
      </c>
      <c r="J1330">
        <f t="shared" si="222"/>
        <v>1293</v>
      </c>
      <c r="K1330" s="5">
        <f t="shared" si="223"/>
        <v>0</v>
      </c>
      <c r="L1330">
        <f t="shared" si="224"/>
        <v>95</v>
      </c>
      <c r="M1330">
        <f t="shared" si="225"/>
        <v>1</v>
      </c>
      <c r="N1330">
        <f t="shared" si="226"/>
        <v>0</v>
      </c>
    </row>
    <row r="1331" spans="4:14" x14ac:dyDescent="0.2">
      <c r="D1331">
        <f t="shared" si="228"/>
        <v>1308</v>
      </c>
      <c r="E1331" s="1">
        <f t="shared" si="229"/>
        <v>-11.329336612291188</v>
      </c>
      <c r="F1331" s="1">
        <f t="shared" si="230"/>
        <v>-13.665046326820917</v>
      </c>
      <c r="G1331" s="1">
        <f t="shared" si="227"/>
        <v>1.1623737275803221E-6</v>
      </c>
      <c r="H1331" s="1">
        <f t="shared" si="220"/>
        <v>1.1953956631815198E-8</v>
      </c>
      <c r="I1331">
        <f t="shared" si="221"/>
        <v>10</v>
      </c>
      <c r="J1331">
        <f t="shared" si="222"/>
        <v>1294</v>
      </c>
      <c r="K1331" s="5">
        <f t="shared" si="223"/>
        <v>0</v>
      </c>
      <c r="L1331">
        <f t="shared" si="224"/>
        <v>95</v>
      </c>
      <c r="M1331">
        <f t="shared" si="225"/>
        <v>1</v>
      </c>
      <c r="N1331">
        <f t="shared" si="226"/>
        <v>0</v>
      </c>
    </row>
    <row r="1332" spans="4:14" x14ac:dyDescent="0.2">
      <c r="D1332">
        <f t="shared" si="228"/>
        <v>1309</v>
      </c>
      <c r="E1332" s="1">
        <f t="shared" si="229"/>
        <v>-11.339807912158484</v>
      </c>
      <c r="F1332" s="1">
        <f t="shared" si="230"/>
        <v>-13.675517626688215</v>
      </c>
      <c r="G1332" s="1">
        <f t="shared" si="227"/>
        <v>1.1502656679180241E-6</v>
      </c>
      <c r="H1332" s="1">
        <f t="shared" si="220"/>
        <v>1.182943625023376E-8</v>
      </c>
      <c r="I1332">
        <f t="shared" si="221"/>
        <v>10</v>
      </c>
      <c r="J1332">
        <f t="shared" si="222"/>
        <v>1295</v>
      </c>
      <c r="K1332" s="5">
        <f t="shared" si="223"/>
        <v>0</v>
      </c>
      <c r="L1332">
        <f t="shared" si="224"/>
        <v>95</v>
      </c>
      <c r="M1332">
        <f t="shared" si="225"/>
        <v>1</v>
      </c>
      <c r="N1332">
        <f t="shared" si="226"/>
        <v>0</v>
      </c>
    </row>
    <row r="1333" spans="4:14" x14ac:dyDescent="0.2">
      <c r="D1333">
        <f t="shared" si="228"/>
        <v>1310</v>
      </c>
      <c r="E1333" s="1">
        <f t="shared" si="229"/>
        <v>-11.35027921202578</v>
      </c>
      <c r="F1333" s="1">
        <f t="shared" si="230"/>
        <v>-13.68598892655551</v>
      </c>
      <c r="G1333" s="1">
        <f t="shared" si="227"/>
        <v>1.1382837338772125E-6</v>
      </c>
      <c r="H1333" s="1">
        <f t="shared" si="220"/>
        <v>1.1706212955960503E-8</v>
      </c>
      <c r="I1333">
        <f t="shared" si="221"/>
        <v>10</v>
      </c>
      <c r="J1333">
        <f t="shared" si="222"/>
        <v>1296</v>
      </c>
      <c r="K1333" s="5">
        <f t="shared" si="223"/>
        <v>0</v>
      </c>
      <c r="L1333">
        <f t="shared" si="224"/>
        <v>95</v>
      </c>
      <c r="M1333">
        <f t="shared" si="225"/>
        <v>1</v>
      </c>
      <c r="N1333">
        <f t="shared" si="226"/>
        <v>0</v>
      </c>
    </row>
    <row r="1334" spans="4:14" x14ac:dyDescent="0.2">
      <c r="D1334">
        <f t="shared" si="228"/>
        <v>1311</v>
      </c>
      <c r="E1334" s="1">
        <f t="shared" si="229"/>
        <v>-11.360750511893077</v>
      </c>
      <c r="F1334" s="1">
        <f t="shared" si="230"/>
        <v>-13.696460226422808</v>
      </c>
      <c r="G1334" s="1">
        <f t="shared" si="227"/>
        <v>1.1264266116493219E-6</v>
      </c>
      <c r="H1334" s="1">
        <f t="shared" si="220"/>
        <v>1.1584273237669217E-8</v>
      </c>
      <c r="I1334">
        <f t="shared" si="221"/>
        <v>10</v>
      </c>
      <c r="J1334">
        <f t="shared" si="222"/>
        <v>1297</v>
      </c>
      <c r="K1334" s="5">
        <f t="shared" si="223"/>
        <v>0</v>
      </c>
      <c r="L1334">
        <f t="shared" si="224"/>
        <v>95</v>
      </c>
      <c r="M1334">
        <f t="shared" si="225"/>
        <v>1</v>
      </c>
      <c r="N1334">
        <f t="shared" si="226"/>
        <v>0</v>
      </c>
    </row>
    <row r="1335" spans="4:14" x14ac:dyDescent="0.2">
      <c r="D1335">
        <f t="shared" si="228"/>
        <v>1312</v>
      </c>
      <c r="E1335" s="1">
        <f t="shared" si="229"/>
        <v>-11.371221811760373</v>
      </c>
      <c r="F1335" s="1">
        <f t="shared" si="230"/>
        <v>-13.706931526290102</v>
      </c>
      <c r="G1335" s="1">
        <f t="shared" si="227"/>
        <v>1.1146930011113093E-6</v>
      </c>
      <c r="H1335" s="1">
        <f t="shared" si="220"/>
        <v>1.1463603724776841E-8</v>
      </c>
      <c r="I1335">
        <f t="shared" si="221"/>
        <v>10</v>
      </c>
      <c r="J1335">
        <f t="shared" si="222"/>
        <v>1298</v>
      </c>
      <c r="K1335" s="5">
        <f t="shared" si="223"/>
        <v>0</v>
      </c>
      <c r="L1335">
        <f t="shared" si="224"/>
        <v>95</v>
      </c>
      <c r="M1335">
        <f t="shared" si="225"/>
        <v>1</v>
      </c>
      <c r="N1335">
        <f t="shared" si="226"/>
        <v>0</v>
      </c>
    </row>
    <row r="1336" spans="4:14" x14ac:dyDescent="0.2">
      <c r="D1336">
        <f t="shared" si="228"/>
        <v>1313</v>
      </c>
      <c r="E1336" s="1">
        <f t="shared" si="229"/>
        <v>-11.381693111627669</v>
      </c>
      <c r="F1336" s="1">
        <f t="shared" si="230"/>
        <v>-13.7174028261574</v>
      </c>
      <c r="G1336" s="1">
        <f t="shared" si="227"/>
        <v>1.1030816156830634E-6</v>
      </c>
      <c r="H1336" s="1">
        <f t="shared" si="220"/>
        <v>1.1344191185977051E-8</v>
      </c>
      <c r="I1336">
        <f t="shared" si="221"/>
        <v>10</v>
      </c>
      <c r="J1336">
        <f t="shared" si="222"/>
        <v>1299</v>
      </c>
      <c r="K1336" s="5">
        <f t="shared" si="223"/>
        <v>0</v>
      </c>
      <c r="L1336">
        <f t="shared" si="224"/>
        <v>95</v>
      </c>
      <c r="M1336">
        <f t="shared" si="225"/>
        <v>1</v>
      </c>
      <c r="N1336">
        <f t="shared" si="226"/>
        <v>0</v>
      </c>
    </row>
    <row r="1337" spans="4:14" x14ac:dyDescent="0.2">
      <c r="D1337">
        <f t="shared" si="228"/>
        <v>1314</v>
      </c>
      <c r="E1337" s="1">
        <f t="shared" si="229"/>
        <v>-11.392164411494965</v>
      </c>
      <c r="F1337" s="1">
        <f t="shared" si="230"/>
        <v>-13.727874126024695</v>
      </c>
      <c r="G1337" s="1">
        <f t="shared" si="227"/>
        <v>1.0915911821863659E-6</v>
      </c>
      <c r="H1337" s="1">
        <f t="shared" si="220"/>
        <v>1.1226022527789801E-8</v>
      </c>
      <c r="I1337">
        <f t="shared" si="221"/>
        <v>10</v>
      </c>
      <c r="J1337">
        <f t="shared" si="222"/>
        <v>1300</v>
      </c>
      <c r="K1337" s="5">
        <f t="shared" si="223"/>
        <v>0</v>
      </c>
      <c r="L1337">
        <f t="shared" si="224"/>
        <v>95</v>
      </c>
      <c r="M1337">
        <f t="shared" si="225"/>
        <v>1</v>
      </c>
      <c r="N1337">
        <f t="shared" si="226"/>
        <v>0</v>
      </c>
    </row>
    <row r="1338" spans="4:14" x14ac:dyDescent="0.2">
      <c r="D1338">
        <f t="shared" si="228"/>
        <v>1315</v>
      </c>
      <c r="E1338" s="1">
        <f t="shared" si="229"/>
        <v>-11.402635711362262</v>
      </c>
      <c r="F1338" s="1">
        <f t="shared" si="230"/>
        <v>-13.738345425891993</v>
      </c>
      <c r="G1338" s="1">
        <f t="shared" si="227"/>
        <v>1.0802204407052552E-6</v>
      </c>
      <c r="H1338" s="1">
        <f t="shared" si="220"/>
        <v>1.1109084793125295E-8</v>
      </c>
      <c r="I1338">
        <f t="shared" si="221"/>
        <v>10</v>
      </c>
      <c r="J1338">
        <f t="shared" si="222"/>
        <v>1301</v>
      </c>
      <c r="K1338" s="5">
        <f t="shared" si="223"/>
        <v>0</v>
      </c>
      <c r="L1338">
        <f t="shared" si="224"/>
        <v>95</v>
      </c>
      <c r="M1338">
        <f t="shared" si="225"/>
        <v>1</v>
      </c>
      <c r="N1338">
        <f t="shared" si="226"/>
        <v>0</v>
      </c>
    </row>
    <row r="1339" spans="4:14" x14ac:dyDescent="0.2">
      <c r="D1339">
        <f t="shared" si="228"/>
        <v>1316</v>
      </c>
      <c r="E1339" s="1">
        <f t="shared" si="229"/>
        <v>-11.413107011229558</v>
      </c>
      <c r="F1339" s="1">
        <f t="shared" si="230"/>
        <v>-13.748816725759287</v>
      </c>
      <c r="G1339" s="1">
        <f t="shared" si="227"/>
        <v>1.0689681444479099E-6</v>
      </c>
      <c r="H1339" s="1">
        <f t="shared" si="220"/>
        <v>1.0993365159863586E-8</v>
      </c>
      <c r="I1339">
        <f t="shared" si="221"/>
        <v>10</v>
      </c>
      <c r="J1339">
        <f t="shared" si="222"/>
        <v>1302</v>
      </c>
      <c r="K1339" s="5">
        <f t="shared" si="223"/>
        <v>0</v>
      </c>
      <c r="L1339">
        <f t="shared" si="224"/>
        <v>95</v>
      </c>
      <c r="M1339">
        <f t="shared" si="225"/>
        <v>1</v>
      </c>
      <c r="N1339">
        <f t="shared" si="226"/>
        <v>0</v>
      </c>
    </row>
    <row r="1340" spans="4:14" x14ac:dyDescent="0.2">
      <c r="D1340">
        <f t="shared" si="228"/>
        <v>1317</v>
      </c>
      <c r="E1340" s="1">
        <f t="shared" si="229"/>
        <v>-11.423578311096854</v>
      </c>
      <c r="F1340" s="1">
        <f t="shared" si="230"/>
        <v>-13.759288025626585</v>
      </c>
      <c r="G1340" s="1">
        <f t="shared" si="227"/>
        <v>1.057833059609908E-6</v>
      </c>
      <c r="H1340" s="1">
        <f t="shared" si="220"/>
        <v>1.0878850939448311E-8</v>
      </c>
      <c r="I1340">
        <f t="shared" si="221"/>
        <v>10</v>
      </c>
      <c r="J1340">
        <f t="shared" si="222"/>
        <v>1303</v>
      </c>
      <c r="K1340" s="5">
        <f t="shared" si="223"/>
        <v>0</v>
      </c>
      <c r="L1340">
        <f t="shared" si="224"/>
        <v>95</v>
      </c>
      <c r="M1340">
        <f t="shared" si="225"/>
        <v>1</v>
      </c>
      <c r="N1340">
        <f t="shared" si="226"/>
        <v>0</v>
      </c>
    </row>
    <row r="1341" spans="4:14" x14ac:dyDescent="0.2">
      <c r="D1341">
        <f t="shared" si="228"/>
        <v>1318</v>
      </c>
      <c r="E1341" s="1">
        <f t="shared" si="229"/>
        <v>-11.43404961096415</v>
      </c>
      <c r="F1341" s="1">
        <f t="shared" si="230"/>
        <v>-13.769759325493879</v>
      </c>
      <c r="G1341" s="1">
        <f t="shared" si="227"/>
        <v>1.0468139652389726E-6</v>
      </c>
      <c r="H1341" s="1">
        <f t="shared" si="220"/>
        <v>1.0765529575495735E-8</v>
      </c>
      <c r="I1341">
        <f t="shared" si="221"/>
        <v>10</v>
      </c>
      <c r="J1341">
        <f t="shared" si="222"/>
        <v>1304</v>
      </c>
      <c r="K1341" s="5">
        <f t="shared" si="223"/>
        <v>0</v>
      </c>
      <c r="L1341">
        <f t="shared" si="224"/>
        <v>95</v>
      </c>
      <c r="M1341">
        <f t="shared" si="225"/>
        <v>1</v>
      </c>
      <c r="N1341">
        <f t="shared" si="226"/>
        <v>0</v>
      </c>
    </row>
    <row r="1342" spans="4:14" x14ac:dyDescent="0.2">
      <c r="D1342">
        <f t="shared" si="228"/>
        <v>1319</v>
      </c>
      <c r="E1342" s="1">
        <f t="shared" si="229"/>
        <v>-11.444520910831447</v>
      </c>
      <c r="F1342" s="1">
        <f t="shared" si="230"/>
        <v>-13.780230625361177</v>
      </c>
      <c r="G1342" s="1">
        <f t="shared" si="227"/>
        <v>1.0359096531010638E-6</v>
      </c>
      <c r="H1342" s="1">
        <f t="shared" si="220"/>
        <v>1.0653388642417626E-8</v>
      </c>
      <c r="I1342">
        <f t="shared" si="221"/>
        <v>10</v>
      </c>
      <c r="J1342">
        <f t="shared" si="222"/>
        <v>1305</v>
      </c>
      <c r="K1342" s="5">
        <f t="shared" si="223"/>
        <v>0</v>
      </c>
      <c r="L1342">
        <f t="shared" si="224"/>
        <v>95</v>
      </c>
      <c r="M1342">
        <f t="shared" si="225"/>
        <v>1</v>
      </c>
      <c r="N1342">
        <f t="shared" si="226"/>
        <v>0</v>
      </c>
    </row>
    <row r="1343" spans="4:14" x14ac:dyDescent="0.2">
      <c r="D1343">
        <f t="shared" si="228"/>
        <v>1320</v>
      </c>
      <c r="E1343" s="1">
        <f t="shared" si="229"/>
        <v>-11.454992210698743</v>
      </c>
      <c r="F1343" s="1">
        <f t="shared" si="230"/>
        <v>-13.790701925228472</v>
      </c>
      <c r="G1343" s="1">
        <f t="shared" si="227"/>
        <v>1.0251189275479288E-6</v>
      </c>
      <c r="H1343" s="1">
        <f t="shared" si="220"/>
        <v>1.054241584405912E-8</v>
      </c>
      <c r="I1343">
        <f t="shared" si="221"/>
        <v>10</v>
      </c>
      <c r="J1343">
        <f t="shared" si="222"/>
        <v>1306</v>
      </c>
      <c r="K1343" s="5">
        <f t="shared" si="223"/>
        <v>0</v>
      </c>
      <c r="L1343">
        <f t="shared" si="224"/>
        <v>95</v>
      </c>
      <c r="M1343">
        <f t="shared" si="225"/>
        <v>1</v>
      </c>
      <c r="N1343">
        <f t="shared" si="226"/>
        <v>0</v>
      </c>
    </row>
    <row r="1344" spans="4:14" x14ac:dyDescent="0.2">
      <c r="D1344">
        <f t="shared" si="228"/>
        <v>1321</v>
      </c>
      <c r="E1344" s="1">
        <f t="shared" si="229"/>
        <v>-11.465463510566039</v>
      </c>
      <c r="F1344" s="1">
        <f t="shared" si="230"/>
        <v>-13.80117322509577</v>
      </c>
      <c r="G1344" s="1">
        <f t="shared" si="227"/>
        <v>1.0144406053859686E-6</v>
      </c>
      <c r="H1344" s="1">
        <f t="shared" si="220"/>
        <v>1.0432599012350143E-8</v>
      </c>
      <c r="I1344">
        <f t="shared" si="221"/>
        <v>10</v>
      </c>
      <c r="J1344">
        <f t="shared" si="222"/>
        <v>1307</v>
      </c>
      <c r="K1344" s="5">
        <f t="shared" si="223"/>
        <v>0</v>
      </c>
      <c r="L1344">
        <f t="shared" si="224"/>
        <v>95</v>
      </c>
      <c r="M1344">
        <f t="shared" si="225"/>
        <v>1</v>
      </c>
      <c r="N1344">
        <f t="shared" si="226"/>
        <v>0</v>
      </c>
    </row>
    <row r="1345" spans="4:14" x14ac:dyDescent="0.2">
      <c r="D1345">
        <f t="shared" si="228"/>
        <v>1322</v>
      </c>
      <c r="E1345" s="1">
        <f t="shared" si="229"/>
        <v>-11.475934810433335</v>
      </c>
      <c r="F1345" s="1">
        <f t="shared" si="230"/>
        <v>-13.811644524963064</v>
      </c>
      <c r="G1345" s="1">
        <f t="shared" si="227"/>
        <v>1.0038735157465323E-6</v>
      </c>
      <c r="H1345" s="1">
        <f t="shared" si="220"/>
        <v>1.0323926105971506E-8</v>
      </c>
      <c r="I1345">
        <f t="shared" si="221"/>
        <v>10</v>
      </c>
      <c r="J1345">
        <f t="shared" si="222"/>
        <v>1308</v>
      </c>
      <c r="K1345" s="5">
        <f t="shared" si="223"/>
        <v>0</v>
      </c>
      <c r="L1345">
        <f t="shared" si="224"/>
        <v>95</v>
      </c>
      <c r="M1345">
        <f t="shared" si="225"/>
        <v>1</v>
      </c>
      <c r="N1345">
        <f t="shared" si="226"/>
        <v>0</v>
      </c>
    </row>
    <row r="1346" spans="4:14" x14ac:dyDescent="0.2">
      <c r="D1346">
        <f t="shared" si="228"/>
        <v>1323</v>
      </c>
      <c r="E1346" s="1">
        <f t="shared" si="229"/>
        <v>-11.486406110300631</v>
      </c>
      <c r="F1346" s="1">
        <f t="shared" si="230"/>
        <v>-13.822115824830362</v>
      </c>
      <c r="G1346" s="1">
        <f t="shared" si="227"/>
        <v>9.9341649995750332E-7</v>
      </c>
      <c r="H1346" s="1">
        <f t="shared" si="220"/>
        <v>1.0216385209034275E-8</v>
      </c>
      <c r="I1346">
        <f t="shared" si="221"/>
        <v>10</v>
      </c>
      <c r="J1346">
        <f t="shared" si="222"/>
        <v>1309</v>
      </c>
      <c r="K1346" s="5">
        <f t="shared" si="223"/>
        <v>0</v>
      </c>
      <c r="L1346">
        <f t="shared" si="224"/>
        <v>95</v>
      </c>
      <c r="M1346">
        <f t="shared" si="225"/>
        <v>1</v>
      </c>
      <c r="N1346">
        <f t="shared" si="226"/>
        <v>0</v>
      </c>
    </row>
    <row r="1347" spans="4:14" x14ac:dyDescent="0.2">
      <c r="D1347">
        <f t="shared" si="228"/>
        <v>1324</v>
      </c>
      <c r="E1347" s="1">
        <f t="shared" si="229"/>
        <v>-11.496877410167928</v>
      </c>
      <c r="F1347" s="1">
        <f t="shared" si="230"/>
        <v>-13.832587124697657</v>
      </c>
      <c r="G1347" s="1">
        <f t="shared" si="227"/>
        <v>9.830684114162803E-7</v>
      </c>
      <c r="H1347" s="1">
        <f t="shared" si="220"/>
        <v>1.0109964529773512E-8</v>
      </c>
      <c r="I1347">
        <f t="shared" si="221"/>
        <v>10</v>
      </c>
      <c r="J1347">
        <f t="shared" si="222"/>
        <v>1310</v>
      </c>
      <c r="K1347" s="5">
        <f t="shared" si="223"/>
        <v>0</v>
      </c>
      <c r="L1347">
        <f t="shared" si="224"/>
        <v>95</v>
      </c>
      <c r="M1347">
        <f t="shared" si="225"/>
        <v>1</v>
      </c>
      <c r="N1347">
        <f t="shared" si="226"/>
        <v>0</v>
      </c>
    </row>
    <row r="1348" spans="4:14" x14ac:dyDescent="0.2">
      <c r="D1348">
        <f t="shared" si="228"/>
        <v>1325</v>
      </c>
      <c r="E1348" s="1">
        <f t="shared" si="229"/>
        <v>-11.507348710035224</v>
      </c>
      <c r="F1348" s="1">
        <f t="shared" si="230"/>
        <v>-13.843058424564955</v>
      </c>
      <c r="G1348" s="1">
        <f t="shared" si="227"/>
        <v>9.7282811546402482E-7</v>
      </c>
      <c r="H1348" s="1">
        <f t="shared" si="220"/>
        <v>1.0004652399255012E-8</v>
      </c>
      <c r="I1348">
        <f t="shared" si="221"/>
        <v>10</v>
      </c>
      <c r="J1348">
        <f t="shared" si="222"/>
        <v>1311</v>
      </c>
      <c r="K1348" s="5">
        <f t="shared" si="223"/>
        <v>0</v>
      </c>
      <c r="L1348">
        <f t="shared" si="224"/>
        <v>95</v>
      </c>
      <c r="M1348">
        <f t="shared" si="225"/>
        <v>1</v>
      </c>
      <c r="N1348">
        <f t="shared" si="226"/>
        <v>0</v>
      </c>
    </row>
    <row r="1349" spans="4:14" x14ac:dyDescent="0.2">
      <c r="D1349">
        <f t="shared" si="228"/>
        <v>1326</v>
      </c>
      <c r="E1349" s="1">
        <f t="shared" si="229"/>
        <v>-11.51782000990252</v>
      </c>
      <c r="F1349" s="1">
        <f t="shared" si="230"/>
        <v>-13.853529724432249</v>
      </c>
      <c r="G1349" s="1">
        <f t="shared" si="227"/>
        <v>9.626944892612755E-7</v>
      </c>
      <c r="H1349" s="1">
        <f t="shared" si="220"/>
        <v>9.9004372700961153E-9</v>
      </c>
      <c r="I1349">
        <f t="shared" si="221"/>
        <v>10</v>
      </c>
      <c r="J1349">
        <f t="shared" si="222"/>
        <v>1312</v>
      </c>
      <c r="K1349" s="5">
        <f t="shared" si="223"/>
        <v>0</v>
      </c>
      <c r="L1349">
        <f t="shared" si="224"/>
        <v>95</v>
      </c>
      <c r="M1349">
        <f t="shared" si="225"/>
        <v>1</v>
      </c>
      <c r="N1349">
        <f t="shared" si="226"/>
        <v>0</v>
      </c>
    </row>
    <row r="1350" spans="4:14" x14ac:dyDescent="0.2">
      <c r="D1350">
        <f t="shared" si="228"/>
        <v>1327</v>
      </c>
      <c r="E1350" s="1">
        <f t="shared" si="229"/>
        <v>-11.528291309769816</v>
      </c>
      <c r="F1350" s="1">
        <f t="shared" si="230"/>
        <v>-13.864001024299547</v>
      </c>
      <c r="G1350" s="1">
        <f t="shared" si="227"/>
        <v>9.5266642166480139E-7</v>
      </c>
      <c r="H1350" s="1">
        <f t="shared" si="220"/>
        <v>9.797307715199254E-9</v>
      </c>
      <c r="I1350">
        <f t="shared" si="221"/>
        <v>10</v>
      </c>
      <c r="J1350">
        <f t="shared" si="222"/>
        <v>1313</v>
      </c>
      <c r="K1350" s="5">
        <f t="shared" si="223"/>
        <v>0</v>
      </c>
      <c r="L1350">
        <f t="shared" si="224"/>
        <v>95</v>
      </c>
      <c r="M1350">
        <f t="shared" si="225"/>
        <v>1</v>
      </c>
      <c r="N1350">
        <f t="shared" si="226"/>
        <v>0</v>
      </c>
    </row>
    <row r="1351" spans="4:14" x14ac:dyDescent="0.2">
      <c r="D1351">
        <f t="shared" si="228"/>
        <v>1328</v>
      </c>
      <c r="E1351" s="1">
        <f t="shared" si="229"/>
        <v>-11.538762609637113</v>
      </c>
      <c r="F1351" s="1">
        <f t="shared" si="230"/>
        <v>-13.874472324166842</v>
      </c>
      <c r="G1351" s="1">
        <f t="shared" si="227"/>
        <v>9.4274281310579396E-7</v>
      </c>
      <c r="H1351" s="1">
        <f t="shared" si="220"/>
        <v>9.6952524264992714E-9</v>
      </c>
      <c r="I1351">
        <f t="shared" si="221"/>
        <v>10</v>
      </c>
      <c r="J1351">
        <f t="shared" si="222"/>
        <v>1314</v>
      </c>
      <c r="K1351" s="5">
        <f t="shared" si="223"/>
        <v>0</v>
      </c>
      <c r="L1351">
        <f t="shared" si="224"/>
        <v>95</v>
      </c>
      <c r="M1351">
        <f t="shared" si="225"/>
        <v>1</v>
      </c>
      <c r="N1351">
        <f t="shared" si="226"/>
        <v>0</v>
      </c>
    </row>
    <row r="1352" spans="4:14" x14ac:dyDescent="0.2">
      <c r="D1352">
        <f t="shared" si="228"/>
        <v>1329</v>
      </c>
      <c r="E1352" s="1">
        <f t="shared" si="229"/>
        <v>-11.549233909504409</v>
      </c>
      <c r="F1352" s="1">
        <f t="shared" si="230"/>
        <v>-13.88494362403414</v>
      </c>
      <c r="G1352" s="1">
        <f t="shared" si="227"/>
        <v>9.3292257546927281E-7</v>
      </c>
      <c r="H1352" s="1">
        <f t="shared" si="220"/>
        <v>9.5942602137232125E-9</v>
      </c>
      <c r="I1352">
        <f t="shared" si="221"/>
        <v>10</v>
      </c>
      <c r="J1352">
        <f t="shared" si="222"/>
        <v>1315</v>
      </c>
      <c r="K1352" s="5">
        <f t="shared" si="223"/>
        <v>0</v>
      </c>
      <c r="L1352">
        <f t="shared" si="224"/>
        <v>95</v>
      </c>
      <c r="M1352">
        <f t="shared" si="225"/>
        <v>1</v>
      </c>
      <c r="N1352">
        <f t="shared" si="226"/>
        <v>0</v>
      </c>
    </row>
    <row r="1353" spans="4:14" x14ac:dyDescent="0.2">
      <c r="D1353">
        <f t="shared" si="228"/>
        <v>1330</v>
      </c>
      <c r="E1353" s="1">
        <f t="shared" si="229"/>
        <v>-11.559705209371705</v>
      </c>
      <c r="F1353" s="1">
        <f t="shared" si="230"/>
        <v>-13.895414923901434</v>
      </c>
      <c r="G1353" s="1">
        <f t="shared" si="227"/>
        <v>9.2320463197480212E-7</v>
      </c>
      <c r="H1353" s="1">
        <f t="shared" si="220"/>
        <v>9.4943200031636051E-9</v>
      </c>
      <c r="I1353">
        <f t="shared" si="221"/>
        <v>10</v>
      </c>
      <c r="J1353">
        <f t="shared" si="222"/>
        <v>1316</v>
      </c>
      <c r="K1353" s="5">
        <f t="shared" si="223"/>
        <v>0</v>
      </c>
      <c r="L1353">
        <f t="shared" si="224"/>
        <v>95</v>
      </c>
      <c r="M1353">
        <f t="shared" si="225"/>
        <v>1</v>
      </c>
      <c r="N1353">
        <f t="shared" si="226"/>
        <v>0</v>
      </c>
    </row>
    <row r="1354" spans="4:14" x14ac:dyDescent="0.2">
      <c r="D1354">
        <f t="shared" si="228"/>
        <v>1331</v>
      </c>
      <c r="E1354" s="1">
        <f t="shared" si="229"/>
        <v>-11.570176509239001</v>
      </c>
      <c r="F1354" s="1">
        <f t="shared" si="230"/>
        <v>-13.905886223768732</v>
      </c>
      <c r="G1354" s="1">
        <f t="shared" si="227"/>
        <v>9.1358791705839554E-7</v>
      </c>
      <c r="H1354" s="1">
        <f t="shared" si="220"/>
        <v>9.3954208364639603E-9</v>
      </c>
      <c r="I1354">
        <f t="shared" si="221"/>
        <v>10</v>
      </c>
      <c r="J1354">
        <f t="shared" si="222"/>
        <v>1317</v>
      </c>
      <c r="K1354" s="5">
        <f t="shared" si="223"/>
        <v>0</v>
      </c>
      <c r="L1354">
        <f t="shared" si="224"/>
        <v>95</v>
      </c>
      <c r="M1354">
        <f t="shared" si="225"/>
        <v>1</v>
      </c>
      <c r="N1354">
        <f t="shared" si="226"/>
        <v>0</v>
      </c>
    </row>
    <row r="1355" spans="4:14" x14ac:dyDescent="0.2">
      <c r="D1355">
        <f t="shared" si="228"/>
        <v>1332</v>
      </c>
      <c r="E1355" s="1">
        <f t="shared" si="229"/>
        <v>-11.580647809106297</v>
      </c>
      <c r="F1355" s="1">
        <f t="shared" si="230"/>
        <v>-13.916357523636027</v>
      </c>
      <c r="G1355" s="1">
        <f t="shared" si="227"/>
        <v>9.0407137625570483E-7</v>
      </c>
      <c r="H1355" s="1">
        <f t="shared" si="220"/>
        <v>9.2975518694174695E-9</v>
      </c>
      <c r="I1355">
        <f t="shared" si="221"/>
        <v>10</v>
      </c>
      <c r="J1355">
        <f t="shared" si="222"/>
        <v>1318</v>
      </c>
      <c r="K1355" s="5">
        <f t="shared" si="223"/>
        <v>0</v>
      </c>
      <c r="L1355">
        <f t="shared" si="224"/>
        <v>95</v>
      </c>
      <c r="M1355">
        <f t="shared" si="225"/>
        <v>1</v>
      </c>
      <c r="N1355">
        <f t="shared" si="226"/>
        <v>0</v>
      </c>
    </row>
    <row r="1356" spans="4:14" x14ac:dyDescent="0.2">
      <c r="D1356">
        <f t="shared" si="228"/>
        <v>1333</v>
      </c>
      <c r="E1356" s="1">
        <f t="shared" si="229"/>
        <v>-11.591119108973594</v>
      </c>
      <c r="F1356" s="1">
        <f t="shared" si="230"/>
        <v>-13.926828823503325</v>
      </c>
      <c r="G1356" s="1">
        <f t="shared" si="227"/>
        <v>8.9465396608637224E-7</v>
      </c>
      <c r="H1356" s="1">
        <f t="shared" si="220"/>
        <v>9.2007023707776795E-9</v>
      </c>
      <c r="I1356">
        <f t="shared" si="221"/>
        <v>10</v>
      </c>
      <c r="J1356">
        <f t="shared" si="222"/>
        <v>1319</v>
      </c>
      <c r="K1356" s="5">
        <f t="shared" si="223"/>
        <v>0</v>
      </c>
      <c r="L1356">
        <f t="shared" si="224"/>
        <v>95</v>
      </c>
      <c r="M1356">
        <f t="shared" si="225"/>
        <v>1</v>
      </c>
      <c r="N1356">
        <f t="shared" si="226"/>
        <v>0</v>
      </c>
    </row>
    <row r="1357" spans="4:14" x14ac:dyDescent="0.2">
      <c r="D1357">
        <f t="shared" si="228"/>
        <v>1334</v>
      </c>
      <c r="E1357" s="1">
        <f t="shared" si="229"/>
        <v>-11.60159040884089</v>
      </c>
      <c r="F1357" s="1">
        <f t="shared" si="230"/>
        <v>-13.937300123370619</v>
      </c>
      <c r="G1357" s="1">
        <f t="shared" si="227"/>
        <v>8.8533465393964006E-7</v>
      </c>
      <c r="H1357" s="1">
        <f t="shared" si="220"/>
        <v>9.1048617210820876E-9</v>
      </c>
      <c r="I1357">
        <f t="shared" si="221"/>
        <v>10</v>
      </c>
      <c r="J1357">
        <f t="shared" si="222"/>
        <v>1320</v>
      </c>
      <c r="K1357" s="5">
        <f t="shared" si="223"/>
        <v>0</v>
      </c>
      <c r="L1357">
        <f t="shared" si="224"/>
        <v>95</v>
      </c>
      <c r="M1357">
        <f t="shared" si="225"/>
        <v>1</v>
      </c>
      <c r="N1357">
        <f t="shared" si="226"/>
        <v>0</v>
      </c>
    </row>
    <row r="1358" spans="4:14" x14ac:dyDescent="0.2">
      <c r="D1358">
        <f t="shared" si="228"/>
        <v>1335</v>
      </c>
      <c r="E1358" s="1">
        <f t="shared" si="229"/>
        <v>-11.612061708708186</v>
      </c>
      <c r="F1358" s="1">
        <f t="shared" si="230"/>
        <v>-13.947771423237917</v>
      </c>
      <c r="G1358" s="1">
        <f t="shared" si="227"/>
        <v>8.7611241796109981E-7</v>
      </c>
      <c r="H1358" s="1">
        <f t="shared" si="220"/>
        <v>9.0100194114874597E-9</v>
      </c>
      <c r="I1358">
        <f t="shared" si="221"/>
        <v>10</v>
      </c>
      <c r="J1358">
        <f t="shared" si="222"/>
        <v>1321</v>
      </c>
      <c r="K1358" s="5">
        <f t="shared" si="223"/>
        <v>0</v>
      </c>
      <c r="L1358">
        <f t="shared" si="224"/>
        <v>95</v>
      </c>
      <c r="M1358">
        <f t="shared" si="225"/>
        <v>1</v>
      </c>
      <c r="N1358">
        <f t="shared" si="226"/>
        <v>0</v>
      </c>
    </row>
    <row r="1359" spans="4:14" x14ac:dyDescent="0.2">
      <c r="D1359">
        <f t="shared" si="228"/>
        <v>1336</v>
      </c>
      <c r="E1359" s="1">
        <f t="shared" si="229"/>
        <v>-11.622533008575482</v>
      </c>
      <c r="F1359" s="1">
        <f t="shared" si="230"/>
        <v>-13.958242723105212</v>
      </c>
      <c r="G1359" s="1">
        <f t="shared" si="227"/>
        <v>8.6698624694067254E-7</v>
      </c>
      <c r="H1359" s="1">
        <f t="shared" si="220"/>
        <v>8.9161650426178075E-9</v>
      </c>
      <c r="I1359">
        <f t="shared" si="221"/>
        <v>10</v>
      </c>
      <c r="J1359">
        <f t="shared" si="222"/>
        <v>1322</v>
      </c>
      <c r="K1359" s="5">
        <f t="shared" si="223"/>
        <v>0</v>
      </c>
      <c r="L1359">
        <f t="shared" si="224"/>
        <v>95</v>
      </c>
      <c r="M1359">
        <f t="shared" si="225"/>
        <v>1</v>
      </c>
      <c r="N1359">
        <f t="shared" si="226"/>
        <v>0</v>
      </c>
    </row>
    <row r="1360" spans="4:14" x14ac:dyDescent="0.2">
      <c r="D1360">
        <f t="shared" si="228"/>
        <v>1337</v>
      </c>
      <c r="E1360" s="1">
        <f t="shared" si="229"/>
        <v>-11.633004308442779</v>
      </c>
      <c r="F1360" s="1">
        <f t="shared" si="230"/>
        <v>-13.96871402297251</v>
      </c>
      <c r="G1360" s="1">
        <f t="shared" si="227"/>
        <v>8.57955140201705E-7</v>
      </c>
      <c r="H1360" s="1">
        <f t="shared" si="220"/>
        <v>8.823288323423849E-9</v>
      </c>
      <c r="I1360">
        <f t="shared" si="221"/>
        <v>10</v>
      </c>
      <c r="J1360">
        <f t="shared" si="222"/>
        <v>1323</v>
      </c>
      <c r="K1360" s="5">
        <f t="shared" si="223"/>
        <v>0</v>
      </c>
      <c r="L1360">
        <f t="shared" si="224"/>
        <v>95</v>
      </c>
      <c r="M1360">
        <f t="shared" si="225"/>
        <v>1</v>
      </c>
      <c r="N1360">
        <f t="shared" si="226"/>
        <v>0</v>
      </c>
    </row>
    <row r="1361" spans="4:14" x14ac:dyDescent="0.2">
      <c r="D1361">
        <f t="shared" si="228"/>
        <v>1338</v>
      </c>
      <c r="E1361" s="1">
        <f t="shared" si="229"/>
        <v>-11.643475608310075</v>
      </c>
      <c r="F1361" s="1">
        <f t="shared" si="230"/>
        <v>-13.979185322839804</v>
      </c>
      <c r="G1361" s="1">
        <f t="shared" si="227"/>
        <v>8.4901810749127136E-7</v>
      </c>
      <c r="H1361" s="1">
        <f t="shared" si="220"/>
        <v>8.7313790700548581E-9</v>
      </c>
      <c r="I1361">
        <f t="shared" si="221"/>
        <v>10</v>
      </c>
      <c r="J1361">
        <f t="shared" si="222"/>
        <v>1324</v>
      </c>
      <c r="K1361" s="5">
        <f t="shared" si="223"/>
        <v>0</v>
      </c>
      <c r="L1361">
        <f t="shared" si="224"/>
        <v>95</v>
      </c>
      <c r="M1361">
        <f t="shared" si="225"/>
        <v>1</v>
      </c>
      <c r="N1361">
        <f t="shared" si="226"/>
        <v>0</v>
      </c>
    </row>
    <row r="1362" spans="4:14" x14ac:dyDescent="0.2">
      <c r="D1362">
        <f t="shared" si="228"/>
        <v>1339</v>
      </c>
      <c r="E1362" s="1">
        <f t="shared" si="229"/>
        <v>-11.653946908177371</v>
      </c>
      <c r="F1362" s="1">
        <f t="shared" si="230"/>
        <v>-13.989656622707102</v>
      </c>
      <c r="G1362" s="1">
        <f t="shared" si="227"/>
        <v>8.4017416887156844E-7</v>
      </c>
      <c r="H1362" s="1">
        <f t="shared" si="220"/>
        <v>8.6404272047417637E-9</v>
      </c>
      <c r="I1362">
        <f t="shared" si="221"/>
        <v>10</v>
      </c>
      <c r="J1362">
        <f t="shared" si="222"/>
        <v>1325</v>
      </c>
      <c r="K1362" s="5">
        <f t="shared" si="223"/>
        <v>0</v>
      </c>
      <c r="L1362">
        <f t="shared" si="224"/>
        <v>95</v>
      </c>
      <c r="M1362">
        <f t="shared" si="225"/>
        <v>1</v>
      </c>
      <c r="N1362">
        <f t="shared" si="226"/>
        <v>0</v>
      </c>
    </row>
    <row r="1363" spans="4:14" x14ac:dyDescent="0.2">
      <c r="D1363">
        <f t="shared" si="228"/>
        <v>1340</v>
      </c>
      <c r="E1363" s="1">
        <f t="shared" si="229"/>
        <v>-11.664418208044667</v>
      </c>
      <c r="F1363" s="1">
        <f t="shared" si="230"/>
        <v>-14.000127922574396</v>
      </c>
      <c r="G1363" s="1">
        <f t="shared" si="227"/>
        <v>8.3142235461249046E-7</v>
      </c>
      <c r="H1363" s="1">
        <f t="shared" si="220"/>
        <v>8.5504227546923793E-9</v>
      </c>
      <c r="I1363">
        <f t="shared" si="221"/>
        <v>10</v>
      </c>
      <c r="J1363">
        <f t="shared" si="222"/>
        <v>1326</v>
      </c>
      <c r="K1363" s="5">
        <f t="shared" si="223"/>
        <v>0</v>
      </c>
      <c r="L1363">
        <f t="shared" si="224"/>
        <v>95</v>
      </c>
      <c r="M1363">
        <f t="shared" si="225"/>
        <v>1</v>
      </c>
      <c r="N1363">
        <f t="shared" si="226"/>
        <v>0</v>
      </c>
    </row>
    <row r="1364" spans="4:14" x14ac:dyDescent="0.2">
      <c r="D1364">
        <f t="shared" si="228"/>
        <v>1341</v>
      </c>
      <c r="E1364" s="1">
        <f t="shared" si="229"/>
        <v>-11.674889507911963</v>
      </c>
      <c r="F1364" s="1">
        <f t="shared" si="230"/>
        <v>-14.010599222441694</v>
      </c>
      <c r="G1364" s="1">
        <f t="shared" si="227"/>
        <v>8.2276170508527481E-7</v>
      </c>
      <c r="H1364" s="1">
        <f t="shared" si="220"/>
        <v>8.4613558509976449E-9</v>
      </c>
      <c r="I1364">
        <f t="shared" si="221"/>
        <v>10</v>
      </c>
      <c r="J1364">
        <f t="shared" si="222"/>
        <v>1327</v>
      </c>
      <c r="K1364" s="5">
        <f t="shared" si="223"/>
        <v>0</v>
      </c>
      <c r="L1364">
        <f t="shared" si="224"/>
        <v>95</v>
      </c>
      <c r="M1364">
        <f t="shared" si="225"/>
        <v>1</v>
      </c>
      <c r="N1364">
        <f t="shared" si="226"/>
        <v>0</v>
      </c>
    </row>
    <row r="1365" spans="4:14" x14ac:dyDescent="0.2">
      <c r="D1365">
        <f t="shared" si="228"/>
        <v>1342</v>
      </c>
      <c r="E1365" s="1">
        <f t="shared" si="229"/>
        <v>-11.68536080777926</v>
      </c>
      <c r="F1365" s="1">
        <f t="shared" si="230"/>
        <v>-14.021070522308989</v>
      </c>
      <c r="G1365" s="1">
        <f t="shared" si="227"/>
        <v>8.1419127065730399E-7</v>
      </c>
      <c r="H1365" s="1">
        <f t="shared" si="220"/>
        <v>8.373216727549761E-9</v>
      </c>
      <c r="I1365">
        <f t="shared" si="221"/>
        <v>10</v>
      </c>
      <c r="J1365">
        <f t="shared" si="222"/>
        <v>1328</v>
      </c>
      <c r="K1365" s="5">
        <f t="shared" si="223"/>
        <v>0</v>
      </c>
      <c r="L1365">
        <f t="shared" si="224"/>
        <v>95</v>
      </c>
      <c r="M1365">
        <f t="shared" si="225"/>
        <v>1</v>
      </c>
      <c r="N1365">
        <f t="shared" si="226"/>
        <v>0</v>
      </c>
    </row>
    <row r="1366" spans="4:14" x14ac:dyDescent="0.2">
      <c r="D1366">
        <f t="shared" si="228"/>
        <v>1343</v>
      </c>
      <c r="E1366" s="1">
        <f t="shared" si="229"/>
        <v>-11.695832107646556</v>
      </c>
      <c r="F1366" s="1">
        <f t="shared" si="230"/>
        <v>-14.031541822176287</v>
      </c>
      <c r="G1366" s="1">
        <f t="shared" si="227"/>
        <v>8.0571011158795502E-7</v>
      </c>
      <c r="H1366" s="1">
        <f t="shared" si="220"/>
        <v>8.2859957199710972E-9</v>
      </c>
      <c r="I1366">
        <f t="shared" si="221"/>
        <v>10</v>
      </c>
      <c r="J1366">
        <f t="shared" si="222"/>
        <v>1329</v>
      </c>
      <c r="K1366" s="5">
        <f t="shared" si="223"/>
        <v>0</v>
      </c>
      <c r="L1366">
        <f t="shared" si="224"/>
        <v>95</v>
      </c>
      <c r="M1366">
        <f t="shared" si="225"/>
        <v>1</v>
      </c>
      <c r="N1366">
        <f t="shared" si="226"/>
        <v>0</v>
      </c>
    </row>
    <row r="1367" spans="4:14" x14ac:dyDescent="0.2">
      <c r="D1367">
        <f t="shared" si="228"/>
        <v>1344</v>
      </c>
      <c r="E1367" s="1">
        <f t="shared" si="229"/>
        <v>-11.706303407513852</v>
      </c>
      <c r="F1367" s="1">
        <f t="shared" si="230"/>
        <v>-14.042013122043581</v>
      </c>
      <c r="G1367" s="1">
        <f t="shared" si="227"/>
        <v>7.9731729792558121E-7</v>
      </c>
      <c r="H1367" s="1">
        <f t="shared" ref="H1367:H1430" si="231">G1367/$G$21</f>
        <v>8.1996832645547389E-9</v>
      </c>
      <c r="I1367">
        <f t="shared" ref="I1367:I1430" si="232">IF($F$11&lt;=D1367, IF(D1367&lt;=$A$15,D1367-$F$11,$C$11),0)</f>
        <v>10</v>
      </c>
      <c r="J1367">
        <f t="shared" ref="J1367:J1430" si="233">IF(D1367&lt;=$A$15,0,D1367-$A$15)</f>
        <v>1330</v>
      </c>
      <c r="K1367" s="5">
        <f t="shared" ref="K1367:K1430" si="234">IF(D1367&lt;$F$11,H1367,0)</f>
        <v>0</v>
      </c>
      <c r="L1367">
        <f t="shared" ref="L1367:L1430" si="235">IF(D1367&lt;$A$15,$D$11,$D$11*(1-$H$11))</f>
        <v>95</v>
      </c>
      <c r="M1367">
        <f t="shared" ref="M1367:M1430" si="236">IF(D1367&lt;$A$15,0,1)</f>
        <v>1</v>
      </c>
      <c r="N1367">
        <f t="shared" ref="N1367:N1430" si="237">IF(SUM(I1367:J1367)&lt;=($G$11/60*$F$11/($E$11/60)),1,0)</f>
        <v>0</v>
      </c>
    </row>
    <row r="1368" spans="4:14" x14ac:dyDescent="0.2">
      <c r="D1368">
        <f t="shared" si="228"/>
        <v>1345</v>
      </c>
      <c r="E1368" s="1">
        <f t="shared" si="229"/>
        <v>-11.716774707381148</v>
      </c>
      <c r="F1368" s="1">
        <f t="shared" si="230"/>
        <v>-14.052484421910879</v>
      </c>
      <c r="G1368" s="1">
        <f t="shared" ref="G1368:G1431" si="238">EXP(F1368)</f>
        <v>7.8901190940552103E-7</v>
      </c>
      <c r="H1368" s="1">
        <f t="shared" si="231"/>
        <v>8.1142698972156049E-9</v>
      </c>
      <c r="I1368">
        <f t="shared" si="232"/>
        <v>10</v>
      </c>
      <c r="J1368">
        <f t="shared" si="233"/>
        <v>1331</v>
      </c>
      <c r="K1368" s="5">
        <f t="shared" si="234"/>
        <v>0</v>
      </c>
      <c r="L1368">
        <f t="shared" si="235"/>
        <v>95</v>
      </c>
      <c r="M1368">
        <f t="shared" si="236"/>
        <v>1</v>
      </c>
      <c r="N1368">
        <f t="shared" si="237"/>
        <v>0</v>
      </c>
    </row>
    <row r="1369" spans="4:14" x14ac:dyDescent="0.2">
      <c r="D1369">
        <f t="shared" ref="D1369:D1432" si="239">1+D1368</f>
        <v>1346</v>
      </c>
      <c r="E1369" s="1">
        <f t="shared" ref="E1369:E1432" si="240">IF($H$11=1,IF(D1369&lt;=$A$15, E1368+LN($D$11)-LN(60/$E$11)-LN(MIN(D1369,$F$11)), E1368-LN(60/$E$11)-LN(MIN(D1369,$F$11))), IF(D1369&lt;=$A$15, E1368+LN($D$11)-LN(60/$E$11)-LN(MIN(D1369,$F$11)), E1368+LN($D$11)+LN(1-$H$11)-LN(60/$E$11)-LN(MIN(D1369,$F$11))))</f>
        <v>-11.727246007248445</v>
      </c>
      <c r="F1369" s="1">
        <f t="shared" ref="F1369:F1432" si="241">E1369-$E$21</f>
        <v>-14.062955721778174</v>
      </c>
      <c r="G1369" s="1">
        <f t="shared" si="238"/>
        <v>7.8079303534921426E-7</v>
      </c>
      <c r="H1369" s="1">
        <f t="shared" si="231"/>
        <v>8.0297462524529503E-9</v>
      </c>
      <c r="I1369">
        <f t="shared" si="232"/>
        <v>10</v>
      </c>
      <c r="J1369">
        <f t="shared" si="233"/>
        <v>1332</v>
      </c>
      <c r="K1369" s="5">
        <f t="shared" si="234"/>
        <v>0</v>
      </c>
      <c r="L1369">
        <f t="shared" si="235"/>
        <v>95</v>
      </c>
      <c r="M1369">
        <f t="shared" si="236"/>
        <v>1</v>
      </c>
      <c r="N1369">
        <f t="shared" si="237"/>
        <v>0</v>
      </c>
    </row>
    <row r="1370" spans="4:14" x14ac:dyDescent="0.2">
      <c r="D1370">
        <f t="shared" si="239"/>
        <v>1347</v>
      </c>
      <c r="E1370" s="1">
        <f t="shared" si="240"/>
        <v>-11.737717307115741</v>
      </c>
      <c r="F1370" s="1">
        <f t="shared" si="241"/>
        <v>-14.073427021645472</v>
      </c>
      <c r="G1370" s="1">
        <f t="shared" si="238"/>
        <v>7.726597745643246E-7</v>
      </c>
      <c r="H1370" s="1">
        <f t="shared" si="231"/>
        <v>7.9461030623232121E-9</v>
      </c>
      <c r="I1370">
        <f t="shared" si="232"/>
        <v>10</v>
      </c>
      <c r="J1370">
        <f t="shared" si="233"/>
        <v>1333</v>
      </c>
      <c r="K1370" s="5">
        <f t="shared" si="234"/>
        <v>0</v>
      </c>
      <c r="L1370">
        <f t="shared" si="235"/>
        <v>95</v>
      </c>
      <c r="M1370">
        <f t="shared" si="236"/>
        <v>1</v>
      </c>
      <c r="N1370">
        <f t="shared" si="237"/>
        <v>0</v>
      </c>
    </row>
    <row r="1371" spans="4:14" x14ac:dyDescent="0.2">
      <c r="D1371">
        <f t="shared" si="239"/>
        <v>1348</v>
      </c>
      <c r="E1371" s="1">
        <f t="shared" si="240"/>
        <v>-11.748188606983037</v>
      </c>
      <c r="F1371" s="1">
        <f t="shared" si="241"/>
        <v>-14.083898321512766</v>
      </c>
      <c r="G1371" s="1">
        <f t="shared" si="238"/>
        <v>7.6461123524594697E-7</v>
      </c>
      <c r="H1371" s="1">
        <f t="shared" si="231"/>
        <v>7.8633311554240197E-9</v>
      </c>
      <c r="I1371">
        <f t="shared" si="232"/>
        <v>10</v>
      </c>
      <c r="J1371">
        <f t="shared" si="233"/>
        <v>1334</v>
      </c>
      <c r="K1371" s="5">
        <f t="shared" si="234"/>
        <v>0</v>
      </c>
      <c r="L1371">
        <f t="shared" si="235"/>
        <v>95</v>
      </c>
      <c r="M1371">
        <f t="shared" si="236"/>
        <v>1</v>
      </c>
      <c r="N1371">
        <f t="shared" si="237"/>
        <v>0</v>
      </c>
    </row>
    <row r="1372" spans="4:14" x14ac:dyDescent="0.2">
      <c r="D1372">
        <f t="shared" si="239"/>
        <v>1349</v>
      </c>
      <c r="E1372" s="1">
        <f t="shared" si="240"/>
        <v>-11.758659906850333</v>
      </c>
      <c r="F1372" s="1">
        <f t="shared" si="241"/>
        <v>-14.094369621380064</v>
      </c>
      <c r="G1372" s="1">
        <f t="shared" si="238"/>
        <v>7.5664653487879966E-7</v>
      </c>
      <c r="H1372" s="1">
        <f t="shared" si="231"/>
        <v>7.7814214558883314E-9</v>
      </c>
      <c r="I1372">
        <f t="shared" si="232"/>
        <v>10</v>
      </c>
      <c r="J1372">
        <f t="shared" si="233"/>
        <v>1335</v>
      </c>
      <c r="K1372" s="5">
        <f t="shared" si="234"/>
        <v>0</v>
      </c>
      <c r="L1372">
        <f t="shared" si="235"/>
        <v>95</v>
      </c>
      <c r="M1372">
        <f t="shared" si="236"/>
        <v>1</v>
      </c>
      <c r="N1372">
        <f t="shared" si="237"/>
        <v>0</v>
      </c>
    </row>
    <row r="1373" spans="4:14" x14ac:dyDescent="0.2">
      <c r="D1373">
        <f t="shared" si="239"/>
        <v>1350</v>
      </c>
      <c r="E1373" s="1">
        <f t="shared" si="240"/>
        <v>-11.769131206717629</v>
      </c>
      <c r="F1373" s="1">
        <f t="shared" si="241"/>
        <v>-14.104840921247359</v>
      </c>
      <c r="G1373" s="1">
        <f t="shared" si="238"/>
        <v>7.487648001404796E-7</v>
      </c>
      <c r="H1373" s="1">
        <f t="shared" si="231"/>
        <v>7.7003649823895034E-9</v>
      </c>
      <c r="I1373">
        <f t="shared" si="232"/>
        <v>10</v>
      </c>
      <c r="J1373">
        <f t="shared" si="233"/>
        <v>1336</v>
      </c>
      <c r="K1373" s="5">
        <f t="shared" si="234"/>
        <v>0</v>
      </c>
      <c r="L1373">
        <f t="shared" si="235"/>
        <v>95</v>
      </c>
      <c r="M1373">
        <f t="shared" si="236"/>
        <v>1</v>
      </c>
      <c r="N1373">
        <f t="shared" si="237"/>
        <v>0</v>
      </c>
    </row>
    <row r="1374" spans="4:14" x14ac:dyDescent="0.2">
      <c r="D1374">
        <f t="shared" si="239"/>
        <v>1351</v>
      </c>
      <c r="E1374" s="1">
        <f t="shared" si="240"/>
        <v>-11.779602506584926</v>
      </c>
      <c r="F1374" s="1">
        <f t="shared" si="241"/>
        <v>-14.115312221114657</v>
      </c>
      <c r="G1374" s="1">
        <f t="shared" si="238"/>
        <v>7.4096516680568105E-7</v>
      </c>
      <c r="H1374" s="1">
        <f t="shared" si="231"/>
        <v>7.6201528471562586E-9</v>
      </c>
      <c r="I1374">
        <f t="shared" si="232"/>
        <v>10</v>
      </c>
      <c r="J1374">
        <f t="shared" si="233"/>
        <v>1337</v>
      </c>
      <c r="K1374" s="5">
        <f t="shared" si="234"/>
        <v>0</v>
      </c>
      <c r="L1374">
        <f t="shared" si="235"/>
        <v>95</v>
      </c>
      <c r="M1374">
        <f t="shared" si="236"/>
        <v>1</v>
      </c>
      <c r="N1374">
        <f t="shared" si="237"/>
        <v>0</v>
      </c>
    </row>
    <row r="1375" spans="4:14" x14ac:dyDescent="0.2">
      <c r="D1375">
        <f t="shared" si="239"/>
        <v>1352</v>
      </c>
      <c r="E1375" s="1">
        <f t="shared" si="240"/>
        <v>-11.790073806452222</v>
      </c>
      <c r="F1375" s="1">
        <f t="shared" si="241"/>
        <v>-14.125783520981951</v>
      </c>
      <c r="G1375" s="1">
        <f t="shared" si="238"/>
        <v>7.3324677965145589E-7</v>
      </c>
      <c r="H1375" s="1">
        <f t="shared" si="231"/>
        <v>7.5407762549983879E-9</v>
      </c>
      <c r="I1375">
        <f t="shared" si="232"/>
        <v>10</v>
      </c>
      <c r="J1375">
        <f t="shared" si="233"/>
        <v>1338</v>
      </c>
      <c r="K1375" s="5">
        <f t="shared" si="234"/>
        <v>0</v>
      </c>
      <c r="L1375">
        <f t="shared" si="235"/>
        <v>95</v>
      </c>
      <c r="M1375">
        <f t="shared" si="236"/>
        <v>1</v>
      </c>
      <c r="N1375">
        <f t="shared" si="237"/>
        <v>0</v>
      </c>
    </row>
    <row r="1376" spans="4:14" x14ac:dyDescent="0.2">
      <c r="D1376">
        <f t="shared" si="239"/>
        <v>1353</v>
      </c>
      <c r="E1376" s="1">
        <f t="shared" si="240"/>
        <v>-11.800545106319518</v>
      </c>
      <c r="F1376" s="1">
        <f t="shared" si="241"/>
        <v>-14.136254820849249</v>
      </c>
      <c r="G1376" s="1">
        <f t="shared" si="238"/>
        <v>7.2560879236341801E-7</v>
      </c>
      <c r="H1376" s="1">
        <f t="shared" si="231"/>
        <v>7.4622265023421358E-9</v>
      </c>
      <c r="I1376">
        <f t="shared" si="232"/>
        <v>10</v>
      </c>
      <c r="J1376">
        <f t="shared" si="233"/>
        <v>1339</v>
      </c>
      <c r="K1376" s="5">
        <f t="shared" si="234"/>
        <v>0</v>
      </c>
      <c r="L1376">
        <f t="shared" si="235"/>
        <v>95</v>
      </c>
      <c r="M1376">
        <f t="shared" si="236"/>
        <v>1</v>
      </c>
      <c r="N1376">
        <f t="shared" si="237"/>
        <v>0</v>
      </c>
    </row>
    <row r="1377" spans="4:14" x14ac:dyDescent="0.2">
      <c r="D1377">
        <f t="shared" si="239"/>
        <v>1354</v>
      </c>
      <c r="E1377" s="1">
        <f t="shared" si="240"/>
        <v>-11.811016406186814</v>
      </c>
      <c r="F1377" s="1">
        <f t="shared" si="241"/>
        <v>-14.146726120716544</v>
      </c>
      <c r="G1377" s="1">
        <f t="shared" si="238"/>
        <v>7.1805036744296637E-7</v>
      </c>
      <c r="H1377" s="1">
        <f t="shared" si="231"/>
        <v>7.3844949762760786E-9</v>
      </c>
      <c r="I1377">
        <f t="shared" si="232"/>
        <v>10</v>
      </c>
      <c r="J1377">
        <f t="shared" si="233"/>
        <v>1340</v>
      </c>
      <c r="K1377" s="5">
        <f t="shared" si="234"/>
        <v>0</v>
      </c>
      <c r="L1377">
        <f t="shared" si="235"/>
        <v>95</v>
      </c>
      <c r="M1377">
        <f t="shared" si="236"/>
        <v>1</v>
      </c>
      <c r="N1377">
        <f t="shared" si="237"/>
        <v>0</v>
      </c>
    </row>
    <row r="1378" spans="4:14" x14ac:dyDescent="0.2">
      <c r="D1378">
        <f t="shared" si="239"/>
        <v>1355</v>
      </c>
      <c r="E1378" s="1">
        <f t="shared" si="240"/>
        <v>-11.821487706054111</v>
      </c>
      <c r="F1378" s="1">
        <f t="shared" si="241"/>
        <v>-14.157197420583842</v>
      </c>
      <c r="G1378" s="1">
        <f t="shared" si="238"/>
        <v>7.105706761154336E-7</v>
      </c>
      <c r="H1378" s="1">
        <f t="shared" si="231"/>
        <v>7.307573153606517E-9</v>
      </c>
      <c r="I1378">
        <f t="shared" si="232"/>
        <v>10</v>
      </c>
      <c r="J1378">
        <f t="shared" si="233"/>
        <v>1341</v>
      </c>
      <c r="K1378" s="5">
        <f t="shared" si="234"/>
        <v>0</v>
      </c>
      <c r="L1378">
        <f t="shared" si="235"/>
        <v>95</v>
      </c>
      <c r="M1378">
        <f t="shared" si="236"/>
        <v>1</v>
      </c>
      <c r="N1378">
        <f t="shared" si="237"/>
        <v>0</v>
      </c>
    </row>
    <row r="1379" spans="4:14" x14ac:dyDescent="0.2">
      <c r="D1379">
        <f t="shared" si="239"/>
        <v>1356</v>
      </c>
      <c r="E1379" s="1">
        <f t="shared" si="240"/>
        <v>-11.831959005921407</v>
      </c>
      <c r="F1379" s="1">
        <f t="shared" si="241"/>
        <v>-14.167668720451136</v>
      </c>
      <c r="G1379" s="1">
        <f t="shared" si="238"/>
        <v>7.031688982392319E-7</v>
      </c>
      <c r="H1379" s="1">
        <f t="shared" si="231"/>
        <v>7.2314525999231234E-9</v>
      </c>
      <c r="I1379">
        <f t="shared" si="232"/>
        <v>10</v>
      </c>
      <c r="J1379">
        <f t="shared" si="233"/>
        <v>1342</v>
      </c>
      <c r="K1379" s="5">
        <f t="shared" si="234"/>
        <v>0</v>
      </c>
      <c r="L1379">
        <f t="shared" si="235"/>
        <v>95</v>
      </c>
      <c r="M1379">
        <f t="shared" si="236"/>
        <v>1</v>
      </c>
      <c r="N1379">
        <f t="shared" si="237"/>
        <v>0</v>
      </c>
    </row>
    <row r="1380" spans="4:14" x14ac:dyDescent="0.2">
      <c r="D1380">
        <f t="shared" si="239"/>
        <v>1357</v>
      </c>
      <c r="E1380" s="1">
        <f t="shared" si="240"/>
        <v>-11.842430305788703</v>
      </c>
      <c r="F1380" s="1">
        <f t="shared" si="241"/>
        <v>-14.178140020318434</v>
      </c>
      <c r="G1380" s="1">
        <f t="shared" si="238"/>
        <v>6.9584422221590476E-7</v>
      </c>
      <c r="H1380" s="1">
        <f t="shared" si="231"/>
        <v>7.1561249686739057E-9</v>
      </c>
      <c r="I1380">
        <f t="shared" si="232"/>
        <v>10</v>
      </c>
      <c r="J1380">
        <f t="shared" si="233"/>
        <v>1343</v>
      </c>
      <c r="K1380" s="5">
        <f t="shared" si="234"/>
        <v>0</v>
      </c>
      <c r="L1380">
        <f t="shared" si="235"/>
        <v>95</v>
      </c>
      <c r="M1380">
        <f t="shared" si="236"/>
        <v>1</v>
      </c>
      <c r="N1380">
        <f t="shared" si="237"/>
        <v>0</v>
      </c>
    </row>
    <row r="1381" spans="4:14" x14ac:dyDescent="0.2">
      <c r="D1381">
        <f t="shared" si="239"/>
        <v>1358</v>
      </c>
      <c r="E1381" s="1">
        <f t="shared" si="240"/>
        <v>-11.852901605655999</v>
      </c>
      <c r="F1381" s="1">
        <f t="shared" si="241"/>
        <v>-14.188611320185728</v>
      </c>
      <c r="G1381" s="1">
        <f t="shared" si="238"/>
        <v>6.8859584490115636E-7</v>
      </c>
      <c r="H1381" s="1">
        <f t="shared" si="231"/>
        <v>7.0815820002502255E-9</v>
      </c>
      <c r="I1381">
        <f t="shared" si="232"/>
        <v>10</v>
      </c>
      <c r="J1381">
        <f t="shared" si="233"/>
        <v>1344</v>
      </c>
      <c r="K1381" s="5">
        <f t="shared" si="234"/>
        <v>0</v>
      </c>
      <c r="L1381">
        <f t="shared" si="235"/>
        <v>95</v>
      </c>
      <c r="M1381">
        <f t="shared" si="236"/>
        <v>1</v>
      </c>
      <c r="N1381">
        <f t="shared" si="237"/>
        <v>0</v>
      </c>
    </row>
    <row r="1382" spans="4:14" x14ac:dyDescent="0.2">
      <c r="D1382">
        <f t="shared" si="239"/>
        <v>1359</v>
      </c>
      <c r="E1382" s="1">
        <f t="shared" si="240"/>
        <v>-11.863372905523295</v>
      </c>
      <c r="F1382" s="1">
        <f t="shared" si="241"/>
        <v>-14.199082620053026</v>
      </c>
      <c r="G1382" s="1">
        <f t="shared" si="238"/>
        <v>6.8142297151676755E-7</v>
      </c>
      <c r="H1382" s="1">
        <f t="shared" si="231"/>
        <v>7.0078155210809342E-9</v>
      </c>
      <c r="I1382">
        <f t="shared" si="232"/>
        <v>10</v>
      </c>
      <c r="J1382">
        <f t="shared" si="233"/>
        <v>1345</v>
      </c>
      <c r="K1382" s="5">
        <f t="shared" si="234"/>
        <v>0</v>
      </c>
      <c r="L1382">
        <f t="shared" si="235"/>
        <v>95</v>
      </c>
      <c r="M1382">
        <f t="shared" si="236"/>
        <v>1</v>
      </c>
      <c r="N1382">
        <f t="shared" si="237"/>
        <v>0</v>
      </c>
    </row>
    <row r="1383" spans="4:14" x14ac:dyDescent="0.2">
      <c r="D1383">
        <f t="shared" si="239"/>
        <v>1360</v>
      </c>
      <c r="E1383" s="1">
        <f t="shared" si="240"/>
        <v>-11.873844205390592</v>
      </c>
      <c r="F1383" s="1">
        <f t="shared" si="241"/>
        <v>-14.209553919920321</v>
      </c>
      <c r="G1383" s="1">
        <f t="shared" si="238"/>
        <v>6.7432481556346862E-7</v>
      </c>
      <c r="H1383" s="1">
        <f t="shared" si="231"/>
        <v>6.9348174427363486E-9</v>
      </c>
      <c r="I1383">
        <f t="shared" si="232"/>
        <v>10</v>
      </c>
      <c r="J1383">
        <f t="shared" si="233"/>
        <v>1346</v>
      </c>
      <c r="K1383" s="5">
        <f t="shared" si="234"/>
        <v>0</v>
      </c>
      <c r="L1383">
        <f t="shared" si="235"/>
        <v>95</v>
      </c>
      <c r="M1383">
        <f t="shared" si="236"/>
        <v>1</v>
      </c>
      <c r="N1383">
        <f t="shared" si="237"/>
        <v>0</v>
      </c>
    </row>
    <row r="1384" spans="4:14" x14ac:dyDescent="0.2">
      <c r="D1384">
        <f t="shared" si="239"/>
        <v>1361</v>
      </c>
      <c r="E1384" s="1">
        <f t="shared" si="240"/>
        <v>-11.884315505257888</v>
      </c>
      <c r="F1384" s="1">
        <f t="shared" si="241"/>
        <v>-14.220025219787619</v>
      </c>
      <c r="G1384" s="1">
        <f t="shared" si="238"/>
        <v>6.673005987346807E-7</v>
      </c>
      <c r="H1384" s="1">
        <f t="shared" si="231"/>
        <v>6.8625797610411597E-9</v>
      </c>
      <c r="I1384">
        <f t="shared" si="232"/>
        <v>10</v>
      </c>
      <c r="J1384">
        <f t="shared" si="233"/>
        <v>1347</v>
      </c>
      <c r="K1384" s="5">
        <f t="shared" si="234"/>
        <v>0</v>
      </c>
      <c r="L1384">
        <f t="shared" si="235"/>
        <v>95</v>
      </c>
      <c r="M1384">
        <f t="shared" si="236"/>
        <v>1</v>
      </c>
      <c r="N1384">
        <f t="shared" si="237"/>
        <v>0</v>
      </c>
    </row>
    <row r="1385" spans="4:14" x14ac:dyDescent="0.2">
      <c r="D1385">
        <f t="shared" si="239"/>
        <v>1362</v>
      </c>
      <c r="E1385" s="1">
        <f t="shared" si="240"/>
        <v>-11.894786805125184</v>
      </c>
      <c r="F1385" s="1">
        <f t="shared" si="241"/>
        <v>-14.230496519654913</v>
      </c>
      <c r="G1385" s="1">
        <f t="shared" si="238"/>
        <v>6.6034955083119504E-7</v>
      </c>
      <c r="H1385" s="1">
        <f t="shared" si="231"/>
        <v>6.791094555196987E-9</v>
      </c>
      <c r="I1385">
        <f t="shared" si="232"/>
        <v>10</v>
      </c>
      <c r="J1385">
        <f t="shared" si="233"/>
        <v>1348</v>
      </c>
      <c r="K1385" s="5">
        <f t="shared" si="234"/>
        <v>0</v>
      </c>
      <c r="L1385">
        <f t="shared" si="235"/>
        <v>95</v>
      </c>
      <c r="M1385">
        <f t="shared" si="236"/>
        <v>1</v>
      </c>
      <c r="N1385">
        <f t="shared" si="237"/>
        <v>0</v>
      </c>
    </row>
    <row r="1386" spans="4:14" x14ac:dyDescent="0.2">
      <c r="D1386">
        <f t="shared" si="239"/>
        <v>1363</v>
      </c>
      <c r="E1386" s="1">
        <f t="shared" si="240"/>
        <v>-11.90525810499248</v>
      </c>
      <c r="F1386" s="1">
        <f t="shared" si="241"/>
        <v>-14.240967819522211</v>
      </c>
      <c r="G1386" s="1">
        <f t="shared" si="238"/>
        <v>6.5347090967670172E-7</v>
      </c>
      <c r="H1386" s="1">
        <f t="shared" si="231"/>
        <v>6.7203539869136672E-9</v>
      </c>
      <c r="I1386">
        <f t="shared" si="232"/>
        <v>10</v>
      </c>
      <c r="J1386">
        <f t="shared" si="233"/>
        <v>1349</v>
      </c>
      <c r="K1386" s="5">
        <f t="shared" si="234"/>
        <v>0</v>
      </c>
      <c r="L1386">
        <f t="shared" si="235"/>
        <v>95</v>
      </c>
      <c r="M1386">
        <f t="shared" si="236"/>
        <v>1</v>
      </c>
      <c r="N1386">
        <f t="shared" si="237"/>
        <v>0</v>
      </c>
    </row>
    <row r="1387" spans="4:14" x14ac:dyDescent="0.2">
      <c r="D1387">
        <f t="shared" si="239"/>
        <v>1364</v>
      </c>
      <c r="E1387" s="1">
        <f t="shared" si="240"/>
        <v>-11.915729404859777</v>
      </c>
      <c r="F1387" s="1">
        <f t="shared" si="241"/>
        <v>-14.251439119389506</v>
      </c>
      <c r="G1387" s="1">
        <f t="shared" si="238"/>
        <v>6.4666392103423673E-7</v>
      </c>
      <c r="H1387" s="1">
        <f t="shared" si="231"/>
        <v>6.6503502995499906E-9</v>
      </c>
      <c r="I1387">
        <f t="shared" si="232"/>
        <v>10</v>
      </c>
      <c r="J1387">
        <f t="shared" si="233"/>
        <v>1350</v>
      </c>
      <c r="K1387" s="5">
        <f t="shared" si="234"/>
        <v>0</v>
      </c>
      <c r="L1387">
        <f t="shared" si="235"/>
        <v>95</v>
      </c>
      <c r="M1387">
        <f t="shared" si="236"/>
        <v>1</v>
      </c>
      <c r="N1387">
        <f t="shared" si="237"/>
        <v>0</v>
      </c>
    </row>
    <row r="1388" spans="4:14" x14ac:dyDescent="0.2">
      <c r="D1388">
        <f t="shared" si="239"/>
        <v>1365</v>
      </c>
      <c r="E1388" s="1">
        <f t="shared" si="240"/>
        <v>-11.926200704727073</v>
      </c>
      <c r="F1388" s="1">
        <f t="shared" si="241"/>
        <v>-14.261910419256804</v>
      </c>
      <c r="G1388" s="1">
        <f t="shared" si="238"/>
        <v>6.3992783852346179E-7</v>
      </c>
      <c r="H1388" s="1">
        <f t="shared" si="231"/>
        <v>6.5810758172629944E-9</v>
      </c>
      <c r="I1388">
        <f t="shared" si="232"/>
        <v>10</v>
      </c>
      <c r="J1388">
        <f t="shared" si="233"/>
        <v>1351</v>
      </c>
      <c r="K1388" s="5">
        <f t="shared" si="234"/>
        <v>0</v>
      </c>
      <c r="L1388">
        <f t="shared" si="235"/>
        <v>95</v>
      </c>
      <c r="M1388">
        <f t="shared" si="236"/>
        <v>1</v>
      </c>
      <c r="N1388">
        <f t="shared" si="237"/>
        <v>0</v>
      </c>
    </row>
    <row r="1389" spans="4:14" x14ac:dyDescent="0.2">
      <c r="D1389">
        <f t="shared" si="239"/>
        <v>1366</v>
      </c>
      <c r="E1389" s="1">
        <f t="shared" si="240"/>
        <v>-11.936672004594369</v>
      </c>
      <c r="F1389" s="1">
        <f t="shared" si="241"/>
        <v>-14.272381719124098</v>
      </c>
      <c r="G1389" s="1">
        <f t="shared" si="238"/>
        <v>6.3326192353884296E-7</v>
      </c>
      <c r="H1389" s="1">
        <f t="shared" si="231"/>
        <v>6.5125229441665108E-9</v>
      </c>
      <c r="I1389">
        <f t="shared" si="232"/>
        <v>10</v>
      </c>
      <c r="J1389">
        <f t="shared" si="233"/>
        <v>1352</v>
      </c>
      <c r="K1389" s="5">
        <f t="shared" si="234"/>
        <v>0</v>
      </c>
      <c r="L1389">
        <f t="shared" si="235"/>
        <v>95</v>
      </c>
      <c r="M1389">
        <f t="shared" si="236"/>
        <v>1</v>
      </c>
      <c r="N1389">
        <f t="shared" si="237"/>
        <v>0</v>
      </c>
    </row>
    <row r="1390" spans="4:14" x14ac:dyDescent="0.2">
      <c r="D1390">
        <f t="shared" si="239"/>
        <v>1367</v>
      </c>
      <c r="E1390" s="1">
        <f t="shared" si="240"/>
        <v>-11.947143304461665</v>
      </c>
      <c r="F1390" s="1">
        <f t="shared" si="241"/>
        <v>-14.282853018991396</v>
      </c>
      <c r="G1390" s="1">
        <f t="shared" si="238"/>
        <v>6.2666544516864509E-7</v>
      </c>
      <c r="H1390" s="1">
        <f t="shared" si="231"/>
        <v>6.4446841634980931E-9</v>
      </c>
      <c r="I1390">
        <f t="shared" si="232"/>
        <v>10</v>
      </c>
      <c r="J1390">
        <f t="shared" si="233"/>
        <v>1353</v>
      </c>
      <c r="K1390" s="5">
        <f t="shared" si="234"/>
        <v>0</v>
      </c>
      <c r="L1390">
        <f t="shared" si="235"/>
        <v>95</v>
      </c>
      <c r="M1390">
        <f t="shared" si="236"/>
        <v>1</v>
      </c>
      <c r="N1390">
        <f t="shared" si="237"/>
        <v>0</v>
      </c>
    </row>
    <row r="1391" spans="4:14" x14ac:dyDescent="0.2">
      <c r="D1391">
        <f t="shared" si="239"/>
        <v>1368</v>
      </c>
      <c r="E1391" s="1">
        <f t="shared" si="240"/>
        <v>-11.957614604328962</v>
      </c>
      <c r="F1391" s="1">
        <f t="shared" si="241"/>
        <v>-14.293324318858691</v>
      </c>
      <c r="G1391" s="1">
        <f t="shared" si="238"/>
        <v>6.2013768011480568E-7</v>
      </c>
      <c r="H1391" s="1">
        <f t="shared" si="231"/>
        <v>6.3775520367949942E-9</v>
      </c>
      <c r="I1391">
        <f t="shared" si="232"/>
        <v>10</v>
      </c>
      <c r="J1391">
        <f t="shared" si="233"/>
        <v>1354</v>
      </c>
      <c r="K1391" s="5">
        <f t="shared" si="234"/>
        <v>0</v>
      </c>
      <c r="L1391">
        <f t="shared" si="235"/>
        <v>95</v>
      </c>
      <c r="M1391">
        <f t="shared" si="236"/>
        <v>1</v>
      </c>
      <c r="N1391">
        <f t="shared" si="237"/>
        <v>0</v>
      </c>
    </row>
    <row r="1392" spans="4:14" x14ac:dyDescent="0.2">
      <c r="D1392">
        <f t="shared" si="239"/>
        <v>1369</v>
      </c>
      <c r="E1392" s="1">
        <f t="shared" si="240"/>
        <v>-11.968085904196258</v>
      </c>
      <c r="F1392" s="1">
        <f t="shared" si="241"/>
        <v>-14.303795618725989</v>
      </c>
      <c r="G1392" s="1">
        <f t="shared" si="238"/>
        <v>6.1367791261360811E-7</v>
      </c>
      <c r="H1392" s="1">
        <f t="shared" si="231"/>
        <v>6.3111192030783628E-9</v>
      </c>
      <c r="I1392">
        <f t="shared" si="232"/>
        <v>10</v>
      </c>
      <c r="J1392">
        <f t="shared" si="233"/>
        <v>1355</v>
      </c>
      <c r="K1392" s="5">
        <f t="shared" si="234"/>
        <v>0</v>
      </c>
      <c r="L1392">
        <f t="shared" si="235"/>
        <v>95</v>
      </c>
      <c r="M1392">
        <f t="shared" si="236"/>
        <v>1</v>
      </c>
      <c r="N1392">
        <f t="shared" si="237"/>
        <v>0</v>
      </c>
    </row>
    <row r="1393" spans="4:14" x14ac:dyDescent="0.2">
      <c r="D1393">
        <f t="shared" si="239"/>
        <v>1370</v>
      </c>
      <c r="E1393" s="1">
        <f t="shared" si="240"/>
        <v>-11.978557204063554</v>
      </c>
      <c r="F1393" s="1">
        <f t="shared" si="241"/>
        <v>-14.314266918593283</v>
      </c>
      <c r="G1393" s="1">
        <f t="shared" si="238"/>
        <v>6.0728543435721697E-7</v>
      </c>
      <c r="H1393" s="1">
        <f t="shared" si="231"/>
        <v>6.2453783780463028E-9</v>
      </c>
      <c r="I1393">
        <f t="shared" si="232"/>
        <v>10</v>
      </c>
      <c r="J1393">
        <f t="shared" si="233"/>
        <v>1356</v>
      </c>
      <c r="K1393" s="5">
        <f t="shared" si="234"/>
        <v>0</v>
      </c>
      <c r="L1393">
        <f t="shared" si="235"/>
        <v>95</v>
      </c>
      <c r="M1393">
        <f t="shared" si="236"/>
        <v>1</v>
      </c>
      <c r="N1393">
        <f t="shared" si="237"/>
        <v>0</v>
      </c>
    </row>
    <row r="1394" spans="4:14" x14ac:dyDescent="0.2">
      <c r="D1394">
        <f t="shared" si="239"/>
        <v>1371</v>
      </c>
      <c r="E1394" s="1">
        <f t="shared" si="240"/>
        <v>-11.98902850393085</v>
      </c>
      <c r="F1394" s="1">
        <f t="shared" si="241"/>
        <v>-14.324738218460581</v>
      </c>
      <c r="G1394" s="1">
        <f t="shared" si="238"/>
        <v>6.0095954441599444E-7</v>
      </c>
      <c r="H1394" s="1">
        <f t="shared" si="231"/>
        <v>6.1803223532749718E-9</v>
      </c>
      <c r="I1394">
        <f t="shared" si="232"/>
        <v>10</v>
      </c>
      <c r="J1394">
        <f t="shared" si="233"/>
        <v>1357</v>
      </c>
      <c r="K1394" s="5">
        <f t="shared" si="234"/>
        <v>0</v>
      </c>
      <c r="L1394">
        <f t="shared" si="235"/>
        <v>95</v>
      </c>
      <c r="M1394">
        <f t="shared" si="236"/>
        <v>1</v>
      </c>
      <c r="N1394">
        <f t="shared" si="237"/>
        <v>0</v>
      </c>
    </row>
    <row r="1395" spans="4:14" x14ac:dyDescent="0.2">
      <c r="D1395">
        <f t="shared" si="239"/>
        <v>1372</v>
      </c>
      <c r="E1395" s="1">
        <f t="shared" si="240"/>
        <v>-11.999499803798146</v>
      </c>
      <c r="F1395" s="1">
        <f t="shared" si="241"/>
        <v>-14.335209518327876</v>
      </c>
      <c r="G1395" s="1">
        <f t="shared" si="238"/>
        <v>5.9469954916166169E-7</v>
      </c>
      <c r="H1395" s="1">
        <f t="shared" si="231"/>
        <v>6.1159439954283625E-9</v>
      </c>
      <c r="I1395">
        <f t="shared" si="232"/>
        <v>10</v>
      </c>
      <c r="J1395">
        <f t="shared" si="233"/>
        <v>1358</v>
      </c>
      <c r="K1395" s="5">
        <f t="shared" si="234"/>
        <v>0</v>
      </c>
      <c r="L1395">
        <f t="shared" si="235"/>
        <v>95</v>
      </c>
      <c r="M1395">
        <f t="shared" si="236"/>
        <v>1</v>
      </c>
      <c r="N1395">
        <f t="shared" si="237"/>
        <v>0</v>
      </c>
    </row>
    <row r="1396" spans="4:14" x14ac:dyDescent="0.2">
      <c r="D1396">
        <f t="shared" si="239"/>
        <v>1373</v>
      </c>
      <c r="E1396" s="1">
        <f t="shared" si="240"/>
        <v>-12.009971103665443</v>
      </c>
      <c r="F1396" s="1">
        <f t="shared" si="241"/>
        <v>-14.345680818195174</v>
      </c>
      <c r="G1396" s="1">
        <f t="shared" si="238"/>
        <v>5.8850476219122624E-7</v>
      </c>
      <c r="H1396" s="1">
        <f t="shared" si="231"/>
        <v>6.0522362454759683E-9</v>
      </c>
      <c r="I1396">
        <f t="shared" si="232"/>
        <v>10</v>
      </c>
      <c r="J1396">
        <f t="shared" si="233"/>
        <v>1359</v>
      </c>
      <c r="K1396" s="5">
        <f t="shared" si="234"/>
        <v>0</v>
      </c>
      <c r="L1396">
        <f t="shared" si="235"/>
        <v>95</v>
      </c>
      <c r="M1396">
        <f t="shared" si="236"/>
        <v>1</v>
      </c>
      <c r="N1396">
        <f t="shared" si="237"/>
        <v>0</v>
      </c>
    </row>
    <row r="1397" spans="4:14" x14ac:dyDescent="0.2">
      <c r="D1397">
        <f t="shared" si="239"/>
        <v>1374</v>
      </c>
      <c r="E1397" s="1">
        <f t="shared" si="240"/>
        <v>-12.020442403532739</v>
      </c>
      <c r="F1397" s="1">
        <f t="shared" si="241"/>
        <v>-14.356152118062468</v>
      </c>
      <c r="G1397" s="1">
        <f t="shared" si="238"/>
        <v>5.8237450425173478E-7</v>
      </c>
      <c r="H1397" s="1">
        <f t="shared" si="231"/>
        <v>5.9891921179189323E-9</v>
      </c>
      <c r="I1397">
        <f t="shared" si="232"/>
        <v>10</v>
      </c>
      <c r="J1397">
        <f t="shared" si="233"/>
        <v>1360</v>
      </c>
      <c r="K1397" s="5">
        <f t="shared" si="234"/>
        <v>0</v>
      </c>
      <c r="L1397">
        <f t="shared" si="235"/>
        <v>95</v>
      </c>
      <c r="M1397">
        <f t="shared" si="236"/>
        <v>1</v>
      </c>
      <c r="N1397">
        <f t="shared" si="237"/>
        <v>0</v>
      </c>
    </row>
    <row r="1398" spans="4:14" x14ac:dyDescent="0.2">
      <c r="D1398">
        <f t="shared" si="239"/>
        <v>1375</v>
      </c>
      <c r="E1398" s="1">
        <f t="shared" si="240"/>
        <v>-12.030913703400035</v>
      </c>
      <c r="F1398" s="1">
        <f t="shared" si="241"/>
        <v>-14.366623417929766</v>
      </c>
      <c r="G1398" s="1">
        <f t="shared" si="238"/>
        <v>5.7630810316577775E-7</v>
      </c>
      <c r="H1398" s="1">
        <f t="shared" si="231"/>
        <v>5.9268047000239284E-9</v>
      </c>
      <c r="I1398">
        <f t="shared" si="232"/>
        <v>10</v>
      </c>
      <c r="J1398">
        <f t="shared" si="233"/>
        <v>1361</v>
      </c>
      <c r="K1398" s="5">
        <f t="shared" si="234"/>
        <v>0</v>
      </c>
      <c r="L1398">
        <f t="shared" si="235"/>
        <v>95</v>
      </c>
      <c r="M1398">
        <f t="shared" si="236"/>
        <v>1</v>
      </c>
      <c r="N1398">
        <f t="shared" si="237"/>
        <v>0</v>
      </c>
    </row>
    <row r="1399" spans="4:14" x14ac:dyDescent="0.2">
      <c r="D1399">
        <f t="shared" si="239"/>
        <v>1376</v>
      </c>
      <c r="E1399" s="1">
        <f t="shared" si="240"/>
        <v>-12.041385003267331</v>
      </c>
      <c r="F1399" s="1">
        <f t="shared" si="241"/>
        <v>-14.37709471779706</v>
      </c>
      <c r="G1399" s="1">
        <f t="shared" si="238"/>
        <v>5.7030489375780145E-7</v>
      </c>
      <c r="H1399" s="1">
        <f t="shared" si="231"/>
        <v>5.8650671510653514E-9</v>
      </c>
      <c r="I1399">
        <f t="shared" si="232"/>
        <v>10</v>
      </c>
      <c r="J1399">
        <f t="shared" si="233"/>
        <v>1362</v>
      </c>
      <c r="K1399" s="5">
        <f t="shared" si="234"/>
        <v>0</v>
      </c>
      <c r="L1399">
        <f t="shared" si="235"/>
        <v>95</v>
      </c>
      <c r="M1399">
        <f t="shared" si="236"/>
        <v>1</v>
      </c>
      <c r="N1399">
        <f t="shared" si="237"/>
        <v>0</v>
      </c>
    </row>
    <row r="1400" spans="4:14" x14ac:dyDescent="0.2">
      <c r="D1400">
        <f t="shared" si="239"/>
        <v>1377</v>
      </c>
      <c r="E1400" s="1">
        <f t="shared" si="240"/>
        <v>-12.051856303134628</v>
      </c>
      <c r="F1400" s="1">
        <f t="shared" si="241"/>
        <v>-14.387566017664358</v>
      </c>
      <c r="G1400" s="1">
        <f t="shared" si="238"/>
        <v>5.6436421778115618E-7</v>
      </c>
      <c r="H1400" s="1">
        <f t="shared" si="231"/>
        <v>5.8039727015750716E-9</v>
      </c>
      <c r="I1400">
        <f t="shared" si="232"/>
        <v>10</v>
      </c>
      <c r="J1400">
        <f t="shared" si="233"/>
        <v>1363</v>
      </c>
      <c r="K1400" s="5">
        <f t="shared" si="234"/>
        <v>0</v>
      </c>
      <c r="L1400">
        <f t="shared" si="235"/>
        <v>95</v>
      </c>
      <c r="M1400">
        <f t="shared" si="236"/>
        <v>1</v>
      </c>
      <c r="N1400">
        <f t="shared" si="237"/>
        <v>0</v>
      </c>
    </row>
    <row r="1401" spans="4:14" x14ac:dyDescent="0.2">
      <c r="D1401">
        <f t="shared" si="239"/>
        <v>1378</v>
      </c>
      <c r="E1401" s="1">
        <f t="shared" si="240"/>
        <v>-12.062327603001924</v>
      </c>
      <c r="F1401" s="1">
        <f t="shared" si="241"/>
        <v>-14.398037317531653</v>
      </c>
      <c r="G1401" s="1">
        <f t="shared" si="238"/>
        <v>5.5848542384593634E-7</v>
      </c>
      <c r="H1401" s="1">
        <f t="shared" si="231"/>
        <v>5.7435146526003374E-9</v>
      </c>
      <c r="I1401">
        <f t="shared" si="232"/>
        <v>10</v>
      </c>
      <c r="J1401">
        <f t="shared" si="233"/>
        <v>1364</v>
      </c>
      <c r="K1401" s="5">
        <f t="shared" si="234"/>
        <v>0</v>
      </c>
      <c r="L1401">
        <f t="shared" si="235"/>
        <v>95</v>
      </c>
      <c r="M1401">
        <f t="shared" si="236"/>
        <v>1</v>
      </c>
      <c r="N1401">
        <f t="shared" si="237"/>
        <v>0</v>
      </c>
    </row>
    <row r="1402" spans="4:14" x14ac:dyDescent="0.2">
      <c r="D1402">
        <f t="shared" si="239"/>
        <v>1379</v>
      </c>
      <c r="E1402" s="1">
        <f t="shared" si="240"/>
        <v>-12.07279890286922</v>
      </c>
      <c r="F1402" s="1">
        <f t="shared" si="241"/>
        <v>-14.408508617398951</v>
      </c>
      <c r="G1402" s="1">
        <f t="shared" si="238"/>
        <v>5.5266786734753977E-7</v>
      </c>
      <c r="H1402" s="1">
        <f t="shared" si="231"/>
        <v>5.6836863749690687E-9</v>
      </c>
      <c r="I1402">
        <f t="shared" si="232"/>
        <v>10</v>
      </c>
      <c r="J1402">
        <f t="shared" si="233"/>
        <v>1365</v>
      </c>
      <c r="K1402" s="5">
        <f t="shared" si="234"/>
        <v>0</v>
      </c>
      <c r="L1402">
        <f t="shared" si="235"/>
        <v>95</v>
      </c>
      <c r="M1402">
        <f t="shared" si="236"/>
        <v>1</v>
      </c>
      <c r="N1402">
        <f t="shared" si="237"/>
        <v>0</v>
      </c>
    </row>
    <row r="1403" spans="4:14" x14ac:dyDescent="0.2">
      <c r="D1403">
        <f t="shared" si="239"/>
        <v>1380</v>
      </c>
      <c r="E1403" s="1">
        <f t="shared" si="240"/>
        <v>-12.083270202736516</v>
      </c>
      <c r="F1403" s="1">
        <f t="shared" si="241"/>
        <v>-14.418979917266245</v>
      </c>
      <c r="G1403" s="1">
        <f t="shared" si="238"/>
        <v>5.4691091039600345E-7</v>
      </c>
      <c r="H1403" s="1">
        <f t="shared" si="231"/>
        <v>5.6244813085631474E-9</v>
      </c>
      <c r="I1403">
        <f t="shared" si="232"/>
        <v>10</v>
      </c>
      <c r="J1403">
        <f t="shared" si="233"/>
        <v>1366</v>
      </c>
      <c r="K1403" s="5">
        <f t="shared" si="234"/>
        <v>0</v>
      </c>
      <c r="L1403">
        <f t="shared" si="235"/>
        <v>95</v>
      </c>
      <c r="M1403">
        <f t="shared" si="236"/>
        <v>1</v>
      </c>
      <c r="N1403">
        <f t="shared" si="237"/>
        <v>0</v>
      </c>
    </row>
    <row r="1404" spans="4:14" x14ac:dyDescent="0.2">
      <c r="D1404">
        <f t="shared" si="239"/>
        <v>1381</v>
      </c>
      <c r="E1404" s="1">
        <f t="shared" si="240"/>
        <v>-12.093741502603812</v>
      </c>
      <c r="F1404" s="1">
        <f t="shared" si="241"/>
        <v>-14.429451217133543</v>
      </c>
      <c r="G1404" s="1">
        <f t="shared" si="238"/>
        <v>5.4121392174604364E-7</v>
      </c>
      <c r="H1404" s="1">
        <f t="shared" si="231"/>
        <v>5.5658929615989331E-9</v>
      </c>
      <c r="I1404">
        <f t="shared" si="232"/>
        <v>10</v>
      </c>
      <c r="J1404">
        <f t="shared" si="233"/>
        <v>1367</v>
      </c>
      <c r="K1404" s="5">
        <f t="shared" si="234"/>
        <v>0</v>
      </c>
      <c r="L1404">
        <f t="shared" si="235"/>
        <v>95</v>
      </c>
      <c r="M1404">
        <f t="shared" si="236"/>
        <v>1</v>
      </c>
      <c r="N1404">
        <f t="shared" si="237"/>
        <v>0</v>
      </c>
    </row>
    <row r="1405" spans="4:14" x14ac:dyDescent="0.2">
      <c r="D1405">
        <f t="shared" si="239"/>
        <v>1382</v>
      </c>
      <c r="E1405" s="1">
        <f t="shared" si="240"/>
        <v>-12.104212802471109</v>
      </c>
      <c r="F1405" s="1">
        <f t="shared" si="241"/>
        <v>-14.439922517000838</v>
      </c>
      <c r="G1405" s="1">
        <f t="shared" si="238"/>
        <v>5.3557627672785618E-7</v>
      </c>
      <c r="H1405" s="1">
        <f t="shared" si="231"/>
        <v>5.5079149099156156E-9</v>
      </c>
      <c r="I1405">
        <f t="shared" si="232"/>
        <v>10</v>
      </c>
      <c r="J1405">
        <f t="shared" si="233"/>
        <v>1368</v>
      </c>
      <c r="K1405" s="5">
        <f t="shared" si="234"/>
        <v>0</v>
      </c>
      <c r="L1405">
        <f t="shared" si="235"/>
        <v>95</v>
      </c>
      <c r="M1405">
        <f t="shared" si="236"/>
        <v>1</v>
      </c>
      <c r="N1405">
        <f t="shared" si="237"/>
        <v>0</v>
      </c>
    </row>
    <row r="1406" spans="4:14" x14ac:dyDescent="0.2">
      <c r="D1406">
        <f t="shared" si="239"/>
        <v>1383</v>
      </c>
      <c r="E1406" s="1">
        <f t="shared" si="240"/>
        <v>-12.114684102338405</v>
      </c>
      <c r="F1406" s="1">
        <f t="shared" si="241"/>
        <v>-14.450393816868136</v>
      </c>
      <c r="G1406" s="1">
        <f t="shared" si="238"/>
        <v>5.2999735717860627E-7</v>
      </c>
      <c r="H1406" s="1">
        <f t="shared" si="231"/>
        <v>5.4505407962706466E-9</v>
      </c>
      <c r="I1406">
        <f t="shared" si="232"/>
        <v>10</v>
      </c>
      <c r="J1406">
        <f t="shared" si="233"/>
        <v>1369</v>
      </c>
      <c r="K1406" s="5">
        <f t="shared" si="234"/>
        <v>0</v>
      </c>
      <c r="L1406">
        <f t="shared" si="235"/>
        <v>95</v>
      </c>
      <c r="M1406">
        <f t="shared" si="236"/>
        <v>1</v>
      </c>
      <c r="N1406">
        <f t="shared" si="237"/>
        <v>0</v>
      </c>
    </row>
    <row r="1407" spans="4:14" x14ac:dyDescent="0.2">
      <c r="D1407">
        <f t="shared" si="239"/>
        <v>1384</v>
      </c>
      <c r="E1407" s="1">
        <f t="shared" si="240"/>
        <v>-12.125155402205701</v>
      </c>
      <c r="F1407" s="1">
        <f t="shared" si="241"/>
        <v>-14.46086511673543</v>
      </c>
      <c r="G1407" s="1">
        <f t="shared" si="238"/>
        <v>5.2447655137466298E-7</v>
      </c>
      <c r="H1407" s="1">
        <f t="shared" si="231"/>
        <v>5.3937643296428332E-9</v>
      </c>
      <c r="I1407">
        <f t="shared" si="232"/>
        <v>10</v>
      </c>
      <c r="J1407">
        <f t="shared" si="233"/>
        <v>1370</v>
      </c>
      <c r="K1407" s="5">
        <f t="shared" si="234"/>
        <v>0</v>
      </c>
      <c r="L1407">
        <f t="shared" si="235"/>
        <v>95</v>
      </c>
      <c r="M1407">
        <f t="shared" si="236"/>
        <v>1</v>
      </c>
      <c r="N1407">
        <f t="shared" si="237"/>
        <v>0</v>
      </c>
    </row>
    <row r="1408" spans="4:14" x14ac:dyDescent="0.2">
      <c r="D1408">
        <f t="shared" si="239"/>
        <v>1385</v>
      </c>
      <c r="E1408" s="1">
        <f t="shared" si="240"/>
        <v>-12.135626702072997</v>
      </c>
      <c r="F1408" s="1">
        <f t="shared" si="241"/>
        <v>-14.471336416602728</v>
      </c>
      <c r="G1408" s="1">
        <f t="shared" si="238"/>
        <v>5.1901325396450893E-7</v>
      </c>
      <c r="H1408" s="1">
        <f t="shared" si="231"/>
        <v>5.3375792845423736E-9</v>
      </c>
      <c r="I1408">
        <f t="shared" si="232"/>
        <v>10</v>
      </c>
      <c r="J1408">
        <f t="shared" si="233"/>
        <v>1371</v>
      </c>
      <c r="K1408" s="5">
        <f t="shared" si="234"/>
        <v>0</v>
      </c>
      <c r="L1408">
        <f t="shared" si="235"/>
        <v>95</v>
      </c>
      <c r="M1408">
        <f t="shared" si="236"/>
        <v>1</v>
      </c>
      <c r="N1408">
        <f t="shared" si="237"/>
        <v>0</v>
      </c>
    </row>
    <row r="1409" spans="4:14" x14ac:dyDescent="0.2">
      <c r="D1409">
        <f t="shared" si="239"/>
        <v>1386</v>
      </c>
      <c r="E1409" s="1">
        <f t="shared" si="240"/>
        <v>-12.146098001940294</v>
      </c>
      <c r="F1409" s="1">
        <f t="shared" si="241"/>
        <v>-14.481807716470023</v>
      </c>
      <c r="G1409" s="1">
        <f t="shared" si="238"/>
        <v>5.136068659023791E-7</v>
      </c>
      <c r="H1409" s="1">
        <f t="shared" si="231"/>
        <v>5.2819795003283955E-9</v>
      </c>
      <c r="I1409">
        <f t="shared" si="232"/>
        <v>10</v>
      </c>
      <c r="J1409">
        <f t="shared" si="233"/>
        <v>1372</v>
      </c>
      <c r="K1409" s="5">
        <f t="shared" si="234"/>
        <v>0</v>
      </c>
      <c r="L1409">
        <f t="shared" si="235"/>
        <v>95</v>
      </c>
      <c r="M1409">
        <f t="shared" si="236"/>
        <v>1</v>
      </c>
      <c r="N1409">
        <f t="shared" si="237"/>
        <v>0</v>
      </c>
    </row>
    <row r="1410" spans="4:14" x14ac:dyDescent="0.2">
      <c r="D1410">
        <f t="shared" si="239"/>
        <v>1387</v>
      </c>
      <c r="E1410" s="1">
        <f t="shared" si="240"/>
        <v>-12.15656930180759</v>
      </c>
      <c r="F1410" s="1">
        <f t="shared" si="241"/>
        <v>-14.492279016337321</v>
      </c>
      <c r="G1410" s="1">
        <f t="shared" si="238"/>
        <v>5.0825679438256131E-7</v>
      </c>
      <c r="H1410" s="1">
        <f t="shared" si="231"/>
        <v>5.226958880533294E-9</v>
      </c>
      <c r="I1410">
        <f t="shared" si="232"/>
        <v>10</v>
      </c>
      <c r="J1410">
        <f t="shared" si="233"/>
        <v>1373</v>
      </c>
      <c r="K1410" s="5">
        <f t="shared" si="234"/>
        <v>0</v>
      </c>
      <c r="L1410">
        <f t="shared" si="235"/>
        <v>95</v>
      </c>
      <c r="M1410">
        <f t="shared" si="236"/>
        <v>1</v>
      </c>
      <c r="N1410">
        <f t="shared" si="237"/>
        <v>0</v>
      </c>
    </row>
    <row r="1411" spans="4:14" x14ac:dyDescent="0.2">
      <c r="D1411">
        <f t="shared" si="239"/>
        <v>1388</v>
      </c>
      <c r="E1411" s="1">
        <f t="shared" si="240"/>
        <v>-12.167040601674886</v>
      </c>
      <c r="F1411" s="1">
        <f t="shared" si="241"/>
        <v>-14.502750316204615</v>
      </c>
      <c r="G1411" s="1">
        <f t="shared" si="238"/>
        <v>5.0296245277441009E-7</v>
      </c>
      <c r="H1411" s="1">
        <f t="shared" si="231"/>
        <v>5.1725113921944102E-9</v>
      </c>
      <c r="I1411">
        <f t="shared" si="232"/>
        <v>10</v>
      </c>
      <c r="J1411">
        <f t="shared" si="233"/>
        <v>1374</v>
      </c>
      <c r="K1411" s="5">
        <f t="shared" si="234"/>
        <v>0</v>
      </c>
      <c r="L1411">
        <f t="shared" si="235"/>
        <v>95</v>
      </c>
      <c r="M1411">
        <f t="shared" si="236"/>
        <v>1</v>
      </c>
      <c r="N1411">
        <f t="shared" si="237"/>
        <v>0</v>
      </c>
    </row>
    <row r="1412" spans="4:14" x14ac:dyDescent="0.2">
      <c r="D1412">
        <f t="shared" si="239"/>
        <v>1389</v>
      </c>
      <c r="E1412" s="1">
        <f t="shared" si="240"/>
        <v>-12.177511901542182</v>
      </c>
      <c r="F1412" s="1">
        <f t="shared" si="241"/>
        <v>-14.513221616071913</v>
      </c>
      <c r="G1412" s="1">
        <f t="shared" si="238"/>
        <v>4.9772326055800869E-7</v>
      </c>
      <c r="H1412" s="1">
        <f t="shared" si="231"/>
        <v>5.1186310651923714E-9</v>
      </c>
      <c r="I1412">
        <f t="shared" si="232"/>
        <v>10</v>
      </c>
      <c r="J1412">
        <f t="shared" si="233"/>
        <v>1375</v>
      </c>
      <c r="K1412" s="5">
        <f t="shared" si="234"/>
        <v>0</v>
      </c>
      <c r="L1412">
        <f t="shared" si="235"/>
        <v>95</v>
      </c>
      <c r="M1412">
        <f t="shared" si="236"/>
        <v>1</v>
      </c>
      <c r="N1412">
        <f t="shared" si="237"/>
        <v>0</v>
      </c>
    </row>
    <row r="1413" spans="4:14" x14ac:dyDescent="0.2">
      <c r="D1413">
        <f t="shared" si="239"/>
        <v>1390</v>
      </c>
      <c r="E1413" s="1">
        <f t="shared" si="240"/>
        <v>-12.187983201409478</v>
      </c>
      <c r="F1413" s="1">
        <f t="shared" si="241"/>
        <v>-14.523692915939208</v>
      </c>
      <c r="G1413" s="1">
        <f t="shared" si="238"/>
        <v>4.9253864326052991E-7</v>
      </c>
      <c r="H1413" s="1">
        <f t="shared" si="231"/>
        <v>5.0653119915966229E-9</v>
      </c>
      <c r="I1413">
        <f t="shared" si="232"/>
        <v>10</v>
      </c>
      <c r="J1413">
        <f t="shared" si="233"/>
        <v>1376</v>
      </c>
      <c r="K1413" s="5">
        <f t="shared" si="234"/>
        <v>0</v>
      </c>
      <c r="L1413">
        <f t="shared" si="235"/>
        <v>95</v>
      </c>
      <c r="M1413">
        <f t="shared" si="236"/>
        <v>1</v>
      </c>
      <c r="N1413">
        <f t="shared" si="237"/>
        <v>0</v>
      </c>
    </row>
    <row r="1414" spans="4:14" x14ac:dyDescent="0.2">
      <c r="D1414">
        <f t="shared" si="239"/>
        <v>1391</v>
      </c>
      <c r="E1414" s="1">
        <f t="shared" si="240"/>
        <v>-12.198454501276775</v>
      </c>
      <c r="F1414" s="1">
        <f t="shared" si="241"/>
        <v>-14.534164215806506</v>
      </c>
      <c r="G1414" s="1">
        <f t="shared" si="238"/>
        <v>4.8740803239323145E-7</v>
      </c>
      <c r="H1414" s="1">
        <f t="shared" si="231"/>
        <v>5.0125483250174778E-9</v>
      </c>
      <c r="I1414">
        <f t="shared" si="232"/>
        <v>10</v>
      </c>
      <c r="J1414">
        <f t="shared" si="233"/>
        <v>1377</v>
      </c>
      <c r="K1414" s="5">
        <f t="shared" si="234"/>
        <v>0</v>
      </c>
      <c r="L1414">
        <f t="shared" si="235"/>
        <v>95</v>
      </c>
      <c r="M1414">
        <f t="shared" si="236"/>
        <v>1</v>
      </c>
      <c r="N1414">
        <f t="shared" si="237"/>
        <v>0</v>
      </c>
    </row>
    <row r="1415" spans="4:14" x14ac:dyDescent="0.2">
      <c r="D1415">
        <f t="shared" si="239"/>
        <v>1392</v>
      </c>
      <c r="E1415" s="1">
        <f t="shared" si="240"/>
        <v>-12.208925801144071</v>
      </c>
      <c r="F1415" s="1">
        <f t="shared" si="241"/>
        <v>-14.5446355156738</v>
      </c>
      <c r="G1415" s="1">
        <f t="shared" si="238"/>
        <v>4.823308653891358E-7</v>
      </c>
      <c r="H1415" s="1">
        <f t="shared" si="231"/>
        <v>4.9603342799652183E-9</v>
      </c>
      <c r="I1415">
        <f t="shared" si="232"/>
        <v>10</v>
      </c>
      <c r="J1415">
        <f t="shared" si="233"/>
        <v>1378</v>
      </c>
      <c r="K1415" s="5">
        <f t="shared" si="234"/>
        <v>0</v>
      </c>
      <c r="L1415">
        <f t="shared" si="235"/>
        <v>95</v>
      </c>
      <c r="M1415">
        <f t="shared" si="236"/>
        <v>1</v>
      </c>
      <c r="N1415">
        <f t="shared" si="237"/>
        <v>0</v>
      </c>
    </row>
    <row r="1416" spans="4:14" x14ac:dyDescent="0.2">
      <c r="D1416">
        <f t="shared" si="239"/>
        <v>1393</v>
      </c>
      <c r="E1416" s="1">
        <f t="shared" si="240"/>
        <v>-12.219397101011367</v>
      </c>
      <c r="F1416" s="1">
        <f t="shared" si="241"/>
        <v>-14.555106815541098</v>
      </c>
      <c r="G1416" s="1">
        <f t="shared" si="238"/>
        <v>4.7730658554133106E-7</v>
      </c>
      <c r="H1416" s="1">
        <f t="shared" si="231"/>
        <v>4.9086641312155678E-9</v>
      </c>
      <c r="I1416">
        <f t="shared" si="232"/>
        <v>10</v>
      </c>
      <c r="J1416">
        <f t="shared" si="233"/>
        <v>1379</v>
      </c>
      <c r="K1416" s="5">
        <f t="shared" si="234"/>
        <v>0</v>
      </c>
      <c r="L1416">
        <f t="shared" si="235"/>
        <v>95</v>
      </c>
      <c r="M1416">
        <f t="shared" si="236"/>
        <v>1</v>
      </c>
      <c r="N1416">
        <f t="shared" si="237"/>
        <v>0</v>
      </c>
    </row>
    <row r="1417" spans="4:14" x14ac:dyDescent="0.2">
      <c r="D1417">
        <f t="shared" si="239"/>
        <v>1394</v>
      </c>
      <c r="E1417" s="1">
        <f t="shared" si="240"/>
        <v>-12.229868400878663</v>
      </c>
      <c r="F1417" s="1">
        <f t="shared" si="241"/>
        <v>-14.565578115408393</v>
      </c>
      <c r="G1417" s="1">
        <f t="shared" si="238"/>
        <v>4.7233464194194261E-7</v>
      </c>
      <c r="H1417" s="1">
        <f t="shared" si="231"/>
        <v>4.8575322131820761E-9</v>
      </c>
      <c r="I1417">
        <f t="shared" si="232"/>
        <v>10</v>
      </c>
      <c r="J1417">
        <f t="shared" si="233"/>
        <v>1380</v>
      </c>
      <c r="K1417" s="5">
        <f t="shared" si="234"/>
        <v>0</v>
      </c>
      <c r="L1417">
        <f t="shared" si="235"/>
        <v>95</v>
      </c>
      <c r="M1417">
        <f t="shared" si="236"/>
        <v>1</v>
      </c>
      <c r="N1417">
        <f t="shared" si="237"/>
        <v>0</v>
      </c>
    </row>
    <row r="1418" spans="4:14" x14ac:dyDescent="0.2">
      <c r="D1418">
        <f t="shared" si="239"/>
        <v>1395</v>
      </c>
      <c r="E1418" s="1">
        <f t="shared" si="240"/>
        <v>-12.24033970074596</v>
      </c>
      <c r="F1418" s="1">
        <f t="shared" si="241"/>
        <v>-14.576049415275691</v>
      </c>
      <c r="G1418" s="1">
        <f t="shared" si="238"/>
        <v>4.6741448942171288E-7</v>
      </c>
      <c r="H1418" s="1">
        <f t="shared" si="231"/>
        <v>4.806932919294751E-9</v>
      </c>
      <c r="I1418">
        <f t="shared" si="232"/>
        <v>10</v>
      </c>
      <c r="J1418">
        <f t="shared" si="233"/>
        <v>1381</v>
      </c>
      <c r="K1418" s="5">
        <f t="shared" si="234"/>
        <v>0</v>
      </c>
      <c r="L1418">
        <f t="shared" si="235"/>
        <v>95</v>
      </c>
      <c r="M1418">
        <f t="shared" si="236"/>
        <v>1</v>
      </c>
      <c r="N1418">
        <f t="shared" si="237"/>
        <v>0</v>
      </c>
    </row>
    <row r="1419" spans="4:14" x14ac:dyDescent="0.2">
      <c r="D1419">
        <f t="shared" si="239"/>
        <v>1396</v>
      </c>
      <c r="E1419" s="1">
        <f t="shared" si="240"/>
        <v>-12.250811000613256</v>
      </c>
      <c r="F1419" s="1">
        <f t="shared" si="241"/>
        <v>-14.586520715142985</v>
      </c>
      <c r="G1419" s="1">
        <f t="shared" si="238"/>
        <v>4.6254558849023711E-7</v>
      </c>
      <c r="H1419" s="1">
        <f t="shared" si="231"/>
        <v>4.7568607013854352E-9</v>
      </c>
      <c r="I1419">
        <f t="shared" si="232"/>
        <v>10</v>
      </c>
      <c r="J1419">
        <f t="shared" si="233"/>
        <v>1382</v>
      </c>
      <c r="K1419" s="5">
        <f t="shared" si="234"/>
        <v>0</v>
      </c>
      <c r="L1419">
        <f t="shared" si="235"/>
        <v>95</v>
      </c>
      <c r="M1419">
        <f t="shared" si="236"/>
        <v>1</v>
      </c>
      <c r="N1419">
        <f t="shared" si="237"/>
        <v>0</v>
      </c>
    </row>
    <row r="1420" spans="4:14" x14ac:dyDescent="0.2">
      <c r="D1420">
        <f t="shared" si="239"/>
        <v>1397</v>
      </c>
      <c r="E1420" s="1">
        <f t="shared" si="240"/>
        <v>-12.261282300480552</v>
      </c>
      <c r="F1420" s="1">
        <f t="shared" si="241"/>
        <v>-14.596992015010283</v>
      </c>
      <c r="G1420" s="1">
        <f t="shared" si="238"/>
        <v>4.5772740527679599E-7</v>
      </c>
      <c r="H1420" s="1">
        <f t="shared" si="231"/>
        <v>4.7073100690793245E-9</v>
      </c>
      <c r="I1420">
        <f t="shared" si="232"/>
        <v>10</v>
      </c>
      <c r="J1420">
        <f t="shared" si="233"/>
        <v>1383</v>
      </c>
      <c r="K1420" s="5">
        <f t="shared" si="234"/>
        <v>0</v>
      </c>
      <c r="L1420">
        <f t="shared" si="235"/>
        <v>95</v>
      </c>
      <c r="M1420">
        <f t="shared" si="236"/>
        <v>1</v>
      </c>
      <c r="N1420">
        <f t="shared" si="237"/>
        <v>0</v>
      </c>
    </row>
    <row r="1421" spans="4:14" x14ac:dyDescent="0.2">
      <c r="D1421">
        <f t="shared" si="239"/>
        <v>1398</v>
      </c>
      <c r="E1421" s="1">
        <f t="shared" si="240"/>
        <v>-12.271753600347848</v>
      </c>
      <c r="F1421" s="1">
        <f t="shared" si="241"/>
        <v>-14.607463314877577</v>
      </c>
      <c r="G1421" s="1">
        <f t="shared" si="238"/>
        <v>4.5295941147182979E-7</v>
      </c>
      <c r="H1421" s="1">
        <f t="shared" si="231"/>
        <v>4.6582755891930859E-9</v>
      </c>
      <c r="I1421">
        <f t="shared" si="232"/>
        <v>10</v>
      </c>
      <c r="J1421">
        <f t="shared" si="233"/>
        <v>1384</v>
      </c>
      <c r="K1421" s="5">
        <f t="shared" si="234"/>
        <v>0</v>
      </c>
      <c r="L1421">
        <f t="shared" si="235"/>
        <v>95</v>
      </c>
      <c r="M1421">
        <f t="shared" si="236"/>
        <v>1</v>
      </c>
      <c r="N1421">
        <f t="shared" si="237"/>
        <v>0</v>
      </c>
    </row>
    <row r="1422" spans="4:14" x14ac:dyDescent="0.2">
      <c r="D1422">
        <f t="shared" si="239"/>
        <v>1399</v>
      </c>
      <c r="E1422" s="1">
        <f t="shared" si="240"/>
        <v>-12.282224900215144</v>
      </c>
      <c r="F1422" s="1">
        <f t="shared" si="241"/>
        <v>-14.617934614744875</v>
      </c>
      <c r="G1422" s="1">
        <f t="shared" si="238"/>
        <v>4.4824108426899703E-7</v>
      </c>
      <c r="H1422" s="1">
        <f t="shared" si="231"/>
        <v>4.6097518851389789E-9</v>
      </c>
      <c r="I1422">
        <f t="shared" si="232"/>
        <v>10</v>
      </c>
      <c r="J1422">
        <f t="shared" si="233"/>
        <v>1385</v>
      </c>
      <c r="K1422" s="5">
        <f t="shared" si="234"/>
        <v>0</v>
      </c>
      <c r="L1422">
        <f t="shared" si="235"/>
        <v>95</v>
      </c>
      <c r="M1422">
        <f t="shared" si="236"/>
        <v>1</v>
      </c>
      <c r="N1422">
        <f t="shared" si="237"/>
        <v>0</v>
      </c>
    </row>
    <row r="1423" spans="4:14" x14ac:dyDescent="0.2">
      <c r="D1423">
        <f t="shared" si="239"/>
        <v>1400</v>
      </c>
      <c r="E1423" s="1">
        <f t="shared" si="240"/>
        <v>-12.292696200082441</v>
      </c>
      <c r="F1423" s="1">
        <f t="shared" si="241"/>
        <v>-14.62840591461217</v>
      </c>
      <c r="G1423" s="1">
        <f t="shared" si="238"/>
        <v>4.4357190630786209E-7</v>
      </c>
      <c r="H1423" s="1">
        <f t="shared" si="231"/>
        <v>4.5617336363354528E-9</v>
      </c>
      <c r="I1423">
        <f t="shared" si="232"/>
        <v>10</v>
      </c>
      <c r="J1423">
        <f t="shared" si="233"/>
        <v>1386</v>
      </c>
      <c r="K1423" s="5">
        <f t="shared" si="234"/>
        <v>0</v>
      </c>
      <c r="L1423">
        <f t="shared" si="235"/>
        <v>95</v>
      </c>
      <c r="M1423">
        <f t="shared" si="236"/>
        <v>1</v>
      </c>
      <c r="N1423">
        <f t="shared" si="237"/>
        <v>0</v>
      </c>
    </row>
    <row r="1424" spans="4:14" x14ac:dyDescent="0.2">
      <c r="D1424">
        <f t="shared" si="239"/>
        <v>1401</v>
      </c>
      <c r="E1424" s="1">
        <f t="shared" si="240"/>
        <v>-12.303167499949737</v>
      </c>
      <c r="F1424" s="1">
        <f t="shared" si="241"/>
        <v>-14.638877214479468</v>
      </c>
      <c r="G1424" s="1">
        <f t="shared" si="238"/>
        <v>4.3895136561715405E-7</v>
      </c>
      <c r="H1424" s="1">
        <f t="shared" si="231"/>
        <v>4.5142155776236138E-9</v>
      </c>
      <c r="I1424">
        <f t="shared" si="232"/>
        <v>10</v>
      </c>
      <c r="J1424">
        <f t="shared" si="233"/>
        <v>1387</v>
      </c>
      <c r="K1424" s="5">
        <f t="shared" si="234"/>
        <v>0</v>
      </c>
      <c r="L1424">
        <f t="shared" si="235"/>
        <v>95</v>
      </c>
      <c r="M1424">
        <f t="shared" si="236"/>
        <v>1</v>
      </c>
      <c r="N1424">
        <f t="shared" si="237"/>
        <v>0</v>
      </c>
    </row>
    <row r="1425" spans="4:14" x14ac:dyDescent="0.2">
      <c r="D1425">
        <f t="shared" si="239"/>
        <v>1402</v>
      </c>
      <c r="E1425" s="1">
        <f t="shared" si="240"/>
        <v>-12.313638799817033</v>
      </c>
      <c r="F1425" s="1">
        <f t="shared" si="241"/>
        <v>-14.649348514346762</v>
      </c>
      <c r="G1425" s="1">
        <f t="shared" si="238"/>
        <v>4.3437895555864245E-7</v>
      </c>
      <c r="H1425" s="1">
        <f t="shared" si="231"/>
        <v>4.4671924986900385E-9</v>
      </c>
      <c r="I1425">
        <f t="shared" si="232"/>
        <v>10</v>
      </c>
      <c r="J1425">
        <f t="shared" si="233"/>
        <v>1388</v>
      </c>
      <c r="K1425" s="5">
        <f t="shared" si="234"/>
        <v>0</v>
      </c>
      <c r="L1425">
        <f t="shared" si="235"/>
        <v>95</v>
      </c>
      <c r="M1425">
        <f t="shared" si="236"/>
        <v>1</v>
      </c>
      <c r="N1425">
        <f t="shared" si="237"/>
        <v>0</v>
      </c>
    </row>
    <row r="1426" spans="4:14" x14ac:dyDescent="0.2">
      <c r="D1426">
        <f t="shared" si="239"/>
        <v>1403</v>
      </c>
      <c r="E1426" s="1">
        <f t="shared" si="240"/>
        <v>-12.324110099684329</v>
      </c>
      <c r="F1426" s="1">
        <f t="shared" si="241"/>
        <v>-14.65981981421406</v>
      </c>
      <c r="G1426" s="1">
        <f t="shared" si="238"/>
        <v>4.2985417477157216E-7</v>
      </c>
      <c r="H1426" s="1">
        <f t="shared" si="231"/>
        <v>4.4206592434953396E-9</v>
      </c>
      <c r="I1426">
        <f t="shared" si="232"/>
        <v>10</v>
      </c>
      <c r="J1426">
        <f t="shared" si="233"/>
        <v>1389</v>
      </c>
      <c r="K1426" s="5">
        <f t="shared" si="234"/>
        <v>0</v>
      </c>
      <c r="L1426">
        <f t="shared" si="235"/>
        <v>95</v>
      </c>
      <c r="M1426">
        <f t="shared" si="236"/>
        <v>1</v>
      </c>
      <c r="N1426">
        <f t="shared" si="237"/>
        <v>0</v>
      </c>
    </row>
    <row r="1427" spans="4:14" x14ac:dyDescent="0.2">
      <c r="D1427">
        <f t="shared" si="239"/>
        <v>1404</v>
      </c>
      <c r="E1427" s="1">
        <f t="shared" si="240"/>
        <v>-12.334581399551626</v>
      </c>
      <c r="F1427" s="1">
        <f t="shared" si="241"/>
        <v>-14.670291114081355</v>
      </c>
      <c r="G1427" s="1">
        <f t="shared" si="238"/>
        <v>4.2537652711770202E-7</v>
      </c>
      <c r="H1427" s="1">
        <f t="shared" si="231"/>
        <v>4.3746107097089335E-9</v>
      </c>
      <c r="I1427">
        <f t="shared" si="232"/>
        <v>10</v>
      </c>
      <c r="J1427">
        <f t="shared" si="233"/>
        <v>1390</v>
      </c>
      <c r="K1427" s="5">
        <f t="shared" si="234"/>
        <v>0</v>
      </c>
      <c r="L1427">
        <f t="shared" si="235"/>
        <v>95</v>
      </c>
      <c r="M1427">
        <f t="shared" si="236"/>
        <v>1</v>
      </c>
      <c r="N1427">
        <f t="shared" si="237"/>
        <v>0</v>
      </c>
    </row>
    <row r="1428" spans="4:14" x14ac:dyDescent="0.2">
      <c r="D1428">
        <f t="shared" si="239"/>
        <v>1405</v>
      </c>
      <c r="E1428" s="1">
        <f t="shared" si="240"/>
        <v>-12.345052699418922</v>
      </c>
      <c r="F1428" s="1">
        <f t="shared" si="241"/>
        <v>-14.680762413948653</v>
      </c>
      <c r="G1428" s="1">
        <f t="shared" si="238"/>
        <v>4.2094552162689149E-7</v>
      </c>
      <c r="H1428" s="1">
        <f t="shared" si="231"/>
        <v>4.3290418481494542E-9</v>
      </c>
      <c r="I1428">
        <f t="shared" si="232"/>
        <v>10</v>
      </c>
      <c r="J1428">
        <f t="shared" si="233"/>
        <v>1391</v>
      </c>
      <c r="K1428" s="5">
        <f t="shared" si="234"/>
        <v>0</v>
      </c>
      <c r="L1428">
        <f t="shared" si="235"/>
        <v>95</v>
      </c>
      <c r="M1428">
        <f t="shared" si="236"/>
        <v>1</v>
      </c>
      <c r="N1428">
        <f t="shared" si="237"/>
        <v>0</v>
      </c>
    </row>
    <row r="1429" spans="4:14" x14ac:dyDescent="0.2">
      <c r="D1429">
        <f t="shared" si="239"/>
        <v>1406</v>
      </c>
      <c r="E1429" s="1">
        <f t="shared" si="240"/>
        <v>-12.355523999286218</v>
      </c>
      <c r="F1429" s="1">
        <f t="shared" si="241"/>
        <v>-14.691233713815947</v>
      </c>
      <c r="G1429" s="1">
        <f t="shared" si="238"/>
        <v>4.1656067244327846E-7</v>
      </c>
      <c r="H1429" s="1">
        <f t="shared" si="231"/>
        <v>4.2839476622312347E-9</v>
      </c>
      <c r="I1429">
        <f t="shared" si="232"/>
        <v>10</v>
      </c>
      <c r="J1429">
        <f t="shared" si="233"/>
        <v>1392</v>
      </c>
      <c r="K1429" s="5">
        <f t="shared" si="234"/>
        <v>0</v>
      </c>
      <c r="L1429">
        <f t="shared" si="235"/>
        <v>95</v>
      </c>
      <c r="M1429">
        <f t="shared" si="236"/>
        <v>1</v>
      </c>
      <c r="N1429">
        <f t="shared" si="237"/>
        <v>0</v>
      </c>
    </row>
    <row r="1430" spans="4:14" x14ac:dyDescent="0.2">
      <c r="D1430">
        <f t="shared" si="239"/>
        <v>1407</v>
      </c>
      <c r="E1430" s="1">
        <f t="shared" si="240"/>
        <v>-12.365995299153514</v>
      </c>
      <c r="F1430" s="1">
        <f t="shared" si="241"/>
        <v>-14.701705013683245</v>
      </c>
      <c r="G1430" s="1">
        <f t="shared" si="238"/>
        <v>4.1222149877199324E-7</v>
      </c>
      <c r="H1430" s="1">
        <f t="shared" si="231"/>
        <v>4.2393232074163148E-9</v>
      </c>
      <c r="I1430">
        <f t="shared" si="232"/>
        <v>10</v>
      </c>
      <c r="J1430">
        <f t="shared" si="233"/>
        <v>1393</v>
      </c>
      <c r="K1430" s="5">
        <f t="shared" si="234"/>
        <v>0</v>
      </c>
      <c r="L1430">
        <f t="shared" si="235"/>
        <v>95</v>
      </c>
      <c r="M1430">
        <f t="shared" si="236"/>
        <v>1</v>
      </c>
      <c r="N1430">
        <f t="shared" si="237"/>
        <v>0</v>
      </c>
    </row>
    <row r="1431" spans="4:14" x14ac:dyDescent="0.2">
      <c r="D1431">
        <f t="shared" si="239"/>
        <v>1408</v>
      </c>
      <c r="E1431" s="1">
        <f t="shared" si="240"/>
        <v>-12.37646659902081</v>
      </c>
      <c r="F1431" s="1">
        <f t="shared" si="241"/>
        <v>-14.71217631355054</v>
      </c>
      <c r="G1431" s="1">
        <f t="shared" si="238"/>
        <v>4.0792752482645205E-7</v>
      </c>
      <c r="H1431" s="1">
        <f t="shared" ref="H1431:H1494" si="242">G1431/$G$21</f>
        <v>4.1951635906723993E-9</v>
      </c>
      <c r="I1431">
        <f t="shared" ref="I1431:I1494" si="243">IF($F$11&lt;=D1431, IF(D1431&lt;=$A$15,D1431-$F$11,$C$11),0)</f>
        <v>10</v>
      </c>
      <c r="J1431">
        <f t="shared" ref="J1431:J1494" si="244">IF(D1431&lt;=$A$15,0,D1431-$A$15)</f>
        <v>1394</v>
      </c>
      <c r="K1431" s="5">
        <f t="shared" ref="K1431:K1494" si="245">IF(D1431&lt;$F$11,H1431,0)</f>
        <v>0</v>
      </c>
      <c r="L1431">
        <f t="shared" ref="L1431:L1494" si="246">IF(D1431&lt;$A$15,$D$11,$D$11*(1-$H$11))</f>
        <v>95</v>
      </c>
      <c r="M1431">
        <f t="shared" ref="M1431:M1494" si="247">IF(D1431&lt;$A$15,0,1)</f>
        <v>1</v>
      </c>
      <c r="N1431">
        <f t="shared" ref="N1431:N1494" si="248">IF(SUM(I1431:J1431)&lt;=($G$11/60*$F$11/($E$11/60)),1,0)</f>
        <v>0</v>
      </c>
    </row>
    <row r="1432" spans="4:14" x14ac:dyDescent="0.2">
      <c r="D1432">
        <f t="shared" si="239"/>
        <v>1409</v>
      </c>
      <c r="E1432" s="1">
        <f t="shared" si="240"/>
        <v>-12.386937898888107</v>
      </c>
      <c r="F1432" s="1">
        <f t="shared" si="241"/>
        <v>-14.722647613417838</v>
      </c>
      <c r="G1432" s="1">
        <f t="shared" ref="G1432:G1495" si="249">EXP(F1432)</f>
        <v>4.0367827977617544E-7</v>
      </c>
      <c r="H1432" s="1">
        <f t="shared" si="242"/>
        <v>4.1514639699362175E-9</v>
      </c>
      <c r="I1432">
        <f t="shared" si="243"/>
        <v>10</v>
      </c>
      <c r="J1432">
        <f t="shared" si="244"/>
        <v>1395</v>
      </c>
      <c r="K1432" s="5">
        <f t="shared" si="245"/>
        <v>0</v>
      </c>
      <c r="L1432">
        <f t="shared" si="246"/>
        <v>95</v>
      </c>
      <c r="M1432">
        <f t="shared" si="247"/>
        <v>1</v>
      </c>
      <c r="N1432">
        <f t="shared" si="248"/>
        <v>0</v>
      </c>
    </row>
    <row r="1433" spans="4:14" x14ac:dyDescent="0.2">
      <c r="D1433">
        <f t="shared" ref="D1433:D1496" si="250">1+D1432</f>
        <v>1410</v>
      </c>
      <c r="E1433" s="1">
        <f t="shared" ref="E1433:E1496" si="251">IF($H$11=1,IF(D1433&lt;=$A$15, E1432+LN($D$11)-LN(60/$E$11)-LN(MIN(D1433,$F$11)), E1432-LN(60/$E$11)-LN(MIN(D1433,$F$11))), IF(D1433&lt;=$A$15, E1432+LN($D$11)-LN(60/$E$11)-LN(MIN(D1433,$F$11)), E1432+LN($D$11)+LN(1-$H$11)-LN(60/$E$11)-LN(MIN(D1433,$F$11))))</f>
        <v>-12.397409198755403</v>
      </c>
      <c r="F1433" s="1">
        <f t="shared" ref="F1433:F1496" si="252">E1433-$E$21</f>
        <v>-14.733118913285132</v>
      </c>
      <c r="G1433" s="1">
        <f t="shared" si="249"/>
        <v>3.9947329769517398E-7</v>
      </c>
      <c r="H1433" s="1">
        <f t="shared" si="242"/>
        <v>4.1082195535827194E-9</v>
      </c>
      <c r="I1433">
        <f t="shared" si="243"/>
        <v>10</v>
      </c>
      <c r="J1433">
        <f t="shared" si="244"/>
        <v>1396</v>
      </c>
      <c r="K1433" s="5">
        <f t="shared" si="245"/>
        <v>0</v>
      </c>
      <c r="L1433">
        <f t="shared" si="246"/>
        <v>95</v>
      </c>
      <c r="M1433">
        <f t="shared" si="247"/>
        <v>1</v>
      </c>
      <c r="N1433">
        <f t="shared" si="248"/>
        <v>0</v>
      </c>
    </row>
    <row r="1434" spans="4:14" x14ac:dyDescent="0.2">
      <c r="D1434">
        <f t="shared" si="250"/>
        <v>1411</v>
      </c>
      <c r="E1434" s="1">
        <f t="shared" si="251"/>
        <v>-12.407880498622699</v>
      </c>
      <c r="F1434" s="1">
        <f t="shared" si="252"/>
        <v>-14.74359021315243</v>
      </c>
      <c r="G1434" s="1">
        <f t="shared" si="249"/>
        <v>3.9531211751084823E-7</v>
      </c>
      <c r="H1434" s="1">
        <f t="shared" si="242"/>
        <v>4.065425599899555E-9</v>
      </c>
      <c r="I1434">
        <f t="shared" si="243"/>
        <v>10</v>
      </c>
      <c r="J1434">
        <f t="shared" si="244"/>
        <v>1397</v>
      </c>
      <c r="K1434" s="5">
        <f t="shared" si="245"/>
        <v>0</v>
      </c>
      <c r="L1434">
        <f t="shared" si="246"/>
        <v>95</v>
      </c>
      <c r="M1434">
        <f t="shared" si="247"/>
        <v>1</v>
      </c>
      <c r="N1434">
        <f t="shared" si="248"/>
        <v>0</v>
      </c>
    </row>
    <row r="1435" spans="4:14" x14ac:dyDescent="0.2">
      <c r="D1435">
        <f t="shared" si="250"/>
        <v>1412</v>
      </c>
      <c r="E1435" s="1">
        <f t="shared" si="251"/>
        <v>-12.418351798489995</v>
      </c>
      <c r="F1435" s="1">
        <f t="shared" si="252"/>
        <v>-14.754061513019725</v>
      </c>
      <c r="G1435" s="1">
        <f t="shared" si="249"/>
        <v>3.9119428295344392E-7</v>
      </c>
      <c r="H1435" s="1">
        <f t="shared" si="242"/>
        <v>4.0230774165672718E-9</v>
      </c>
      <c r="I1435">
        <f t="shared" si="243"/>
        <v>10</v>
      </c>
      <c r="J1435">
        <f t="shared" si="244"/>
        <v>1398</v>
      </c>
      <c r="K1435" s="5">
        <f t="shared" si="245"/>
        <v>0</v>
      </c>
      <c r="L1435">
        <f t="shared" si="246"/>
        <v>95</v>
      </c>
      <c r="M1435">
        <f t="shared" si="247"/>
        <v>1</v>
      </c>
      <c r="N1435">
        <f t="shared" si="248"/>
        <v>0</v>
      </c>
    </row>
    <row r="1436" spans="4:14" x14ac:dyDescent="0.2">
      <c r="D1436">
        <f t="shared" si="250"/>
        <v>1413</v>
      </c>
      <c r="E1436" s="1">
        <f t="shared" si="251"/>
        <v>-12.428823098357292</v>
      </c>
      <c r="F1436" s="1">
        <f t="shared" si="252"/>
        <v>-14.764532812887023</v>
      </c>
      <c r="G1436" s="1">
        <f t="shared" si="249"/>
        <v>3.8711934250601122E-7</v>
      </c>
      <c r="H1436" s="1">
        <f t="shared" si="242"/>
        <v>3.9811703601446861E-9</v>
      </c>
      <c r="I1436">
        <f t="shared" si="243"/>
        <v>10</v>
      </c>
      <c r="J1436">
        <f t="shared" si="244"/>
        <v>1399</v>
      </c>
      <c r="K1436" s="5">
        <f t="shared" si="245"/>
        <v>0</v>
      </c>
      <c r="L1436">
        <f t="shared" si="246"/>
        <v>95</v>
      </c>
      <c r="M1436">
        <f t="shared" si="247"/>
        <v>1</v>
      </c>
      <c r="N1436">
        <f t="shared" si="248"/>
        <v>0</v>
      </c>
    </row>
    <row r="1437" spans="4:14" x14ac:dyDescent="0.2">
      <c r="D1437">
        <f t="shared" si="250"/>
        <v>1414</v>
      </c>
      <c r="E1437" s="1">
        <f t="shared" si="251"/>
        <v>-12.439294398224588</v>
      </c>
      <c r="F1437" s="1">
        <f t="shared" si="252"/>
        <v>-14.775004112754317</v>
      </c>
      <c r="G1437" s="1">
        <f t="shared" si="249"/>
        <v>3.8308684935490731E-7</v>
      </c>
      <c r="H1437" s="1">
        <f t="shared" si="242"/>
        <v>3.9396998355598496E-9</v>
      </c>
      <c r="I1437">
        <f t="shared" si="243"/>
        <v>10</v>
      </c>
      <c r="J1437">
        <f t="shared" si="244"/>
        <v>1400</v>
      </c>
      <c r="K1437" s="5">
        <f t="shared" si="245"/>
        <v>0</v>
      </c>
      <c r="L1437">
        <f t="shared" si="246"/>
        <v>95</v>
      </c>
      <c r="M1437">
        <f t="shared" si="247"/>
        <v>1</v>
      </c>
      <c r="N1437">
        <f t="shared" si="248"/>
        <v>0</v>
      </c>
    </row>
    <row r="1438" spans="4:14" x14ac:dyDescent="0.2">
      <c r="D1438">
        <f t="shared" si="250"/>
        <v>1415</v>
      </c>
      <c r="E1438" s="1">
        <f t="shared" si="251"/>
        <v>-12.449765698091884</v>
      </c>
      <c r="F1438" s="1">
        <f t="shared" si="252"/>
        <v>-14.785475412621615</v>
      </c>
      <c r="G1438" s="1">
        <f t="shared" si="249"/>
        <v>3.7909636134079273E-7</v>
      </c>
      <c r="H1438" s="1">
        <f t="shared" si="242"/>
        <v>3.8986612956060913E-9</v>
      </c>
      <c r="I1438">
        <f t="shared" si="243"/>
        <v>10</v>
      </c>
      <c r="J1438">
        <f t="shared" si="244"/>
        <v>1401</v>
      </c>
      <c r="K1438" s="5">
        <f t="shared" si="245"/>
        <v>0</v>
      </c>
      <c r="L1438">
        <f t="shared" si="246"/>
        <v>95</v>
      </c>
      <c r="M1438">
        <f t="shared" si="247"/>
        <v>1</v>
      </c>
      <c r="N1438">
        <f t="shared" si="248"/>
        <v>0</v>
      </c>
    </row>
    <row r="1439" spans="4:14" x14ac:dyDescent="0.2">
      <c r="D1439">
        <f t="shared" si="250"/>
        <v>1416</v>
      </c>
      <c r="E1439" s="1">
        <f t="shared" si="251"/>
        <v>-12.46023699795918</v>
      </c>
      <c r="F1439" s="1">
        <f t="shared" si="252"/>
        <v>-14.795946712488909</v>
      </c>
      <c r="G1439" s="1">
        <f t="shared" si="249"/>
        <v>3.7514744091015982E-7</v>
      </c>
      <c r="H1439" s="1">
        <f t="shared" si="242"/>
        <v>3.8580502404435311E-9</v>
      </c>
      <c r="I1439">
        <f t="shared" si="243"/>
        <v>10</v>
      </c>
      <c r="J1439">
        <f t="shared" si="244"/>
        <v>1402</v>
      </c>
      <c r="K1439" s="5">
        <f t="shared" si="245"/>
        <v>0</v>
      </c>
      <c r="L1439">
        <f t="shared" si="246"/>
        <v>95</v>
      </c>
      <c r="M1439">
        <f t="shared" si="247"/>
        <v>1</v>
      </c>
      <c r="N1439">
        <f t="shared" si="248"/>
        <v>0</v>
      </c>
    </row>
    <row r="1440" spans="4:14" x14ac:dyDescent="0.2">
      <c r="D1440">
        <f t="shared" si="250"/>
        <v>1417</v>
      </c>
      <c r="E1440" s="1">
        <f t="shared" si="251"/>
        <v>-12.470708297826476</v>
      </c>
      <c r="F1440" s="1">
        <f t="shared" si="252"/>
        <v>-14.806418012356207</v>
      </c>
      <c r="G1440" s="1">
        <f t="shared" si="249"/>
        <v>3.7123965506734468E-7</v>
      </c>
      <c r="H1440" s="1">
        <f t="shared" si="242"/>
        <v>3.8178622171055679E-9</v>
      </c>
      <c r="I1440">
        <f t="shared" si="243"/>
        <v>10</v>
      </c>
      <c r="J1440">
        <f t="shared" si="244"/>
        <v>1403</v>
      </c>
      <c r="K1440" s="5">
        <f t="shared" si="245"/>
        <v>0</v>
      </c>
      <c r="L1440">
        <f t="shared" si="246"/>
        <v>95</v>
      </c>
      <c r="M1440">
        <f t="shared" si="247"/>
        <v>1</v>
      </c>
      <c r="N1440">
        <f t="shared" si="248"/>
        <v>0</v>
      </c>
    </row>
    <row r="1441" spans="4:14" x14ac:dyDescent="0.2">
      <c r="D1441">
        <f t="shared" si="250"/>
        <v>1418</v>
      </c>
      <c r="E1441" s="1">
        <f t="shared" si="251"/>
        <v>-12.481179597693773</v>
      </c>
      <c r="F1441" s="1">
        <f t="shared" si="252"/>
        <v>-14.816889312223502</v>
      </c>
      <c r="G1441" s="1">
        <f t="shared" si="249"/>
        <v>3.6737257532706018E-7</v>
      </c>
      <c r="H1441" s="1">
        <f t="shared" si="242"/>
        <v>3.7780928190107212E-9</v>
      </c>
      <c r="I1441">
        <f t="shared" si="243"/>
        <v>10</v>
      </c>
      <c r="J1441">
        <f t="shared" si="244"/>
        <v>1404</v>
      </c>
      <c r="K1441" s="5">
        <f t="shared" si="245"/>
        <v>0</v>
      </c>
      <c r="L1441">
        <f t="shared" si="246"/>
        <v>95</v>
      </c>
      <c r="M1441">
        <f t="shared" si="247"/>
        <v>1</v>
      </c>
      <c r="N1441">
        <f t="shared" si="248"/>
        <v>0</v>
      </c>
    </row>
    <row r="1442" spans="4:14" x14ac:dyDescent="0.2">
      <c r="D1442">
        <f t="shared" si="250"/>
        <v>1419</v>
      </c>
      <c r="E1442" s="1">
        <f t="shared" si="251"/>
        <v>-12.491650897561069</v>
      </c>
      <c r="F1442" s="1">
        <f t="shared" si="252"/>
        <v>-14.8273606120908</v>
      </c>
      <c r="G1442" s="1">
        <f t="shared" si="249"/>
        <v>3.6354577766740238E-7</v>
      </c>
      <c r="H1442" s="1">
        <f t="shared" si="242"/>
        <v>3.7387376854793501E-9</v>
      </c>
      <c r="I1442">
        <f t="shared" si="243"/>
        <v>10</v>
      </c>
      <c r="J1442">
        <f t="shared" si="244"/>
        <v>1405</v>
      </c>
      <c r="K1442" s="5">
        <f t="shared" si="245"/>
        <v>0</v>
      </c>
      <c r="L1442">
        <f t="shared" si="246"/>
        <v>95</v>
      </c>
      <c r="M1442">
        <f t="shared" si="247"/>
        <v>1</v>
      </c>
      <c r="N1442">
        <f t="shared" si="248"/>
        <v>0</v>
      </c>
    </row>
    <row r="1443" spans="4:14" x14ac:dyDescent="0.2">
      <c r="D1443">
        <f t="shared" si="250"/>
        <v>1420</v>
      </c>
      <c r="E1443" s="1">
        <f t="shared" si="251"/>
        <v>-12.502122197428365</v>
      </c>
      <c r="F1443" s="1">
        <f t="shared" si="252"/>
        <v>-14.837831911958094</v>
      </c>
      <c r="G1443" s="1">
        <f t="shared" si="249"/>
        <v>3.5975884248336726E-7</v>
      </c>
      <c r="H1443" s="1">
        <f t="shared" si="242"/>
        <v>3.6997925012556102E-9</v>
      </c>
      <c r="I1443">
        <f t="shared" si="243"/>
        <v>10</v>
      </c>
      <c r="J1443">
        <f t="shared" si="244"/>
        <v>1406</v>
      </c>
      <c r="K1443" s="5">
        <f t="shared" si="245"/>
        <v>0</v>
      </c>
      <c r="L1443">
        <f t="shared" si="246"/>
        <v>95</v>
      </c>
      <c r="M1443">
        <f t="shared" si="247"/>
        <v>1</v>
      </c>
      <c r="N1443">
        <f t="shared" si="248"/>
        <v>0</v>
      </c>
    </row>
    <row r="1444" spans="4:14" x14ac:dyDescent="0.2">
      <c r="D1444">
        <f t="shared" si="250"/>
        <v>1421</v>
      </c>
      <c r="E1444" s="1">
        <f t="shared" si="251"/>
        <v>-12.512593497295661</v>
      </c>
      <c r="F1444" s="1">
        <f t="shared" si="252"/>
        <v>-14.848303211825392</v>
      </c>
      <c r="G1444" s="1">
        <f t="shared" si="249"/>
        <v>3.5601135454083129E-7</v>
      </c>
      <c r="H1444" s="1">
        <f t="shared" si="242"/>
        <v>3.6612529960341885E-9</v>
      </c>
      <c r="I1444">
        <f t="shared" si="243"/>
        <v>10</v>
      </c>
      <c r="J1444">
        <f t="shared" si="244"/>
        <v>1407</v>
      </c>
      <c r="K1444" s="5">
        <f t="shared" si="245"/>
        <v>0</v>
      </c>
      <c r="L1444">
        <f t="shared" si="246"/>
        <v>95</v>
      </c>
      <c r="M1444">
        <f t="shared" si="247"/>
        <v>1</v>
      </c>
      <c r="N1444">
        <f t="shared" si="248"/>
        <v>0</v>
      </c>
    </row>
    <row r="1445" spans="4:14" x14ac:dyDescent="0.2">
      <c r="D1445">
        <f t="shared" si="250"/>
        <v>1422</v>
      </c>
      <c r="E1445" s="1">
        <f t="shared" si="251"/>
        <v>-12.523064797162958</v>
      </c>
      <c r="F1445" s="1">
        <f t="shared" si="252"/>
        <v>-14.858774511692687</v>
      </c>
      <c r="G1445" s="1">
        <f t="shared" si="249"/>
        <v>3.5230290293103129E-7</v>
      </c>
      <c r="H1445" s="1">
        <f t="shared" si="242"/>
        <v>3.6231149439921693E-9</v>
      </c>
      <c r="I1445">
        <f t="shared" si="243"/>
        <v>10</v>
      </c>
      <c r="J1445">
        <f t="shared" si="244"/>
        <v>1408</v>
      </c>
      <c r="K1445" s="5">
        <f t="shared" si="245"/>
        <v>0</v>
      </c>
      <c r="L1445">
        <f t="shared" si="246"/>
        <v>95</v>
      </c>
      <c r="M1445">
        <f t="shared" si="247"/>
        <v>1</v>
      </c>
      <c r="N1445">
        <f t="shared" si="248"/>
        <v>0</v>
      </c>
    </row>
    <row r="1446" spans="4:14" x14ac:dyDescent="0.2">
      <c r="D1446">
        <f t="shared" si="250"/>
        <v>1423</v>
      </c>
      <c r="E1446" s="1">
        <f t="shared" si="251"/>
        <v>-12.533536097030254</v>
      </c>
      <c r="F1446" s="1">
        <f t="shared" si="252"/>
        <v>-14.869245811559985</v>
      </c>
      <c r="G1446" s="1">
        <f t="shared" si="249"/>
        <v>3.4863308102549879E-7</v>
      </c>
      <c r="H1446" s="1">
        <f t="shared" si="242"/>
        <v>3.5853741633255745E-9</v>
      </c>
      <c r="I1446">
        <f t="shared" si="243"/>
        <v>10</v>
      </c>
      <c r="J1446">
        <f t="shared" si="244"/>
        <v>1409</v>
      </c>
      <c r="K1446" s="5">
        <f t="shared" si="245"/>
        <v>0</v>
      </c>
      <c r="L1446">
        <f t="shared" si="246"/>
        <v>95</v>
      </c>
      <c r="M1446">
        <f t="shared" si="247"/>
        <v>1</v>
      </c>
      <c r="N1446">
        <f t="shared" si="248"/>
        <v>0</v>
      </c>
    </row>
    <row r="1447" spans="4:14" x14ac:dyDescent="0.2">
      <c r="D1447">
        <f t="shared" si="250"/>
        <v>1424</v>
      </c>
      <c r="E1447" s="1">
        <f t="shared" si="251"/>
        <v>-12.54400739689755</v>
      </c>
      <c r="F1447" s="1">
        <f t="shared" si="252"/>
        <v>-14.879717111427279</v>
      </c>
      <c r="G1447" s="1">
        <f t="shared" si="249"/>
        <v>3.4500148643148353E-7</v>
      </c>
      <c r="H1447" s="1">
        <f t="shared" si="242"/>
        <v>3.5480265157909365E-9</v>
      </c>
      <c r="I1447">
        <f t="shared" si="243"/>
        <v>10</v>
      </c>
      <c r="J1447">
        <f t="shared" si="244"/>
        <v>1410</v>
      </c>
      <c r="K1447" s="5">
        <f t="shared" si="245"/>
        <v>0</v>
      </c>
      <c r="L1447">
        <f t="shared" si="246"/>
        <v>95</v>
      </c>
      <c r="M1447">
        <f t="shared" si="247"/>
        <v>1</v>
      </c>
      <c r="N1447">
        <f t="shared" si="248"/>
        <v>0</v>
      </c>
    </row>
    <row r="1448" spans="4:14" x14ac:dyDescent="0.2">
      <c r="D1448">
        <f t="shared" si="250"/>
        <v>1425</v>
      </c>
      <c r="E1448" s="1">
        <f t="shared" si="251"/>
        <v>-12.554478696764846</v>
      </c>
      <c r="F1448" s="1">
        <f t="shared" si="252"/>
        <v>-14.890188411294577</v>
      </c>
      <c r="G1448" s="1">
        <f t="shared" si="249"/>
        <v>3.4140772094782137E-7</v>
      </c>
      <c r="H1448" s="1">
        <f t="shared" si="242"/>
        <v>3.5110679062514387E-9</v>
      </c>
      <c r="I1448">
        <f t="shared" si="243"/>
        <v>10</v>
      </c>
      <c r="J1448">
        <f t="shared" si="244"/>
        <v>1411</v>
      </c>
      <c r="K1448" s="5">
        <f t="shared" si="245"/>
        <v>0</v>
      </c>
      <c r="L1448">
        <f t="shared" si="246"/>
        <v>95</v>
      </c>
      <c r="M1448">
        <f t="shared" si="247"/>
        <v>1</v>
      </c>
      <c r="N1448">
        <f t="shared" si="248"/>
        <v>0</v>
      </c>
    </row>
    <row r="1449" spans="4:14" x14ac:dyDescent="0.2">
      <c r="D1449">
        <f t="shared" si="250"/>
        <v>1426</v>
      </c>
      <c r="E1449" s="1">
        <f t="shared" si="251"/>
        <v>-12.564949996632141</v>
      </c>
      <c r="F1449" s="1">
        <f t="shared" si="252"/>
        <v>-14.900659711161872</v>
      </c>
      <c r="G1449" s="1">
        <f t="shared" si="249"/>
        <v>3.3785139052128185E-7</v>
      </c>
      <c r="H1449" s="1">
        <f t="shared" si="242"/>
        <v>3.4744942822279892E-9</v>
      </c>
      <c r="I1449">
        <f t="shared" si="243"/>
        <v>10</v>
      </c>
      <c r="J1449">
        <f t="shared" si="244"/>
        <v>1412</v>
      </c>
      <c r="K1449" s="5">
        <f t="shared" si="245"/>
        <v>0</v>
      </c>
      <c r="L1449">
        <f t="shared" si="246"/>
        <v>95</v>
      </c>
      <c r="M1449">
        <f t="shared" si="247"/>
        <v>1</v>
      </c>
      <c r="N1449">
        <f t="shared" si="248"/>
        <v>0</v>
      </c>
    </row>
    <row r="1450" spans="4:14" x14ac:dyDescent="0.2">
      <c r="D1450">
        <f t="shared" si="250"/>
        <v>1427</v>
      </c>
      <c r="E1450" s="1">
        <f t="shared" si="251"/>
        <v>-12.575421296499435</v>
      </c>
      <c r="F1450" s="1">
        <f t="shared" si="252"/>
        <v>-14.911131011029166</v>
      </c>
      <c r="G1450" s="1">
        <f t="shared" si="249"/>
        <v>3.3433210520335214E-7</v>
      </c>
      <c r="H1450" s="1">
        <f t="shared" si="242"/>
        <v>3.4383016334547844E-9</v>
      </c>
      <c r="I1450">
        <f t="shared" si="243"/>
        <v>10</v>
      </c>
      <c r="J1450">
        <f t="shared" si="244"/>
        <v>1413</v>
      </c>
      <c r="K1450" s="5">
        <f t="shared" si="245"/>
        <v>0</v>
      </c>
      <c r="L1450">
        <f t="shared" si="246"/>
        <v>95</v>
      </c>
      <c r="M1450">
        <f t="shared" si="247"/>
        <v>1</v>
      </c>
      <c r="N1450">
        <f t="shared" si="248"/>
        <v>0</v>
      </c>
    </row>
    <row r="1451" spans="4:14" x14ac:dyDescent="0.2">
      <c r="D1451">
        <f t="shared" si="250"/>
        <v>1428</v>
      </c>
      <c r="E1451" s="1">
        <f t="shared" si="251"/>
        <v>-12.58589259636673</v>
      </c>
      <c r="F1451" s="1">
        <f t="shared" si="252"/>
        <v>-14.921602310896461</v>
      </c>
      <c r="G1451" s="1">
        <f t="shared" si="249"/>
        <v>3.3084947910748424E-7</v>
      </c>
      <c r="H1451" s="1">
        <f t="shared" si="242"/>
        <v>3.4024859914396339E-9</v>
      </c>
      <c r="I1451">
        <f t="shared" si="243"/>
        <v>10</v>
      </c>
      <c r="J1451">
        <f t="shared" si="244"/>
        <v>1414</v>
      </c>
      <c r="K1451" s="5">
        <f t="shared" si="245"/>
        <v>0</v>
      </c>
      <c r="L1451">
        <f t="shared" si="246"/>
        <v>95</v>
      </c>
      <c r="M1451">
        <f t="shared" si="247"/>
        <v>1</v>
      </c>
      <c r="N1451">
        <f t="shared" si="248"/>
        <v>0</v>
      </c>
    </row>
    <row r="1452" spans="4:14" x14ac:dyDescent="0.2">
      <c r="D1452">
        <f t="shared" si="250"/>
        <v>1429</v>
      </c>
      <c r="E1452" s="1">
        <f t="shared" si="251"/>
        <v>-12.596363896234024</v>
      </c>
      <c r="F1452" s="1">
        <f t="shared" si="252"/>
        <v>-14.932073610763755</v>
      </c>
      <c r="G1452" s="1">
        <f t="shared" si="249"/>
        <v>3.2740313036678158E-7</v>
      </c>
      <c r="H1452" s="1">
        <f t="shared" si="242"/>
        <v>3.3670434290288074E-9</v>
      </c>
      <c r="I1452">
        <f t="shared" si="243"/>
        <v>10</v>
      </c>
      <c r="J1452">
        <f t="shared" si="244"/>
        <v>1415</v>
      </c>
      <c r="K1452" s="5">
        <f t="shared" si="245"/>
        <v>0</v>
      </c>
      <c r="L1452">
        <f t="shared" si="246"/>
        <v>95</v>
      </c>
      <c r="M1452">
        <f t="shared" si="247"/>
        <v>1</v>
      </c>
      <c r="N1452">
        <f t="shared" si="248"/>
        <v>0</v>
      </c>
    </row>
    <row r="1453" spans="4:14" x14ac:dyDescent="0.2">
      <c r="D1453">
        <f t="shared" si="250"/>
        <v>1430</v>
      </c>
      <c r="E1453" s="1">
        <f t="shared" si="251"/>
        <v>-12.606835196101319</v>
      </c>
      <c r="F1453" s="1">
        <f t="shared" si="252"/>
        <v>-14.94254491063105</v>
      </c>
      <c r="G1453" s="1">
        <f t="shared" si="249"/>
        <v>3.2399268109212792E-7</v>
      </c>
      <c r="H1453" s="1">
        <f t="shared" si="242"/>
        <v>3.3319700599764273E-9</v>
      </c>
      <c r="I1453">
        <f t="shared" si="243"/>
        <v>10</v>
      </c>
      <c r="J1453">
        <f t="shared" si="244"/>
        <v>1416</v>
      </c>
      <c r="K1453" s="5">
        <f t="shared" si="245"/>
        <v>0</v>
      </c>
      <c r="L1453">
        <f t="shared" si="246"/>
        <v>95</v>
      </c>
      <c r="M1453">
        <f t="shared" si="247"/>
        <v>1</v>
      </c>
      <c r="N1453">
        <f t="shared" si="248"/>
        <v>0</v>
      </c>
    </row>
    <row r="1454" spans="4:14" x14ac:dyDescent="0.2">
      <c r="D1454">
        <f t="shared" si="250"/>
        <v>1431</v>
      </c>
      <c r="E1454" s="1">
        <f t="shared" si="251"/>
        <v>-12.617306495968613</v>
      </c>
      <c r="F1454" s="1">
        <f t="shared" si="252"/>
        <v>-14.953016210498344</v>
      </c>
      <c r="G1454" s="1">
        <f t="shared" si="249"/>
        <v>3.206177573307519E-7</v>
      </c>
      <c r="H1454" s="1">
        <f t="shared" si="242"/>
        <v>3.2972620385183427E-9</v>
      </c>
      <c r="I1454">
        <f t="shared" si="243"/>
        <v>10</v>
      </c>
      <c r="J1454">
        <f t="shared" si="244"/>
        <v>1417</v>
      </c>
      <c r="K1454" s="5">
        <f t="shared" si="245"/>
        <v>0</v>
      </c>
      <c r="L1454">
        <f t="shared" si="246"/>
        <v>95</v>
      </c>
      <c r="M1454">
        <f t="shared" si="247"/>
        <v>1</v>
      </c>
      <c r="N1454">
        <f t="shared" si="248"/>
        <v>0</v>
      </c>
    </row>
    <row r="1455" spans="4:14" x14ac:dyDescent="0.2">
      <c r="D1455">
        <f t="shared" si="250"/>
        <v>1432</v>
      </c>
      <c r="E1455" s="1">
        <f t="shared" si="251"/>
        <v>-12.627777795835907</v>
      </c>
      <c r="F1455" s="1">
        <f t="shared" si="252"/>
        <v>-14.963487510365638</v>
      </c>
      <c r="G1455" s="1">
        <f t="shared" si="249"/>
        <v>3.1727798902522353E-7</v>
      </c>
      <c r="H1455" s="1">
        <f t="shared" si="242"/>
        <v>3.2629155589504462E-9</v>
      </c>
      <c r="I1455">
        <f t="shared" si="243"/>
        <v>10</v>
      </c>
      <c r="J1455">
        <f t="shared" si="244"/>
        <v>1418</v>
      </c>
      <c r="K1455" s="5">
        <f t="shared" si="245"/>
        <v>0</v>
      </c>
      <c r="L1455">
        <f t="shared" si="246"/>
        <v>95</v>
      </c>
      <c r="M1455">
        <f t="shared" si="247"/>
        <v>1</v>
      </c>
      <c r="N1455">
        <f t="shared" si="248"/>
        <v>0</v>
      </c>
    </row>
    <row r="1456" spans="4:14" x14ac:dyDescent="0.2">
      <c r="D1456">
        <f t="shared" si="250"/>
        <v>1433</v>
      </c>
      <c r="E1456" s="1">
        <f t="shared" si="251"/>
        <v>-12.638249095703202</v>
      </c>
      <c r="F1456" s="1">
        <f t="shared" si="252"/>
        <v>-14.973958810232933</v>
      </c>
      <c r="G1456" s="1">
        <f t="shared" si="249"/>
        <v>3.1397300997287775E-7</v>
      </c>
      <c r="H1456" s="1">
        <f t="shared" si="242"/>
        <v>3.2289268552113824E-9</v>
      </c>
      <c r="I1456">
        <f t="shared" si="243"/>
        <v>10</v>
      </c>
      <c r="J1456">
        <f t="shared" si="244"/>
        <v>1419</v>
      </c>
      <c r="K1456" s="5">
        <f t="shared" si="245"/>
        <v>0</v>
      </c>
      <c r="L1456">
        <f t="shared" si="246"/>
        <v>95</v>
      </c>
      <c r="M1456">
        <f t="shared" si="247"/>
        <v>1</v>
      </c>
      <c r="N1456">
        <f t="shared" si="248"/>
        <v>0</v>
      </c>
    </row>
    <row r="1457" spans="4:14" x14ac:dyDescent="0.2">
      <c r="D1457">
        <f t="shared" si="250"/>
        <v>1434</v>
      </c>
      <c r="E1457" s="1">
        <f t="shared" si="251"/>
        <v>-12.648720395570496</v>
      </c>
      <c r="F1457" s="1">
        <f t="shared" si="252"/>
        <v>-14.984430110100227</v>
      </c>
      <c r="G1457" s="1">
        <f t="shared" si="249"/>
        <v>3.1070245778566055E-7</v>
      </c>
      <c r="H1457" s="1">
        <f t="shared" si="242"/>
        <v>3.1952922004695999E-9</v>
      </c>
      <c r="I1457">
        <f t="shared" si="243"/>
        <v>10</v>
      </c>
      <c r="J1457">
        <f t="shared" si="244"/>
        <v>1420</v>
      </c>
      <c r="K1457" s="5">
        <f t="shared" si="245"/>
        <v>0</v>
      </c>
      <c r="L1457">
        <f t="shared" si="246"/>
        <v>95</v>
      </c>
      <c r="M1457">
        <f t="shared" si="247"/>
        <v>1</v>
      </c>
      <c r="N1457">
        <f t="shared" si="248"/>
        <v>0</v>
      </c>
    </row>
    <row r="1458" spans="4:14" x14ac:dyDescent="0.2">
      <c r="D1458">
        <f t="shared" si="250"/>
        <v>1435</v>
      </c>
      <c r="E1458" s="1">
        <f t="shared" si="251"/>
        <v>-12.659191695437791</v>
      </c>
      <c r="F1458" s="1">
        <f t="shared" si="252"/>
        <v>-14.994901409967522</v>
      </c>
      <c r="G1458" s="1">
        <f t="shared" si="249"/>
        <v>3.0746597385039354E-7</v>
      </c>
      <c r="H1458" s="1">
        <f t="shared" si="242"/>
        <v>3.1620079067147111E-9</v>
      </c>
      <c r="I1458">
        <f t="shared" si="243"/>
        <v>10</v>
      </c>
      <c r="J1458">
        <f t="shared" si="244"/>
        <v>1421</v>
      </c>
      <c r="K1458" s="5">
        <f t="shared" si="245"/>
        <v>0</v>
      </c>
      <c r="L1458">
        <f t="shared" si="246"/>
        <v>95</v>
      </c>
      <c r="M1458">
        <f t="shared" si="247"/>
        <v>1</v>
      </c>
      <c r="N1458">
        <f t="shared" si="248"/>
        <v>0</v>
      </c>
    </row>
    <row r="1459" spans="4:14" x14ac:dyDescent="0.2">
      <c r="D1459">
        <f t="shared" si="250"/>
        <v>1436</v>
      </c>
      <c r="E1459" s="1">
        <f t="shared" si="251"/>
        <v>-12.669662995305085</v>
      </c>
      <c r="F1459" s="1">
        <f t="shared" si="252"/>
        <v>-15.005372709834816</v>
      </c>
      <c r="G1459" s="1">
        <f t="shared" si="249"/>
        <v>3.0426320328945225E-7</v>
      </c>
      <c r="H1459" s="1">
        <f t="shared" si="242"/>
        <v>3.1290703243531029E-9</v>
      </c>
      <c r="I1459">
        <f t="shared" si="243"/>
        <v>10</v>
      </c>
      <c r="J1459">
        <f t="shared" si="244"/>
        <v>1422</v>
      </c>
      <c r="K1459" s="5">
        <f t="shared" si="245"/>
        <v>0</v>
      </c>
      <c r="L1459">
        <f t="shared" si="246"/>
        <v>95</v>
      </c>
      <c r="M1459">
        <f t="shared" si="247"/>
        <v>1</v>
      </c>
      <c r="N1459">
        <f t="shared" si="248"/>
        <v>0</v>
      </c>
    </row>
    <row r="1460" spans="4:14" x14ac:dyDescent="0.2">
      <c r="D1460">
        <f t="shared" si="250"/>
        <v>1437</v>
      </c>
      <c r="E1460" s="1">
        <f t="shared" si="251"/>
        <v>-12.68013429517238</v>
      </c>
      <c r="F1460" s="1">
        <f t="shared" si="252"/>
        <v>-15.015844009702111</v>
      </c>
      <c r="G1460" s="1">
        <f t="shared" si="249"/>
        <v>3.0109379492185407E-7</v>
      </c>
      <c r="H1460" s="1">
        <f t="shared" si="242"/>
        <v>3.0964758418077608E-9</v>
      </c>
      <c r="I1460">
        <f t="shared" si="243"/>
        <v>10</v>
      </c>
      <c r="J1460">
        <f t="shared" si="244"/>
        <v>1423</v>
      </c>
      <c r="K1460" s="5">
        <f t="shared" si="245"/>
        <v>0</v>
      </c>
      <c r="L1460">
        <f t="shared" si="246"/>
        <v>95</v>
      </c>
      <c r="M1460">
        <f t="shared" si="247"/>
        <v>1</v>
      </c>
      <c r="N1460">
        <f t="shared" si="248"/>
        <v>0</v>
      </c>
    </row>
    <row r="1461" spans="4:14" x14ac:dyDescent="0.2">
      <c r="D1461">
        <f t="shared" si="250"/>
        <v>1438</v>
      </c>
      <c r="E1461" s="1">
        <f t="shared" si="251"/>
        <v>-12.690605595039674</v>
      </c>
      <c r="F1461" s="1">
        <f t="shared" si="252"/>
        <v>-15.026315309569405</v>
      </c>
      <c r="G1461" s="1">
        <f t="shared" si="249"/>
        <v>2.9795740122475172E-7</v>
      </c>
      <c r="H1461" s="1">
        <f t="shared" si="242"/>
        <v>3.0642208851222665E-9</v>
      </c>
      <c r="I1461">
        <f t="shared" si="243"/>
        <v>10</v>
      </c>
      <c r="J1461">
        <f t="shared" si="244"/>
        <v>1424</v>
      </c>
      <c r="K1461" s="5">
        <f t="shared" si="245"/>
        <v>0</v>
      </c>
      <c r="L1461">
        <f t="shared" si="246"/>
        <v>95</v>
      </c>
      <c r="M1461">
        <f t="shared" si="247"/>
        <v>1</v>
      </c>
      <c r="N1461">
        <f t="shared" si="248"/>
        <v>0</v>
      </c>
    </row>
    <row r="1462" spans="4:14" x14ac:dyDescent="0.2">
      <c r="D1462">
        <f t="shared" si="250"/>
        <v>1439</v>
      </c>
      <c r="E1462" s="1">
        <f t="shared" si="251"/>
        <v>-12.701076894906969</v>
      </c>
      <c r="F1462" s="1">
        <f t="shared" si="252"/>
        <v>-15.0367866094367</v>
      </c>
      <c r="G1462" s="1">
        <f t="shared" si="249"/>
        <v>2.9485367829532748E-7</v>
      </c>
      <c r="H1462" s="1">
        <f t="shared" si="242"/>
        <v>3.0323019175689119E-9</v>
      </c>
      <c r="I1462">
        <f t="shared" si="243"/>
        <v>10</v>
      </c>
      <c r="J1462">
        <f t="shared" si="244"/>
        <v>1425</v>
      </c>
      <c r="K1462" s="5">
        <f t="shared" si="245"/>
        <v>0</v>
      </c>
      <c r="L1462">
        <f t="shared" si="246"/>
        <v>95</v>
      </c>
      <c r="M1462">
        <f t="shared" si="247"/>
        <v>1</v>
      </c>
      <c r="N1462">
        <f t="shared" si="248"/>
        <v>0</v>
      </c>
    </row>
    <row r="1463" spans="4:14" x14ac:dyDescent="0.2">
      <c r="D1463">
        <f t="shared" si="250"/>
        <v>1440</v>
      </c>
      <c r="E1463" s="1">
        <f t="shared" si="251"/>
        <v>-12.711548194774263</v>
      </c>
      <c r="F1463" s="1">
        <f t="shared" si="252"/>
        <v>-15.047257909303994</v>
      </c>
      <c r="G1463" s="1">
        <f t="shared" si="249"/>
        <v>2.9178228581308478E-7</v>
      </c>
      <c r="H1463" s="1">
        <f t="shared" si="242"/>
        <v>3.0007154392609058E-9</v>
      </c>
      <c r="I1463">
        <f t="shared" si="243"/>
        <v>10</v>
      </c>
      <c r="J1463">
        <f t="shared" si="244"/>
        <v>1426</v>
      </c>
      <c r="K1463" s="5">
        <f t="shared" si="245"/>
        <v>0</v>
      </c>
      <c r="L1463">
        <f t="shared" si="246"/>
        <v>95</v>
      </c>
      <c r="M1463">
        <f t="shared" si="247"/>
        <v>1</v>
      </c>
      <c r="N1463">
        <f t="shared" si="248"/>
        <v>0</v>
      </c>
    </row>
    <row r="1464" spans="4:14" x14ac:dyDescent="0.2">
      <c r="D1464">
        <f t="shared" si="250"/>
        <v>1441</v>
      </c>
      <c r="E1464" s="1">
        <f t="shared" si="251"/>
        <v>-12.722019494641557</v>
      </c>
      <c r="F1464" s="1">
        <f t="shared" si="252"/>
        <v>-15.057729209171288</v>
      </c>
      <c r="G1464" s="1">
        <f t="shared" si="249"/>
        <v>2.8874288700253212E-7</v>
      </c>
      <c r="H1464" s="1">
        <f t="shared" si="242"/>
        <v>2.9694579867686075E-9</v>
      </c>
      <c r="I1464">
        <f t="shared" si="243"/>
        <v>10</v>
      </c>
      <c r="J1464">
        <f t="shared" si="244"/>
        <v>1427</v>
      </c>
      <c r="K1464" s="5">
        <f t="shared" si="245"/>
        <v>0</v>
      </c>
      <c r="L1464">
        <f t="shared" si="246"/>
        <v>95</v>
      </c>
      <c r="M1464">
        <f t="shared" si="247"/>
        <v>1</v>
      </c>
      <c r="N1464">
        <f t="shared" si="248"/>
        <v>0</v>
      </c>
    </row>
    <row r="1465" spans="4:14" x14ac:dyDescent="0.2">
      <c r="D1465">
        <f t="shared" si="250"/>
        <v>1442</v>
      </c>
      <c r="E1465" s="1">
        <f t="shared" si="251"/>
        <v>-12.732490794508852</v>
      </c>
      <c r="F1465" s="1">
        <f t="shared" si="252"/>
        <v>-15.068200509038583</v>
      </c>
      <c r="G1465" s="1">
        <f t="shared" si="249"/>
        <v>2.8573514859625602E-7</v>
      </c>
      <c r="H1465" s="1">
        <f t="shared" si="242"/>
        <v>2.9385261327397708E-9</v>
      </c>
      <c r="I1465">
        <f t="shared" si="243"/>
        <v>10</v>
      </c>
      <c r="J1465">
        <f t="shared" si="244"/>
        <v>1428</v>
      </c>
      <c r="K1465" s="5">
        <f t="shared" si="245"/>
        <v>0</v>
      </c>
      <c r="L1465">
        <f t="shared" si="246"/>
        <v>95</v>
      </c>
      <c r="M1465">
        <f t="shared" si="247"/>
        <v>1</v>
      </c>
      <c r="N1465">
        <f t="shared" si="248"/>
        <v>0</v>
      </c>
    </row>
    <row r="1466" spans="4:14" x14ac:dyDescent="0.2">
      <c r="D1466">
        <f t="shared" si="250"/>
        <v>1443</v>
      </c>
      <c r="E1466" s="1">
        <f t="shared" si="251"/>
        <v>-12.742962094376146</v>
      </c>
      <c r="F1466" s="1">
        <f t="shared" si="252"/>
        <v>-15.078671808905877</v>
      </c>
      <c r="G1466" s="1">
        <f t="shared" si="249"/>
        <v>2.8275874079837859E-7</v>
      </c>
      <c r="H1466" s="1">
        <f t="shared" si="242"/>
        <v>2.9079164855237339E-9</v>
      </c>
      <c r="I1466">
        <f t="shared" si="243"/>
        <v>10</v>
      </c>
      <c r="J1466">
        <f t="shared" si="244"/>
        <v>1429</v>
      </c>
      <c r="K1466" s="5">
        <f t="shared" si="245"/>
        <v>0</v>
      </c>
      <c r="L1466">
        <f t="shared" si="246"/>
        <v>95</v>
      </c>
      <c r="M1466">
        <f t="shared" si="247"/>
        <v>1</v>
      </c>
      <c r="N1466">
        <f t="shared" si="248"/>
        <v>0</v>
      </c>
    </row>
    <row r="1467" spans="4:14" x14ac:dyDescent="0.2">
      <c r="D1467">
        <f t="shared" si="250"/>
        <v>1444</v>
      </c>
      <c r="E1467" s="1">
        <f t="shared" si="251"/>
        <v>-12.753433394243441</v>
      </c>
      <c r="F1467" s="1">
        <f t="shared" si="252"/>
        <v>-15.089143108773172</v>
      </c>
      <c r="G1467" s="1">
        <f t="shared" si="249"/>
        <v>2.7981333724839574E-7</v>
      </c>
      <c r="H1467" s="1">
        <f t="shared" si="242"/>
        <v>2.8776256887995311E-9</v>
      </c>
      <c r="I1467">
        <f t="shared" si="243"/>
        <v>10</v>
      </c>
      <c r="J1467">
        <f t="shared" si="244"/>
        <v>1430</v>
      </c>
      <c r="K1467" s="5">
        <f t="shared" si="245"/>
        <v>0</v>
      </c>
      <c r="L1467">
        <f t="shared" si="246"/>
        <v>95</v>
      </c>
      <c r="M1467">
        <f t="shared" si="247"/>
        <v>1</v>
      </c>
      <c r="N1467">
        <f t="shared" si="248"/>
        <v>0</v>
      </c>
    </row>
    <row r="1468" spans="4:14" x14ac:dyDescent="0.2">
      <c r="D1468">
        <f t="shared" si="250"/>
        <v>1445</v>
      </c>
      <c r="E1468" s="1">
        <f t="shared" si="251"/>
        <v>-12.763904694110735</v>
      </c>
      <c r="F1468" s="1">
        <f t="shared" si="252"/>
        <v>-15.099614408640466</v>
      </c>
      <c r="G1468" s="1">
        <f t="shared" si="249"/>
        <v>2.7689861498539191E-7</v>
      </c>
      <c r="H1468" s="1">
        <f t="shared" si="242"/>
        <v>2.8476504212078723E-9</v>
      </c>
      <c r="I1468">
        <f t="shared" si="243"/>
        <v>10</v>
      </c>
      <c r="J1468">
        <f t="shared" si="244"/>
        <v>1431</v>
      </c>
      <c r="K1468" s="5">
        <f t="shared" si="245"/>
        <v>0</v>
      </c>
      <c r="L1468">
        <f t="shared" si="246"/>
        <v>95</v>
      </c>
      <c r="M1468">
        <f t="shared" si="247"/>
        <v>1</v>
      </c>
      <c r="N1468">
        <f t="shared" si="248"/>
        <v>0</v>
      </c>
    </row>
    <row r="1469" spans="4:14" x14ac:dyDescent="0.2">
      <c r="D1469">
        <f t="shared" si="250"/>
        <v>1446</v>
      </c>
      <c r="E1469" s="1">
        <f t="shared" si="251"/>
        <v>-12.77437599397803</v>
      </c>
      <c r="F1469" s="1">
        <f t="shared" si="252"/>
        <v>-15.110085708507761</v>
      </c>
      <c r="G1469" s="1">
        <f t="shared" si="249"/>
        <v>2.7401425441262768E-7</v>
      </c>
      <c r="H1469" s="1">
        <f t="shared" si="242"/>
        <v>2.8179873959869598E-9</v>
      </c>
      <c r="I1469">
        <f t="shared" si="243"/>
        <v>10</v>
      </c>
      <c r="J1469">
        <f t="shared" si="244"/>
        <v>1432</v>
      </c>
      <c r="K1469" s="5">
        <f t="shared" si="245"/>
        <v>0</v>
      </c>
      <c r="L1469">
        <f t="shared" si="246"/>
        <v>95</v>
      </c>
      <c r="M1469">
        <f t="shared" si="247"/>
        <v>1</v>
      </c>
      <c r="N1469">
        <f t="shared" si="248"/>
        <v>0</v>
      </c>
    </row>
    <row r="1470" spans="4:14" x14ac:dyDescent="0.2">
      <c r="D1470">
        <f t="shared" si="250"/>
        <v>1447</v>
      </c>
      <c r="E1470" s="1">
        <f t="shared" si="251"/>
        <v>-12.784847293845324</v>
      </c>
      <c r="F1470" s="1">
        <f t="shared" si="252"/>
        <v>-15.120557008375055</v>
      </c>
      <c r="G1470" s="1">
        <f t="shared" si="249"/>
        <v>2.711599392624964E-7</v>
      </c>
      <c r="H1470" s="1">
        <f t="shared" si="242"/>
        <v>2.7886333606120981E-9</v>
      </c>
      <c r="I1470">
        <f t="shared" si="243"/>
        <v>10</v>
      </c>
      <c r="J1470">
        <f t="shared" si="244"/>
        <v>1433</v>
      </c>
      <c r="K1470" s="5">
        <f t="shared" si="245"/>
        <v>0</v>
      </c>
      <c r="L1470">
        <f t="shared" si="246"/>
        <v>95</v>
      </c>
      <c r="M1470">
        <f t="shared" si="247"/>
        <v>1</v>
      </c>
      <c r="N1470">
        <f t="shared" si="248"/>
        <v>0</v>
      </c>
    </row>
    <row r="1471" spans="4:14" x14ac:dyDescent="0.2">
      <c r="D1471">
        <f t="shared" si="250"/>
        <v>1448</v>
      </c>
      <c r="E1471" s="1">
        <f t="shared" si="251"/>
        <v>-12.795318593712619</v>
      </c>
      <c r="F1471" s="1">
        <f t="shared" si="252"/>
        <v>-15.13102830824235</v>
      </c>
      <c r="G1471" s="1">
        <f t="shared" si="249"/>
        <v>2.6833535656184566E-7</v>
      </c>
      <c r="H1471" s="1">
        <f t="shared" si="242"/>
        <v>2.7595850964390583E-9</v>
      </c>
      <c r="I1471">
        <f t="shared" si="243"/>
        <v>10</v>
      </c>
      <c r="J1471">
        <f t="shared" si="244"/>
        <v>1434</v>
      </c>
      <c r="K1471" s="5">
        <f t="shared" si="245"/>
        <v>0</v>
      </c>
      <c r="L1471">
        <f t="shared" si="246"/>
        <v>95</v>
      </c>
      <c r="M1471">
        <f t="shared" si="247"/>
        <v>1</v>
      </c>
      <c r="N1471">
        <f t="shared" si="248"/>
        <v>0</v>
      </c>
    </row>
    <row r="1472" spans="4:14" x14ac:dyDescent="0.2">
      <c r="D1472">
        <f t="shared" si="250"/>
        <v>1449</v>
      </c>
      <c r="E1472" s="1">
        <f t="shared" si="251"/>
        <v>-12.805789893579913</v>
      </c>
      <c r="F1472" s="1">
        <f t="shared" si="252"/>
        <v>-15.141499608109644</v>
      </c>
      <c r="G1472" s="1">
        <f t="shared" si="249"/>
        <v>2.6554019659765999E-7</v>
      </c>
      <c r="H1472" s="1">
        <f t="shared" si="242"/>
        <v>2.7308394183511535E-9</v>
      </c>
      <c r="I1472">
        <f t="shared" si="243"/>
        <v>10</v>
      </c>
      <c r="J1472">
        <f t="shared" si="244"/>
        <v>1435</v>
      </c>
      <c r="K1472" s="5">
        <f t="shared" si="245"/>
        <v>0</v>
      </c>
      <c r="L1472">
        <f t="shared" si="246"/>
        <v>95</v>
      </c>
      <c r="M1472">
        <f t="shared" si="247"/>
        <v>1</v>
      </c>
      <c r="N1472">
        <f t="shared" si="248"/>
        <v>0</v>
      </c>
    </row>
    <row r="1473" spans="4:14" x14ac:dyDescent="0.2">
      <c r="D1473">
        <f t="shared" si="250"/>
        <v>1450</v>
      </c>
      <c r="E1473" s="1">
        <f t="shared" si="251"/>
        <v>-12.816261193447207</v>
      </c>
      <c r="F1473" s="1">
        <f t="shared" si="252"/>
        <v>-15.151970907976938</v>
      </c>
      <c r="G1473" s="1">
        <f t="shared" si="249"/>
        <v>2.6277415288310129E-7</v>
      </c>
      <c r="H1473" s="1">
        <f t="shared" si="242"/>
        <v>2.7023931744099985E-9</v>
      </c>
      <c r="I1473">
        <f t="shared" si="243"/>
        <v>10</v>
      </c>
      <c r="J1473">
        <f t="shared" si="244"/>
        <v>1436</v>
      </c>
      <c r="K1473" s="5">
        <f t="shared" si="245"/>
        <v>0</v>
      </c>
      <c r="L1473">
        <f t="shared" si="246"/>
        <v>95</v>
      </c>
      <c r="M1473">
        <f t="shared" si="247"/>
        <v>1</v>
      </c>
      <c r="N1473">
        <f t="shared" si="248"/>
        <v>0</v>
      </c>
    </row>
    <row r="1474" spans="4:14" x14ac:dyDescent="0.2">
      <c r="D1474">
        <f t="shared" si="250"/>
        <v>1451</v>
      </c>
      <c r="E1474" s="1">
        <f t="shared" si="251"/>
        <v>-12.826732493314502</v>
      </c>
      <c r="F1474" s="1">
        <f t="shared" si="252"/>
        <v>-15.162442207844233</v>
      </c>
      <c r="G1474" s="1">
        <f t="shared" si="249"/>
        <v>2.6003692212390255E-7</v>
      </c>
      <c r="H1474" s="1">
        <f t="shared" si="242"/>
        <v>2.6742432455098968E-9</v>
      </c>
      <c r="I1474">
        <f t="shared" si="243"/>
        <v>10</v>
      </c>
      <c r="J1474">
        <f t="shared" si="244"/>
        <v>1437</v>
      </c>
      <c r="K1474" s="5">
        <f t="shared" si="245"/>
        <v>0</v>
      </c>
      <c r="L1474">
        <f t="shared" si="246"/>
        <v>95</v>
      </c>
      <c r="M1474">
        <f t="shared" si="247"/>
        <v>1</v>
      </c>
      <c r="N1474">
        <f t="shared" si="248"/>
        <v>0</v>
      </c>
    </row>
    <row r="1475" spans="4:14" x14ac:dyDescent="0.2">
      <c r="D1475">
        <f t="shared" si="250"/>
        <v>1452</v>
      </c>
      <c r="E1475" s="1">
        <f t="shared" si="251"/>
        <v>-12.837203793181796</v>
      </c>
      <c r="F1475" s="1">
        <f t="shared" si="252"/>
        <v>-15.172913507711527</v>
      </c>
      <c r="G1475" s="1">
        <f t="shared" si="249"/>
        <v>2.5732820418511215E-7</v>
      </c>
      <c r="H1475" s="1">
        <f t="shared" si="242"/>
        <v>2.6463865450358378E-9</v>
      </c>
      <c r="I1475">
        <f t="shared" si="243"/>
        <v>10</v>
      </c>
      <c r="J1475">
        <f t="shared" si="244"/>
        <v>1438</v>
      </c>
      <c r="K1475" s="5">
        <f t="shared" si="245"/>
        <v>0</v>
      </c>
      <c r="L1475">
        <f t="shared" si="246"/>
        <v>95</v>
      </c>
      <c r="M1475">
        <f t="shared" si="247"/>
        <v>1</v>
      </c>
      <c r="N1475">
        <f t="shared" si="248"/>
        <v>0</v>
      </c>
    </row>
    <row r="1476" spans="4:14" x14ac:dyDescent="0.2">
      <c r="D1476">
        <f t="shared" si="250"/>
        <v>1453</v>
      </c>
      <c r="E1476" s="1">
        <f t="shared" si="251"/>
        <v>-12.847675093049091</v>
      </c>
      <c r="F1476" s="1">
        <f t="shared" si="252"/>
        <v>-15.183384807578822</v>
      </c>
      <c r="G1476" s="1">
        <f t="shared" si="249"/>
        <v>2.5464770205818417E-7</v>
      </c>
      <c r="H1476" s="1">
        <f t="shared" si="242"/>
        <v>2.6188200185250509E-9</v>
      </c>
      <c r="I1476">
        <f t="shared" si="243"/>
        <v>10</v>
      </c>
      <c r="J1476">
        <f t="shared" si="244"/>
        <v>1439</v>
      </c>
      <c r="K1476" s="5">
        <f t="shared" si="245"/>
        <v>0</v>
      </c>
      <c r="L1476">
        <f t="shared" si="246"/>
        <v>95</v>
      </c>
      <c r="M1476">
        <f t="shared" si="247"/>
        <v>1</v>
      </c>
      <c r="N1476">
        <f t="shared" si="248"/>
        <v>0</v>
      </c>
    </row>
    <row r="1477" spans="4:14" x14ac:dyDescent="0.2">
      <c r="D1477">
        <f t="shared" si="250"/>
        <v>1454</v>
      </c>
      <c r="E1477" s="1">
        <f t="shared" si="251"/>
        <v>-12.858146392916385</v>
      </c>
      <c r="F1477" s="1">
        <f t="shared" si="252"/>
        <v>-15.193856107446116</v>
      </c>
      <c r="G1477" s="1">
        <f t="shared" si="249"/>
        <v>2.5199512182841163E-7</v>
      </c>
      <c r="H1477" s="1">
        <f t="shared" si="242"/>
        <v>2.5915406433320836E-9</v>
      </c>
      <c r="I1477">
        <f t="shared" si="243"/>
        <v>10</v>
      </c>
      <c r="J1477">
        <f t="shared" si="244"/>
        <v>1440</v>
      </c>
      <c r="K1477" s="5">
        <f t="shared" si="245"/>
        <v>0</v>
      </c>
      <c r="L1477">
        <f t="shared" si="246"/>
        <v>95</v>
      </c>
      <c r="M1477">
        <f t="shared" si="247"/>
        <v>1</v>
      </c>
      <c r="N1477">
        <f t="shared" si="248"/>
        <v>0</v>
      </c>
    </row>
    <row r="1478" spans="4:14" x14ac:dyDescent="0.2">
      <c r="D1478">
        <f t="shared" si="250"/>
        <v>1455</v>
      </c>
      <c r="E1478" s="1">
        <f t="shared" si="251"/>
        <v>-12.86861769278368</v>
      </c>
      <c r="F1478" s="1">
        <f t="shared" si="252"/>
        <v>-15.204327407313411</v>
      </c>
      <c r="G1478" s="1">
        <f t="shared" si="249"/>
        <v>2.4937017264269928E-7</v>
      </c>
      <c r="H1478" s="1">
        <f t="shared" si="242"/>
        <v>2.5645454282973772E-9</v>
      </c>
      <c r="I1478">
        <f t="shared" si="243"/>
        <v>10</v>
      </c>
      <c r="J1478">
        <f t="shared" si="244"/>
        <v>1441</v>
      </c>
      <c r="K1478" s="5">
        <f t="shared" si="245"/>
        <v>0</v>
      </c>
      <c r="L1478">
        <f t="shared" si="246"/>
        <v>95</v>
      </c>
      <c r="M1478">
        <f t="shared" si="247"/>
        <v>1</v>
      </c>
      <c r="N1478">
        <f t="shared" si="248"/>
        <v>0</v>
      </c>
    </row>
    <row r="1479" spans="4:14" x14ac:dyDescent="0.2">
      <c r="D1479">
        <f t="shared" si="250"/>
        <v>1456</v>
      </c>
      <c r="E1479" s="1">
        <f t="shared" si="251"/>
        <v>-12.879088992650974</v>
      </c>
      <c r="F1479" s="1">
        <f t="shared" si="252"/>
        <v>-15.214798707180705</v>
      </c>
      <c r="G1479" s="1">
        <f t="shared" si="249"/>
        <v>2.4677256667767138E-7</v>
      </c>
      <c r="H1479" s="1">
        <f t="shared" si="242"/>
        <v>2.5378314134192817E-9</v>
      </c>
      <c r="I1479">
        <f t="shared" si="243"/>
        <v>10</v>
      </c>
      <c r="J1479">
        <f t="shared" si="244"/>
        <v>1442</v>
      </c>
      <c r="K1479" s="5">
        <f t="shared" si="245"/>
        <v>0</v>
      </c>
      <c r="L1479">
        <f t="shared" si="246"/>
        <v>95</v>
      </c>
      <c r="M1479">
        <f t="shared" si="247"/>
        <v>1</v>
      </c>
      <c r="N1479">
        <f t="shared" si="248"/>
        <v>0</v>
      </c>
    </row>
    <row r="1480" spans="4:14" x14ac:dyDescent="0.2">
      <c r="D1480">
        <f t="shared" si="250"/>
        <v>1457</v>
      </c>
      <c r="E1480" s="1">
        <f t="shared" si="251"/>
        <v>-12.889560292518269</v>
      </c>
      <c r="F1480" s="1">
        <f t="shared" si="252"/>
        <v>-15.225270007048</v>
      </c>
      <c r="G1480" s="1">
        <f t="shared" si="249"/>
        <v>2.4420201910811253E-7</v>
      </c>
      <c r="H1480" s="1">
        <f t="shared" si="242"/>
        <v>2.5113956695294999E-9</v>
      </c>
      <c r="I1480">
        <f t="shared" si="243"/>
        <v>10</v>
      </c>
      <c r="J1480">
        <f t="shared" si="244"/>
        <v>1443</v>
      </c>
      <c r="K1480" s="5">
        <f t="shared" si="245"/>
        <v>0</v>
      </c>
      <c r="L1480">
        <f t="shared" si="246"/>
        <v>95</v>
      </c>
      <c r="M1480">
        <f t="shared" si="247"/>
        <v>1</v>
      </c>
      <c r="N1480">
        <f t="shared" si="248"/>
        <v>0</v>
      </c>
    </row>
    <row r="1481" spans="4:14" x14ac:dyDescent="0.2">
      <c r="D1481">
        <f t="shared" si="250"/>
        <v>1458</v>
      </c>
      <c r="E1481" s="1">
        <f t="shared" si="251"/>
        <v>-12.900031592385563</v>
      </c>
      <c r="F1481" s="1">
        <f t="shared" si="252"/>
        <v>-15.235741306915294</v>
      </c>
      <c r="G1481" s="1">
        <f t="shared" si="249"/>
        <v>2.4165824807573661E-7</v>
      </c>
      <c r="H1481" s="1">
        <f t="shared" si="242"/>
        <v>2.4852352979719034E-9</v>
      </c>
      <c r="I1481">
        <f t="shared" si="243"/>
        <v>10</v>
      </c>
      <c r="J1481">
        <f t="shared" si="244"/>
        <v>1444</v>
      </c>
      <c r="K1481" s="5">
        <f t="shared" si="245"/>
        <v>0</v>
      </c>
      <c r="L1481">
        <f t="shared" si="246"/>
        <v>95</v>
      </c>
      <c r="M1481">
        <f t="shared" si="247"/>
        <v>1</v>
      </c>
      <c r="N1481">
        <f t="shared" si="248"/>
        <v>0</v>
      </c>
    </row>
    <row r="1482" spans="4:14" x14ac:dyDescent="0.2">
      <c r="D1482">
        <f t="shared" si="250"/>
        <v>1459</v>
      </c>
      <c r="E1482" s="1">
        <f t="shared" si="251"/>
        <v>-12.910502892252858</v>
      </c>
      <c r="F1482" s="1">
        <f t="shared" si="252"/>
        <v>-15.246212606782588</v>
      </c>
      <c r="G1482" s="1">
        <f t="shared" si="249"/>
        <v>2.3914097465828123E-7</v>
      </c>
      <c r="H1482" s="1">
        <f t="shared" si="242"/>
        <v>2.4593474302846983E-9</v>
      </c>
      <c r="I1482">
        <f t="shared" si="243"/>
        <v>10</v>
      </c>
      <c r="J1482">
        <f t="shared" si="244"/>
        <v>1445</v>
      </c>
      <c r="K1482" s="5">
        <f t="shared" si="245"/>
        <v>0</v>
      </c>
      <c r="L1482">
        <f t="shared" si="246"/>
        <v>95</v>
      </c>
      <c r="M1482">
        <f t="shared" si="247"/>
        <v>1</v>
      </c>
      <c r="N1482">
        <f t="shared" si="248"/>
        <v>0</v>
      </c>
    </row>
    <row r="1483" spans="4:14" x14ac:dyDescent="0.2">
      <c r="D1483">
        <f t="shared" si="250"/>
        <v>1460</v>
      </c>
      <c r="E1483" s="1">
        <f t="shared" si="251"/>
        <v>-12.920974192120152</v>
      </c>
      <c r="F1483" s="1">
        <f t="shared" si="252"/>
        <v>-15.256683906649883</v>
      </c>
      <c r="G1483" s="1">
        <f t="shared" si="249"/>
        <v>2.3664992283892435E-7</v>
      </c>
      <c r="H1483" s="1">
        <f t="shared" si="242"/>
        <v>2.4337292278859018E-9</v>
      </c>
      <c r="I1483">
        <f t="shared" si="243"/>
        <v>10</v>
      </c>
      <c r="J1483">
        <f t="shared" si="244"/>
        <v>1446</v>
      </c>
      <c r="K1483" s="5">
        <f t="shared" si="245"/>
        <v>0</v>
      </c>
      <c r="L1483">
        <f t="shared" si="246"/>
        <v>95</v>
      </c>
      <c r="M1483">
        <f t="shared" si="247"/>
        <v>1</v>
      </c>
      <c r="N1483">
        <f t="shared" si="248"/>
        <v>0</v>
      </c>
    </row>
    <row r="1484" spans="4:14" x14ac:dyDescent="0.2">
      <c r="D1484">
        <f t="shared" si="250"/>
        <v>1461</v>
      </c>
      <c r="E1484" s="1">
        <f t="shared" si="251"/>
        <v>-12.931445491987446</v>
      </c>
      <c r="F1484" s="1">
        <f t="shared" si="252"/>
        <v>-15.267155206517177</v>
      </c>
      <c r="G1484" s="1">
        <f t="shared" si="249"/>
        <v>2.3418481947601913E-7</v>
      </c>
      <c r="H1484" s="1">
        <f t="shared" si="242"/>
        <v>2.4083778817620928E-9</v>
      </c>
      <c r="I1484">
        <f t="shared" si="243"/>
        <v>10</v>
      </c>
      <c r="J1484">
        <f t="shared" si="244"/>
        <v>1447</v>
      </c>
      <c r="K1484" s="5">
        <f t="shared" si="245"/>
        <v>0</v>
      </c>
      <c r="L1484">
        <f t="shared" si="246"/>
        <v>95</v>
      </c>
      <c r="M1484">
        <f t="shared" si="247"/>
        <v>1</v>
      </c>
      <c r="N1484">
        <f t="shared" si="248"/>
        <v>0</v>
      </c>
    </row>
    <row r="1485" spans="4:14" x14ac:dyDescent="0.2">
      <c r="D1485">
        <f t="shared" si="250"/>
        <v>1462</v>
      </c>
      <c r="E1485" s="1">
        <f t="shared" si="251"/>
        <v>-12.941916791854741</v>
      </c>
      <c r="F1485" s="1">
        <f t="shared" si="252"/>
        <v>-15.277626506384472</v>
      </c>
      <c r="G1485" s="1">
        <f t="shared" si="249"/>
        <v>2.3174539427314416E-7</v>
      </c>
      <c r="H1485" s="1">
        <f t="shared" si="242"/>
        <v>2.3832906121604063E-9</v>
      </c>
      <c r="I1485">
        <f t="shared" si="243"/>
        <v>10</v>
      </c>
      <c r="J1485">
        <f t="shared" si="244"/>
        <v>1448</v>
      </c>
      <c r="K1485" s="5">
        <f t="shared" si="245"/>
        <v>0</v>
      </c>
      <c r="L1485">
        <f t="shared" si="246"/>
        <v>95</v>
      </c>
      <c r="M1485">
        <f t="shared" si="247"/>
        <v>1</v>
      </c>
      <c r="N1485">
        <f t="shared" si="248"/>
        <v>0</v>
      </c>
    </row>
    <row r="1486" spans="4:14" x14ac:dyDescent="0.2">
      <c r="D1486">
        <f t="shared" si="250"/>
        <v>1463</v>
      </c>
      <c r="E1486" s="1">
        <f t="shared" si="251"/>
        <v>-12.952388091722035</v>
      </c>
      <c r="F1486" s="1">
        <f t="shared" si="252"/>
        <v>-15.288097806251766</v>
      </c>
      <c r="G1486" s="1">
        <f t="shared" si="249"/>
        <v>2.2933137974946579E-7</v>
      </c>
      <c r="H1486" s="1">
        <f t="shared" si="242"/>
        <v>2.358464668283738E-9</v>
      </c>
      <c r="I1486">
        <f t="shared" si="243"/>
        <v>10</v>
      </c>
      <c r="J1486">
        <f t="shared" si="244"/>
        <v>1449</v>
      </c>
      <c r="K1486" s="5">
        <f t="shared" si="245"/>
        <v>0</v>
      </c>
      <c r="L1486">
        <f t="shared" si="246"/>
        <v>95</v>
      </c>
      <c r="M1486">
        <f t="shared" si="247"/>
        <v>1</v>
      </c>
      <c r="N1486">
        <f t="shared" si="248"/>
        <v>0</v>
      </c>
    </row>
    <row r="1487" spans="4:14" x14ac:dyDescent="0.2">
      <c r="D1487">
        <f t="shared" si="250"/>
        <v>1464</v>
      </c>
      <c r="E1487" s="1">
        <f t="shared" si="251"/>
        <v>-12.96285939158933</v>
      </c>
      <c r="F1487" s="1">
        <f t="shared" si="252"/>
        <v>-15.298569106119061</v>
      </c>
      <c r="G1487" s="1">
        <f t="shared" si="249"/>
        <v>2.2694251121040907E-7</v>
      </c>
      <c r="H1487" s="1">
        <f t="shared" si="242"/>
        <v>2.3338973279891176E-9</v>
      </c>
      <c r="I1487">
        <f t="shared" si="243"/>
        <v>10</v>
      </c>
      <c r="J1487">
        <f t="shared" si="244"/>
        <v>1450</v>
      </c>
      <c r="K1487" s="5">
        <f t="shared" si="245"/>
        <v>0</v>
      </c>
      <c r="L1487">
        <f t="shared" si="246"/>
        <v>95</v>
      </c>
      <c r="M1487">
        <f t="shared" si="247"/>
        <v>1</v>
      </c>
      <c r="N1487">
        <f t="shared" si="248"/>
        <v>0</v>
      </c>
    </row>
    <row r="1488" spans="4:14" x14ac:dyDescent="0.2">
      <c r="D1488">
        <f t="shared" si="250"/>
        <v>1465</v>
      </c>
      <c r="E1488" s="1">
        <f t="shared" si="251"/>
        <v>-12.973330691456624</v>
      </c>
      <c r="F1488" s="1">
        <f t="shared" si="252"/>
        <v>-15.309040405986355</v>
      </c>
      <c r="G1488" s="1">
        <f t="shared" si="249"/>
        <v>2.2457852671863418E-7</v>
      </c>
      <c r="H1488" s="1">
        <f t="shared" si="242"/>
        <v>2.3095858974892331E-9</v>
      </c>
      <c r="I1488">
        <f t="shared" si="243"/>
        <v>10</v>
      </c>
      <c r="J1488">
        <f t="shared" si="244"/>
        <v>1451</v>
      </c>
      <c r="K1488" s="5">
        <f t="shared" si="245"/>
        <v>0</v>
      </c>
      <c r="L1488">
        <f t="shared" si="246"/>
        <v>95</v>
      </c>
      <c r="M1488">
        <f t="shared" si="247"/>
        <v>1</v>
      </c>
      <c r="N1488">
        <f t="shared" si="248"/>
        <v>0</v>
      </c>
    </row>
    <row r="1489" spans="4:14" x14ac:dyDescent="0.2">
      <c r="D1489">
        <f t="shared" si="250"/>
        <v>1466</v>
      </c>
      <c r="E1489" s="1">
        <f t="shared" si="251"/>
        <v>-12.983801991323919</v>
      </c>
      <c r="F1489" s="1">
        <f t="shared" si="252"/>
        <v>-15.31951170585365</v>
      </c>
      <c r="G1489" s="1">
        <f t="shared" si="249"/>
        <v>2.222391670653153E-7</v>
      </c>
      <c r="H1489" s="1">
        <f t="shared" si="242"/>
        <v>2.2855277110570562E-9</v>
      </c>
      <c r="I1489">
        <f t="shared" si="243"/>
        <v>10</v>
      </c>
      <c r="J1489">
        <f t="shared" si="244"/>
        <v>1452</v>
      </c>
      <c r="K1489" s="5">
        <f t="shared" si="245"/>
        <v>0</v>
      </c>
      <c r="L1489">
        <f t="shared" si="246"/>
        <v>95</v>
      </c>
      <c r="M1489">
        <f t="shared" si="247"/>
        <v>1</v>
      </c>
      <c r="N1489">
        <f t="shared" si="248"/>
        <v>0</v>
      </c>
    </row>
    <row r="1490" spans="4:14" x14ac:dyDescent="0.2">
      <c r="D1490">
        <f t="shared" si="250"/>
        <v>1467</v>
      </c>
      <c r="E1490" s="1">
        <f t="shared" si="251"/>
        <v>-12.994273291191213</v>
      </c>
      <c r="F1490" s="1">
        <f t="shared" si="252"/>
        <v>-15.329983005720944</v>
      </c>
      <c r="G1490" s="1">
        <f t="shared" si="249"/>
        <v>2.1992417574171846E-7</v>
      </c>
      <c r="H1490" s="1">
        <f t="shared" si="242"/>
        <v>2.261720130733547E-9</v>
      </c>
      <c r="I1490">
        <f t="shared" si="243"/>
        <v>10</v>
      </c>
      <c r="J1490">
        <f t="shared" si="244"/>
        <v>1453</v>
      </c>
      <c r="K1490" s="5">
        <f t="shared" si="245"/>
        <v>0</v>
      </c>
      <c r="L1490">
        <f t="shared" si="246"/>
        <v>95</v>
      </c>
      <c r="M1490">
        <f t="shared" si="247"/>
        <v>1</v>
      </c>
      <c r="N1490">
        <f t="shared" si="248"/>
        <v>0</v>
      </c>
    </row>
    <row r="1491" spans="4:14" x14ac:dyDescent="0.2">
      <c r="D1491">
        <f t="shared" si="250"/>
        <v>1468</v>
      </c>
      <c r="E1491" s="1">
        <f t="shared" si="251"/>
        <v>-13.004744591058508</v>
      </c>
      <c r="F1491" s="1">
        <f t="shared" si="252"/>
        <v>-15.340454305588239</v>
      </c>
      <c r="G1491" s="1">
        <f t="shared" si="249"/>
        <v>2.1763329891107578E-7</v>
      </c>
      <c r="H1491" s="1">
        <f t="shared" si="242"/>
        <v>2.2381605460384081E-9</v>
      </c>
      <c r="I1491">
        <f t="shared" si="243"/>
        <v>10</v>
      </c>
      <c r="J1491">
        <f t="shared" si="244"/>
        <v>1454</v>
      </c>
      <c r="K1491" s="5">
        <f t="shared" si="245"/>
        <v>0</v>
      </c>
      <c r="L1491">
        <f t="shared" si="246"/>
        <v>95</v>
      </c>
      <c r="M1491">
        <f t="shared" si="247"/>
        <v>1</v>
      </c>
      <c r="N1491">
        <f t="shared" si="248"/>
        <v>0</v>
      </c>
    </row>
    <row r="1492" spans="4:14" x14ac:dyDescent="0.2">
      <c r="D1492">
        <f t="shared" si="250"/>
        <v>1469</v>
      </c>
      <c r="E1492" s="1">
        <f t="shared" si="251"/>
        <v>-13.015215890925802</v>
      </c>
      <c r="F1492" s="1">
        <f t="shared" si="252"/>
        <v>-15.350925605455533</v>
      </c>
      <c r="G1492" s="1">
        <f t="shared" si="249"/>
        <v>2.1536628538075227E-7</v>
      </c>
      <c r="H1492" s="1">
        <f t="shared" si="242"/>
        <v>2.2148463736838433E-9</v>
      </c>
      <c r="I1492">
        <f t="shared" si="243"/>
        <v>10</v>
      </c>
      <c r="J1492">
        <f t="shared" si="244"/>
        <v>1455</v>
      </c>
      <c r="K1492" s="5">
        <f t="shared" si="245"/>
        <v>0</v>
      </c>
      <c r="L1492">
        <f t="shared" si="246"/>
        <v>95</v>
      </c>
      <c r="M1492">
        <f t="shared" si="247"/>
        <v>1</v>
      </c>
      <c r="N1492">
        <f t="shared" si="248"/>
        <v>0</v>
      </c>
    </row>
    <row r="1493" spans="4:14" x14ac:dyDescent="0.2">
      <c r="D1493">
        <f t="shared" si="250"/>
        <v>1470</v>
      </c>
      <c r="E1493" s="1">
        <f t="shared" si="251"/>
        <v>-13.025687190793096</v>
      </c>
      <c r="F1493" s="1">
        <f t="shared" si="252"/>
        <v>-15.361396905322827</v>
      </c>
      <c r="G1493" s="1">
        <f t="shared" si="249"/>
        <v>2.1312288657470297E-7</v>
      </c>
      <c r="H1493" s="1">
        <f t="shared" si="242"/>
        <v>2.1917750572913057E-9</v>
      </c>
      <c r="I1493">
        <f t="shared" si="243"/>
        <v>10</v>
      </c>
      <c r="J1493">
        <f t="shared" si="244"/>
        <v>1456</v>
      </c>
      <c r="K1493" s="5">
        <f t="shared" si="245"/>
        <v>0</v>
      </c>
      <c r="L1493">
        <f t="shared" si="246"/>
        <v>95</v>
      </c>
      <c r="M1493">
        <f t="shared" si="247"/>
        <v>1</v>
      </c>
      <c r="N1493">
        <f t="shared" si="248"/>
        <v>0</v>
      </c>
    </row>
    <row r="1494" spans="4:14" x14ac:dyDescent="0.2">
      <c r="D1494">
        <f t="shared" si="250"/>
        <v>1471</v>
      </c>
      <c r="E1494" s="1">
        <f t="shared" si="251"/>
        <v>-13.036158490660391</v>
      </c>
      <c r="F1494" s="1">
        <f t="shared" si="252"/>
        <v>-15.371868205190122</v>
      </c>
      <c r="G1494" s="1">
        <f t="shared" si="249"/>
        <v>2.1090285650621669E-7</v>
      </c>
      <c r="H1494" s="1">
        <f t="shared" si="242"/>
        <v>2.1689440671111899E-9</v>
      </c>
      <c r="I1494">
        <f t="shared" si="243"/>
        <v>10</v>
      </c>
      <c r="J1494">
        <f t="shared" si="244"/>
        <v>1457</v>
      </c>
      <c r="K1494" s="5">
        <f t="shared" si="245"/>
        <v>0</v>
      </c>
      <c r="L1494">
        <f t="shared" si="246"/>
        <v>95</v>
      </c>
      <c r="M1494">
        <f t="shared" si="247"/>
        <v>1</v>
      </c>
      <c r="N1494">
        <f t="shared" si="248"/>
        <v>0</v>
      </c>
    </row>
    <row r="1495" spans="4:14" x14ac:dyDescent="0.2">
      <c r="D1495">
        <f t="shared" si="250"/>
        <v>1472</v>
      </c>
      <c r="E1495" s="1">
        <f t="shared" si="251"/>
        <v>-13.046629790527685</v>
      </c>
      <c r="F1495" s="1">
        <f t="shared" si="252"/>
        <v>-15.382339505057416</v>
      </c>
      <c r="G1495" s="1">
        <f t="shared" si="249"/>
        <v>2.0870595175094381E-7</v>
      </c>
      <c r="H1495" s="1">
        <f t="shared" ref="H1495:H1558" si="253">G1495/$G$21</f>
        <v>2.1463508997454505E-9</v>
      </c>
      <c r="I1495">
        <f t="shared" ref="I1495:I1558" si="254">IF($F$11&lt;=D1495, IF(D1495&lt;=$A$15,D1495-$F$11,$C$11),0)</f>
        <v>10</v>
      </c>
      <c r="J1495">
        <f t="shared" ref="J1495:J1558" si="255">IF(D1495&lt;=$A$15,0,D1495-$A$15)</f>
        <v>1458</v>
      </c>
      <c r="K1495" s="5">
        <f t="shared" ref="K1495:K1558" si="256">IF(D1495&lt;$F$11,H1495,0)</f>
        <v>0</v>
      </c>
      <c r="L1495">
        <f t="shared" ref="L1495:L1558" si="257">IF(D1495&lt;$A$15,$D$11,$D$11*(1-$H$11))</f>
        <v>95</v>
      </c>
      <c r="M1495">
        <f t="shared" ref="M1495:M1558" si="258">IF(D1495&lt;$A$15,0,1)</f>
        <v>1</v>
      </c>
      <c r="N1495">
        <f t="shared" ref="N1495:N1558" si="259">IF(SUM(I1495:J1495)&lt;=($G$11/60*$F$11/($E$11/60)),1,0)</f>
        <v>0</v>
      </c>
    </row>
    <row r="1496" spans="4:14" x14ac:dyDescent="0.2">
      <c r="D1496">
        <f t="shared" si="250"/>
        <v>1473</v>
      </c>
      <c r="E1496" s="1">
        <f t="shared" si="251"/>
        <v>-13.05710109039498</v>
      </c>
      <c r="F1496" s="1">
        <f t="shared" si="252"/>
        <v>-15.392810804924711</v>
      </c>
      <c r="G1496" s="1">
        <f t="shared" ref="G1496:G1559" si="260">EXP(F1496)</f>
        <v>2.06531931420205E-7</v>
      </c>
      <c r="H1496" s="1">
        <f t="shared" si="253"/>
        <v>2.1239930778731039E-9</v>
      </c>
      <c r="I1496">
        <f t="shared" si="254"/>
        <v>10</v>
      </c>
      <c r="J1496">
        <f t="shared" si="255"/>
        <v>1459</v>
      </c>
      <c r="K1496" s="5">
        <f t="shared" si="256"/>
        <v>0</v>
      </c>
      <c r="L1496">
        <f t="shared" si="257"/>
        <v>95</v>
      </c>
      <c r="M1496">
        <f t="shared" si="258"/>
        <v>1</v>
      </c>
      <c r="N1496">
        <f t="shared" si="259"/>
        <v>0</v>
      </c>
    </row>
    <row r="1497" spans="4:14" x14ac:dyDescent="0.2">
      <c r="D1497">
        <f t="shared" ref="D1497:D1560" si="261">1+D1496</f>
        <v>1474</v>
      </c>
      <c r="E1497" s="1">
        <f t="shared" ref="E1497:E1560" si="262">IF($H$11=1,IF(D1497&lt;=$A$15, E1496+LN($D$11)-LN(60/$E$11)-LN(MIN(D1497,$F$11)), E1496-LN(60/$E$11)-LN(MIN(D1497,$F$11))), IF(D1497&lt;=$A$15, E1496+LN($D$11)-LN(60/$E$11)-LN(MIN(D1497,$F$11)), E1496+LN($D$11)+LN(1-$H$11)-LN(60/$E$11)-LN(MIN(D1497,$F$11))))</f>
        <v>-13.067572390262274</v>
      </c>
      <c r="F1497" s="1">
        <f t="shared" ref="F1497:F1560" si="263">E1497-$E$21</f>
        <v>-15.403282104792005</v>
      </c>
      <c r="G1497" s="1">
        <f t="shared" si="260"/>
        <v>2.0438055713457807E-7</v>
      </c>
      <c r="H1497" s="1">
        <f t="shared" si="253"/>
        <v>2.1018681499785948E-9</v>
      </c>
      <c r="I1497">
        <f t="shared" si="254"/>
        <v>10</v>
      </c>
      <c r="J1497">
        <f t="shared" si="255"/>
        <v>1460</v>
      </c>
      <c r="K1497" s="5">
        <f t="shared" si="256"/>
        <v>0</v>
      </c>
      <c r="L1497">
        <f t="shared" si="257"/>
        <v>95</v>
      </c>
      <c r="M1497">
        <f t="shared" si="258"/>
        <v>1</v>
      </c>
      <c r="N1497">
        <f t="shared" si="259"/>
        <v>0</v>
      </c>
    </row>
    <row r="1498" spans="4:14" x14ac:dyDescent="0.2">
      <c r="D1498">
        <f t="shared" si="261"/>
        <v>1475</v>
      </c>
      <c r="E1498" s="1">
        <f t="shared" si="262"/>
        <v>-13.078043690129569</v>
      </c>
      <c r="F1498" s="1">
        <f t="shared" si="263"/>
        <v>-15.4137534046593</v>
      </c>
      <c r="G1498" s="1">
        <f t="shared" si="260"/>
        <v>2.0225159299775974E-7</v>
      </c>
      <c r="H1498" s="1">
        <f t="shared" si="253"/>
        <v>2.0799736900829864E-9</v>
      </c>
      <c r="I1498">
        <f t="shared" si="254"/>
        <v>10</v>
      </c>
      <c r="J1498">
        <f t="shared" si="255"/>
        <v>1461</v>
      </c>
      <c r="K1498" s="5">
        <f t="shared" si="256"/>
        <v>0</v>
      </c>
      <c r="L1498">
        <f t="shared" si="257"/>
        <v>95</v>
      </c>
      <c r="M1498">
        <f t="shared" si="258"/>
        <v>1</v>
      </c>
      <c r="N1498">
        <f t="shared" si="259"/>
        <v>0</v>
      </c>
    </row>
    <row r="1499" spans="4:14" x14ac:dyDescent="0.2">
      <c r="D1499">
        <f t="shared" si="261"/>
        <v>1476</v>
      </c>
      <c r="E1499" s="1">
        <f t="shared" si="262"/>
        <v>-13.088514989996863</v>
      </c>
      <c r="F1499" s="1">
        <f t="shared" si="263"/>
        <v>-15.424224704526594</v>
      </c>
      <c r="G1499" s="1">
        <f t="shared" si="260"/>
        <v>2.0014480557069991E-7</v>
      </c>
      <c r="H1499" s="1">
        <f t="shared" si="253"/>
        <v>2.058307297477957E-9</v>
      </c>
      <c r="I1499">
        <f t="shared" si="254"/>
        <v>10</v>
      </c>
      <c r="J1499">
        <f t="shared" si="255"/>
        <v>1462</v>
      </c>
      <c r="K1499" s="5">
        <f t="shared" si="256"/>
        <v>0</v>
      </c>
      <c r="L1499">
        <f t="shared" si="257"/>
        <v>95</v>
      </c>
      <c r="M1499">
        <f t="shared" si="258"/>
        <v>1</v>
      </c>
      <c r="N1499">
        <f t="shared" si="259"/>
        <v>0</v>
      </c>
    </row>
    <row r="1500" spans="4:14" x14ac:dyDescent="0.2">
      <c r="D1500">
        <f t="shared" si="261"/>
        <v>1477</v>
      </c>
      <c r="E1500" s="1">
        <f t="shared" si="262"/>
        <v>-13.098986289864158</v>
      </c>
      <c r="F1500" s="1">
        <f t="shared" si="263"/>
        <v>-15.434696004393889</v>
      </c>
      <c r="G1500" s="1">
        <f t="shared" si="260"/>
        <v>1.9805996384600532E-7</v>
      </c>
      <c r="H1500" s="1">
        <f t="shared" si="253"/>
        <v>2.0368665964625637E-9</v>
      </c>
      <c r="I1500">
        <f t="shared" si="254"/>
        <v>10</v>
      </c>
      <c r="J1500">
        <f t="shared" si="255"/>
        <v>1463</v>
      </c>
      <c r="K1500" s="5">
        <f t="shared" si="256"/>
        <v>0</v>
      </c>
      <c r="L1500">
        <f t="shared" si="257"/>
        <v>95</v>
      </c>
      <c r="M1500">
        <f t="shared" si="258"/>
        <v>1</v>
      </c>
      <c r="N1500">
        <f t="shared" si="259"/>
        <v>0</v>
      </c>
    </row>
    <row r="1501" spans="4:14" x14ac:dyDescent="0.2">
      <c r="D1501">
        <f t="shared" si="261"/>
        <v>1478</v>
      </c>
      <c r="E1501" s="1">
        <f t="shared" si="262"/>
        <v>-13.109457589731452</v>
      </c>
      <c r="F1501" s="1">
        <f t="shared" si="263"/>
        <v>-15.445167304261183</v>
      </c>
      <c r="G1501" s="1">
        <f t="shared" si="260"/>
        <v>1.9599683922260963E-7</v>
      </c>
      <c r="H1501" s="1">
        <f t="shared" si="253"/>
        <v>2.0156492360827473E-9</v>
      </c>
      <c r="I1501">
        <f t="shared" si="254"/>
        <v>10</v>
      </c>
      <c r="J1501">
        <f t="shared" si="255"/>
        <v>1464</v>
      </c>
      <c r="K1501" s="5">
        <f t="shared" si="256"/>
        <v>0</v>
      </c>
      <c r="L1501">
        <f t="shared" si="257"/>
        <v>95</v>
      </c>
      <c r="M1501">
        <f t="shared" si="258"/>
        <v>1</v>
      </c>
      <c r="N1501">
        <f t="shared" si="259"/>
        <v>0</v>
      </c>
    </row>
    <row r="1502" spans="4:14" x14ac:dyDescent="0.2">
      <c r="D1502">
        <f t="shared" si="261"/>
        <v>1479</v>
      </c>
      <c r="E1502" s="1">
        <f t="shared" si="262"/>
        <v>-13.119928889598746</v>
      </c>
      <c r="F1502" s="1">
        <f t="shared" si="263"/>
        <v>-15.455638604128477</v>
      </c>
      <c r="G1502" s="1">
        <f t="shared" si="260"/>
        <v>1.9395520548070763E-7</v>
      </c>
      <c r="H1502" s="1">
        <f t="shared" si="253"/>
        <v>1.9946528898735536E-9</v>
      </c>
      <c r="I1502">
        <f t="shared" si="254"/>
        <v>10</v>
      </c>
      <c r="J1502">
        <f t="shared" si="255"/>
        <v>1465</v>
      </c>
      <c r="K1502" s="5">
        <f t="shared" si="256"/>
        <v>0</v>
      </c>
      <c r="L1502">
        <f t="shared" si="257"/>
        <v>95</v>
      </c>
      <c r="M1502">
        <f t="shared" si="258"/>
        <v>1</v>
      </c>
      <c r="N1502">
        <f t="shared" si="259"/>
        <v>0</v>
      </c>
    </row>
    <row r="1503" spans="4:14" x14ac:dyDescent="0.2">
      <c r="D1503">
        <f t="shared" si="261"/>
        <v>1480</v>
      </c>
      <c r="E1503" s="1">
        <f t="shared" si="262"/>
        <v>-13.130400189466041</v>
      </c>
      <c r="F1503" s="1">
        <f t="shared" si="263"/>
        <v>-15.466109903995772</v>
      </c>
      <c r="G1503" s="1">
        <f t="shared" si="260"/>
        <v>1.9193483875695044E-7</v>
      </c>
      <c r="H1503" s="1">
        <f t="shared" si="253"/>
        <v>1.9738752556040394E-9</v>
      </c>
      <c r="I1503">
        <f t="shared" si="254"/>
        <v>10</v>
      </c>
      <c r="J1503">
        <f t="shared" si="255"/>
        <v>1466</v>
      </c>
      <c r="K1503" s="5">
        <f t="shared" si="256"/>
        <v>0</v>
      </c>
      <c r="L1503">
        <f t="shared" si="257"/>
        <v>95</v>
      </c>
      <c r="M1503">
        <f t="shared" si="258"/>
        <v>1</v>
      </c>
      <c r="N1503">
        <f t="shared" si="259"/>
        <v>0</v>
      </c>
    </row>
    <row r="1504" spans="4:14" x14ac:dyDescent="0.2">
      <c r="D1504">
        <f t="shared" si="261"/>
        <v>1481</v>
      </c>
      <c r="E1504" s="1">
        <f t="shared" si="262"/>
        <v>-13.140871489333335</v>
      </c>
      <c r="F1504" s="1">
        <f t="shared" si="263"/>
        <v>-15.476581203863066</v>
      </c>
      <c r="G1504" s="1">
        <f t="shared" si="260"/>
        <v>1.8993551751989904E-7</v>
      </c>
      <c r="H1504" s="1">
        <f t="shared" si="253"/>
        <v>1.9533140550248325E-9</v>
      </c>
      <c r="I1504">
        <f t="shared" si="254"/>
        <v>10</v>
      </c>
      <c r="J1504">
        <f t="shared" si="255"/>
        <v>1467</v>
      </c>
      <c r="K1504" s="5">
        <f t="shared" si="256"/>
        <v>0</v>
      </c>
      <c r="L1504">
        <f t="shared" si="257"/>
        <v>95</v>
      </c>
      <c r="M1504">
        <f t="shared" si="258"/>
        <v>1</v>
      </c>
      <c r="N1504">
        <f t="shared" si="259"/>
        <v>0</v>
      </c>
    </row>
    <row r="1505" spans="4:14" x14ac:dyDescent="0.2">
      <c r="D1505">
        <f t="shared" si="261"/>
        <v>1482</v>
      </c>
      <c r="E1505" s="1">
        <f t="shared" si="262"/>
        <v>-13.15134278920063</v>
      </c>
      <c r="F1505" s="1">
        <f t="shared" si="263"/>
        <v>-15.487052503730361</v>
      </c>
      <c r="G1505" s="1">
        <f t="shared" si="260"/>
        <v>1.8795702254573361E-7</v>
      </c>
      <c r="H1505" s="1">
        <f t="shared" si="253"/>
        <v>1.9329670336183258E-9</v>
      </c>
      <c r="I1505">
        <f t="shared" si="254"/>
        <v>10</v>
      </c>
      <c r="J1505">
        <f t="shared" si="255"/>
        <v>1468</v>
      </c>
      <c r="K1505" s="5">
        <f t="shared" si="256"/>
        <v>0</v>
      </c>
      <c r="L1505">
        <f t="shared" si="257"/>
        <v>95</v>
      </c>
      <c r="M1505">
        <f t="shared" si="258"/>
        <v>1</v>
      </c>
      <c r="N1505">
        <f t="shared" si="259"/>
        <v>0</v>
      </c>
    </row>
    <row r="1506" spans="4:14" x14ac:dyDescent="0.2">
      <c r="D1506">
        <f t="shared" si="261"/>
        <v>1483</v>
      </c>
      <c r="E1506" s="1">
        <f t="shared" si="262"/>
        <v>-13.161814089067924</v>
      </c>
      <c r="F1506" s="1">
        <f t="shared" si="263"/>
        <v>-15.497523803597655</v>
      </c>
      <c r="G1506" s="1">
        <f t="shared" si="260"/>
        <v>1.8599913689421574E-7</v>
      </c>
      <c r="H1506" s="1">
        <f t="shared" si="253"/>
        <v>1.9128319603514702E-9</v>
      </c>
      <c r="I1506">
        <f t="shared" si="254"/>
        <v>10</v>
      </c>
      <c r="J1506">
        <f t="shared" si="255"/>
        <v>1469</v>
      </c>
      <c r="K1506" s="5">
        <f t="shared" si="256"/>
        <v>0</v>
      </c>
      <c r="L1506">
        <f t="shared" si="257"/>
        <v>95</v>
      </c>
      <c r="M1506">
        <f t="shared" si="258"/>
        <v>1</v>
      </c>
      <c r="N1506">
        <f t="shared" si="259"/>
        <v>0</v>
      </c>
    </row>
    <row r="1507" spans="4:14" x14ac:dyDescent="0.2">
      <c r="D1507">
        <f t="shared" si="261"/>
        <v>1484</v>
      </c>
      <c r="E1507" s="1">
        <f t="shared" si="262"/>
        <v>-13.172285388935219</v>
      </c>
      <c r="F1507" s="1">
        <f t="shared" si="263"/>
        <v>-15.50799510346495</v>
      </c>
      <c r="G1507" s="1">
        <f t="shared" si="260"/>
        <v>1.8406164588490115E-7</v>
      </c>
      <c r="H1507" s="1">
        <f t="shared" si="253"/>
        <v>1.8929066274311438E-9</v>
      </c>
      <c r="I1507">
        <f t="shared" si="254"/>
        <v>10</v>
      </c>
      <c r="J1507">
        <f t="shared" si="255"/>
        <v>1470</v>
      </c>
      <c r="K1507" s="5">
        <f t="shared" si="256"/>
        <v>0</v>
      </c>
      <c r="L1507">
        <f t="shared" si="257"/>
        <v>95</v>
      </c>
      <c r="M1507">
        <f t="shared" si="258"/>
        <v>1</v>
      </c>
      <c r="N1507">
        <f t="shared" si="259"/>
        <v>0</v>
      </c>
    </row>
    <row r="1508" spans="4:14" x14ac:dyDescent="0.2">
      <c r="D1508">
        <f t="shared" si="261"/>
        <v>1485</v>
      </c>
      <c r="E1508" s="1">
        <f t="shared" si="262"/>
        <v>-13.182756688802513</v>
      </c>
      <c r="F1508" s="1">
        <f t="shared" si="263"/>
        <v>-15.518466403332244</v>
      </c>
      <c r="G1508" s="1">
        <f t="shared" si="260"/>
        <v>1.8214433707360028E-7</v>
      </c>
      <c r="H1508" s="1">
        <f t="shared" si="253"/>
        <v>1.8731888500620715E-9</v>
      </c>
      <c r="I1508">
        <f t="shared" si="254"/>
        <v>10</v>
      </c>
      <c r="J1508">
        <f t="shared" si="255"/>
        <v>1471</v>
      </c>
      <c r="K1508" s="5">
        <f t="shared" si="256"/>
        <v>0</v>
      </c>
      <c r="L1508">
        <f t="shared" si="257"/>
        <v>95</v>
      </c>
      <c r="M1508">
        <f t="shared" si="258"/>
        <v>1</v>
      </c>
      <c r="N1508">
        <f t="shared" si="259"/>
        <v>0</v>
      </c>
    </row>
    <row r="1509" spans="4:14" x14ac:dyDescent="0.2">
      <c r="D1509">
        <f t="shared" si="261"/>
        <v>1486</v>
      </c>
      <c r="E1509" s="1">
        <f t="shared" si="262"/>
        <v>-13.193227988669808</v>
      </c>
      <c r="F1509" s="1">
        <f t="shared" si="263"/>
        <v>-15.528937703199539</v>
      </c>
      <c r="G1509" s="1">
        <f t="shared" si="260"/>
        <v>1.8024700022908378E-7</v>
      </c>
      <c r="H1509" s="1">
        <f t="shared" si="253"/>
        <v>1.8536764662072598E-9</v>
      </c>
      <c r="I1509">
        <f t="shared" si="254"/>
        <v>10</v>
      </c>
      <c r="J1509">
        <f t="shared" si="255"/>
        <v>1472</v>
      </c>
      <c r="K1509" s="5">
        <f t="shared" si="256"/>
        <v>0</v>
      </c>
      <c r="L1509">
        <f t="shared" si="257"/>
        <v>95</v>
      </c>
      <c r="M1509">
        <f t="shared" si="258"/>
        <v>1</v>
      </c>
      <c r="N1509">
        <f t="shared" si="259"/>
        <v>0</v>
      </c>
    </row>
    <row r="1510" spans="4:14" x14ac:dyDescent="0.2">
      <c r="D1510">
        <f t="shared" si="261"/>
        <v>1487</v>
      </c>
      <c r="E1510" s="1">
        <f t="shared" si="262"/>
        <v>-13.203699288537102</v>
      </c>
      <c r="F1510" s="1">
        <f t="shared" si="263"/>
        <v>-15.539409003066833</v>
      </c>
      <c r="G1510" s="1">
        <f t="shared" si="260"/>
        <v>1.7836942731003099E-7</v>
      </c>
      <c r="H1510" s="1">
        <f t="shared" si="253"/>
        <v>1.8343673363509358E-9</v>
      </c>
      <c r="I1510">
        <f t="shared" si="254"/>
        <v>10</v>
      </c>
      <c r="J1510">
        <f t="shared" si="255"/>
        <v>1473</v>
      </c>
      <c r="K1510" s="5">
        <f t="shared" si="256"/>
        <v>0</v>
      </c>
      <c r="L1510">
        <f t="shared" si="257"/>
        <v>95</v>
      </c>
      <c r="M1510">
        <f t="shared" si="258"/>
        <v>1</v>
      </c>
      <c r="N1510">
        <f t="shared" si="259"/>
        <v>0</v>
      </c>
    </row>
    <row r="1511" spans="4:14" x14ac:dyDescent="0.2">
      <c r="D1511">
        <f t="shared" si="261"/>
        <v>1488</v>
      </c>
      <c r="E1511" s="1">
        <f t="shared" si="262"/>
        <v>-13.214170588404397</v>
      </c>
      <c r="F1511" s="1">
        <f t="shared" si="263"/>
        <v>-15.549880302934127</v>
      </c>
      <c r="G1511" s="1">
        <f t="shared" si="260"/>
        <v>1.7651141244221835E-7</v>
      </c>
      <c r="H1511" s="1">
        <f t="shared" si="253"/>
        <v>1.815259343263949E-9</v>
      </c>
      <c r="I1511">
        <f t="shared" si="254"/>
        <v>10</v>
      </c>
      <c r="J1511">
        <f t="shared" si="255"/>
        <v>1474</v>
      </c>
      <c r="K1511" s="5">
        <f t="shared" si="256"/>
        <v>0</v>
      </c>
      <c r="L1511">
        <f t="shared" si="257"/>
        <v>95</v>
      </c>
      <c r="M1511">
        <f t="shared" si="258"/>
        <v>1</v>
      </c>
      <c r="N1511">
        <f t="shared" si="259"/>
        <v>0</v>
      </c>
    </row>
    <row r="1512" spans="4:14" x14ac:dyDescent="0.2">
      <c r="D1512">
        <f t="shared" si="261"/>
        <v>1489</v>
      </c>
      <c r="E1512" s="1">
        <f t="shared" si="262"/>
        <v>-13.224641888271691</v>
      </c>
      <c r="F1512" s="1">
        <f t="shared" si="263"/>
        <v>-15.560351602801422</v>
      </c>
      <c r="G1512" s="1">
        <f t="shared" si="260"/>
        <v>1.7467275189594541E-7</v>
      </c>
      <c r="H1512" s="1">
        <f t="shared" si="253"/>
        <v>1.7963503917716178E-9</v>
      </c>
      <c r="I1512">
        <f t="shared" si="254"/>
        <v>10</v>
      </c>
      <c r="J1512">
        <f t="shared" si="255"/>
        <v>1475</v>
      </c>
      <c r="K1512" s="5">
        <f t="shared" si="256"/>
        <v>0</v>
      </c>
      <c r="L1512">
        <f t="shared" si="257"/>
        <v>95</v>
      </c>
      <c r="M1512">
        <f t="shared" si="258"/>
        <v>1</v>
      </c>
      <c r="N1512">
        <f t="shared" si="259"/>
        <v>0</v>
      </c>
    </row>
    <row r="1513" spans="4:14" x14ac:dyDescent="0.2">
      <c r="D1513">
        <f t="shared" si="261"/>
        <v>1490</v>
      </c>
      <c r="E1513" s="1">
        <f t="shared" si="262"/>
        <v>-13.235113188138985</v>
      </c>
      <c r="F1513" s="1">
        <f t="shared" si="263"/>
        <v>-15.570822902668716</v>
      </c>
      <c r="G1513" s="1">
        <f t="shared" si="260"/>
        <v>1.7285324406369614E-7</v>
      </c>
      <c r="H1513" s="1">
        <f t="shared" si="253"/>
        <v>1.7776384085239984E-9</v>
      </c>
      <c r="I1513">
        <f t="shared" si="254"/>
        <v>10</v>
      </c>
      <c r="J1513">
        <f t="shared" si="255"/>
        <v>1476</v>
      </c>
      <c r="K1513" s="5">
        <f t="shared" si="256"/>
        <v>0</v>
      </c>
      <c r="L1513">
        <f t="shared" si="257"/>
        <v>95</v>
      </c>
      <c r="M1513">
        <f t="shared" si="258"/>
        <v>1</v>
      </c>
      <c r="N1513">
        <f t="shared" si="259"/>
        <v>0</v>
      </c>
    </row>
    <row r="1514" spans="4:14" x14ac:dyDescent="0.2">
      <c r="D1514">
        <f t="shared" si="261"/>
        <v>1491</v>
      </c>
      <c r="E1514" s="1">
        <f t="shared" si="262"/>
        <v>-13.24558448800628</v>
      </c>
      <c r="F1514" s="1">
        <f t="shared" si="263"/>
        <v>-15.581294202536011</v>
      </c>
      <c r="G1514" s="1">
        <f t="shared" si="260"/>
        <v>1.7105268943803279E-7</v>
      </c>
      <c r="H1514" s="1">
        <f t="shared" si="253"/>
        <v>1.7591213417685417E-9</v>
      </c>
      <c r="I1514">
        <f t="shared" si="254"/>
        <v>10</v>
      </c>
      <c r="J1514">
        <f t="shared" si="255"/>
        <v>1477</v>
      </c>
      <c r="K1514" s="5">
        <f t="shared" si="256"/>
        <v>0</v>
      </c>
      <c r="L1514">
        <f t="shared" si="257"/>
        <v>95</v>
      </c>
      <c r="M1514">
        <f t="shared" si="258"/>
        <v>1</v>
      </c>
      <c r="N1514">
        <f t="shared" si="259"/>
        <v>0</v>
      </c>
    </row>
    <row r="1515" spans="4:14" x14ac:dyDescent="0.2">
      <c r="D1515">
        <f t="shared" si="261"/>
        <v>1492</v>
      </c>
      <c r="E1515" s="1">
        <f t="shared" si="262"/>
        <v>-13.256055787873574</v>
      </c>
      <c r="F1515" s="1">
        <f t="shared" si="263"/>
        <v>-15.591765502403305</v>
      </c>
      <c r="G1515" s="1">
        <f t="shared" si="260"/>
        <v>1.6927089058972012E-7</v>
      </c>
      <c r="H1515" s="1">
        <f t="shared" si="253"/>
        <v>1.7407971611251211E-9</v>
      </c>
      <c r="I1515">
        <f t="shared" si="254"/>
        <v>10</v>
      </c>
      <c r="J1515">
        <f t="shared" si="255"/>
        <v>1478</v>
      </c>
      <c r="K1515" s="5">
        <f t="shared" si="256"/>
        <v>0</v>
      </c>
      <c r="L1515">
        <f t="shared" si="257"/>
        <v>95</v>
      </c>
      <c r="M1515">
        <f t="shared" si="258"/>
        <v>1</v>
      </c>
      <c r="N1515">
        <f t="shared" si="259"/>
        <v>0</v>
      </c>
    </row>
    <row r="1516" spans="4:14" x14ac:dyDescent="0.2">
      <c r="D1516">
        <f t="shared" si="261"/>
        <v>1493</v>
      </c>
      <c r="E1516" s="1">
        <f t="shared" si="262"/>
        <v>-13.266527087740869</v>
      </c>
      <c r="F1516" s="1">
        <f t="shared" si="263"/>
        <v>-15.6022368022706</v>
      </c>
      <c r="G1516" s="1">
        <f t="shared" si="260"/>
        <v>1.6750765214607737E-7</v>
      </c>
      <c r="H1516" s="1">
        <f t="shared" si="253"/>
        <v>1.7226638573634029E-9</v>
      </c>
      <c r="I1516">
        <f t="shared" si="254"/>
        <v>10</v>
      </c>
      <c r="J1516">
        <f t="shared" si="255"/>
        <v>1479</v>
      </c>
      <c r="K1516" s="5">
        <f t="shared" si="256"/>
        <v>0</v>
      </c>
      <c r="L1516">
        <f t="shared" si="257"/>
        <v>95</v>
      </c>
      <c r="M1516">
        <f t="shared" si="258"/>
        <v>1</v>
      </c>
      <c r="N1516">
        <f t="shared" si="259"/>
        <v>0</v>
      </c>
    </row>
    <row r="1517" spans="4:14" x14ac:dyDescent="0.2">
      <c r="D1517">
        <f t="shared" si="261"/>
        <v>1494</v>
      </c>
      <c r="E1517" s="1">
        <f t="shared" si="262"/>
        <v>-13.276998387608163</v>
      </c>
      <c r="F1517" s="1">
        <f t="shared" si="263"/>
        <v>-15.612708102137894</v>
      </c>
      <c r="G1517" s="1">
        <f t="shared" si="260"/>
        <v>1.6576278076955587E-7</v>
      </c>
      <c r="H1517" s="1">
        <f t="shared" si="253"/>
        <v>1.7047194421825356E-9</v>
      </c>
      <c r="I1517">
        <f t="shared" si="254"/>
        <v>10</v>
      </c>
      <c r="J1517">
        <f t="shared" si="255"/>
        <v>1480</v>
      </c>
      <c r="K1517" s="5">
        <f t="shared" si="256"/>
        <v>0</v>
      </c>
      <c r="L1517">
        <f t="shared" si="257"/>
        <v>95</v>
      </c>
      <c r="M1517">
        <f t="shared" si="258"/>
        <v>1</v>
      </c>
      <c r="N1517">
        <f t="shared" si="259"/>
        <v>0</v>
      </c>
    </row>
    <row r="1518" spans="4:14" x14ac:dyDescent="0.2">
      <c r="D1518">
        <f t="shared" si="261"/>
        <v>1495</v>
      </c>
      <c r="E1518" s="1">
        <f t="shared" si="262"/>
        <v>-13.287469687475458</v>
      </c>
      <c r="F1518" s="1">
        <f t="shared" si="263"/>
        <v>-15.623179402005189</v>
      </c>
      <c r="G1518" s="1">
        <f t="shared" si="260"/>
        <v>1.6403608513653982E-7</v>
      </c>
      <c r="H1518" s="1">
        <f t="shared" si="253"/>
        <v>1.6869619479931357E-9</v>
      </c>
      <c r="I1518">
        <f t="shared" si="254"/>
        <v>10</v>
      </c>
      <c r="J1518">
        <f t="shared" si="255"/>
        <v>1481</v>
      </c>
      <c r="K1518" s="5">
        <f t="shared" si="256"/>
        <v>0</v>
      </c>
      <c r="L1518">
        <f t="shared" si="257"/>
        <v>95</v>
      </c>
      <c r="M1518">
        <f t="shared" si="258"/>
        <v>1</v>
      </c>
      <c r="N1518">
        <f t="shared" si="259"/>
        <v>0</v>
      </c>
    </row>
    <row r="1519" spans="4:14" x14ac:dyDescent="0.2">
      <c r="D1519">
        <f t="shared" si="261"/>
        <v>1496</v>
      </c>
      <c r="E1519" s="1">
        <f t="shared" si="262"/>
        <v>-13.297940987342752</v>
      </c>
      <c r="F1519" s="1">
        <f t="shared" si="263"/>
        <v>-15.633650701872483</v>
      </c>
      <c r="G1519" s="1">
        <f t="shared" si="260"/>
        <v>1.6232737591636771E-7</v>
      </c>
      <c r="H1519" s="1">
        <f t="shared" si="253"/>
        <v>1.6693894277015423E-9</v>
      </c>
      <c r="I1519">
        <f t="shared" si="254"/>
        <v>10</v>
      </c>
      <c r="J1519">
        <f t="shared" si="255"/>
        <v>1482</v>
      </c>
      <c r="K1519" s="5">
        <f t="shared" si="256"/>
        <v>0</v>
      </c>
      <c r="L1519">
        <f t="shared" si="257"/>
        <v>95</v>
      </c>
      <c r="M1519">
        <f t="shared" si="258"/>
        <v>1</v>
      </c>
      <c r="N1519">
        <f t="shared" si="259"/>
        <v>0</v>
      </c>
    </row>
    <row r="1520" spans="4:14" x14ac:dyDescent="0.2">
      <c r="D1520">
        <f t="shared" si="261"/>
        <v>1497</v>
      </c>
      <c r="E1520" s="1">
        <f t="shared" si="262"/>
        <v>-13.308412287210047</v>
      </c>
      <c r="F1520" s="1">
        <f t="shared" si="263"/>
        <v>-15.644122001739778</v>
      </c>
      <c r="G1520" s="1">
        <f t="shared" si="260"/>
        <v>1.6063646575057236E-7</v>
      </c>
      <c r="H1520" s="1">
        <f t="shared" si="253"/>
        <v>1.6519999544963196E-9</v>
      </c>
      <c r="I1520">
        <f t="shared" si="254"/>
        <v>10</v>
      </c>
      <c r="J1520">
        <f t="shared" si="255"/>
        <v>1483</v>
      </c>
      <c r="K1520" s="5">
        <f t="shared" si="256"/>
        <v>0</v>
      </c>
      <c r="L1520">
        <f t="shared" si="257"/>
        <v>95</v>
      </c>
      <c r="M1520">
        <f t="shared" si="258"/>
        <v>1</v>
      </c>
      <c r="N1520">
        <f t="shared" si="259"/>
        <v>0</v>
      </c>
    </row>
    <row r="1521" spans="4:14" x14ac:dyDescent="0.2">
      <c r="D1521">
        <f t="shared" si="261"/>
        <v>1498</v>
      </c>
      <c r="E1521" s="1">
        <f t="shared" si="262"/>
        <v>-13.318883587077341</v>
      </c>
      <c r="F1521" s="1">
        <f t="shared" si="263"/>
        <v>-15.654593301607072</v>
      </c>
      <c r="G1521" s="1">
        <f t="shared" si="260"/>
        <v>1.5896316923233738E-7</v>
      </c>
      <c r="H1521" s="1">
        <f t="shared" si="253"/>
        <v>1.6347916216369843E-9</v>
      </c>
      <c r="I1521">
        <f t="shared" si="254"/>
        <v>10</v>
      </c>
      <c r="J1521">
        <f t="shared" si="255"/>
        <v>1484</v>
      </c>
      <c r="K1521" s="5">
        <f t="shared" si="256"/>
        <v>0</v>
      </c>
      <c r="L1521">
        <f t="shared" si="257"/>
        <v>95</v>
      </c>
      <c r="M1521">
        <f t="shared" si="258"/>
        <v>1</v>
      </c>
      <c r="N1521">
        <f t="shared" si="259"/>
        <v>0</v>
      </c>
    </row>
    <row r="1522" spans="4:14" x14ac:dyDescent="0.2">
      <c r="D1522">
        <f t="shared" si="261"/>
        <v>1499</v>
      </c>
      <c r="E1522" s="1">
        <f t="shared" si="262"/>
        <v>-13.329354886944635</v>
      </c>
      <c r="F1522" s="1">
        <f t="shared" si="263"/>
        <v>-15.665064601474366</v>
      </c>
      <c r="G1522" s="1">
        <f t="shared" si="260"/>
        <v>1.5730730288616736E-7</v>
      </c>
      <c r="H1522" s="1">
        <f t="shared" si="253"/>
        <v>1.617762542244934E-9</v>
      </c>
      <c r="I1522">
        <f t="shared" si="254"/>
        <v>10</v>
      </c>
      <c r="J1522">
        <f t="shared" si="255"/>
        <v>1485</v>
      </c>
      <c r="K1522" s="5">
        <f t="shared" si="256"/>
        <v>0</v>
      </c>
      <c r="L1522">
        <f t="shared" si="257"/>
        <v>95</v>
      </c>
      <c r="M1522">
        <f t="shared" si="258"/>
        <v>1</v>
      </c>
      <c r="N1522">
        <f t="shared" si="259"/>
        <v>0</v>
      </c>
    </row>
    <row r="1523" spans="4:14" x14ac:dyDescent="0.2">
      <c r="D1523">
        <f t="shared" si="261"/>
        <v>1500</v>
      </c>
      <c r="E1523" s="1">
        <f t="shared" si="262"/>
        <v>-13.33982618681193</v>
      </c>
      <c r="F1523" s="1">
        <f t="shared" si="263"/>
        <v>-15.675535901341661</v>
      </c>
      <c r="G1523" s="1">
        <f t="shared" si="260"/>
        <v>1.5566868514776991E-7</v>
      </c>
      <c r="H1523" s="1">
        <f t="shared" si="253"/>
        <v>1.6009108490965507E-9</v>
      </c>
      <c r="I1523">
        <f t="shared" si="254"/>
        <v>10</v>
      </c>
      <c r="J1523">
        <f t="shared" si="255"/>
        <v>1486</v>
      </c>
      <c r="K1523" s="5">
        <f t="shared" si="256"/>
        <v>0</v>
      </c>
      <c r="L1523">
        <f t="shared" si="257"/>
        <v>95</v>
      </c>
      <c r="M1523">
        <f t="shared" si="258"/>
        <v>1</v>
      </c>
      <c r="N1523">
        <f t="shared" si="259"/>
        <v>0</v>
      </c>
    </row>
    <row r="1524" spans="4:14" x14ac:dyDescent="0.2">
      <c r="D1524">
        <f t="shared" si="261"/>
        <v>1501</v>
      </c>
      <c r="E1524" s="1">
        <f t="shared" si="262"/>
        <v>-13.350297486679224</v>
      </c>
      <c r="F1524" s="1">
        <f t="shared" si="263"/>
        <v>-15.686007201208955</v>
      </c>
      <c r="G1524" s="1">
        <f t="shared" si="260"/>
        <v>1.5404713634414747E-7</v>
      </c>
      <c r="H1524" s="1">
        <f t="shared" si="253"/>
        <v>1.5842346944184632E-9</v>
      </c>
      <c r="I1524">
        <f t="shared" si="254"/>
        <v>10</v>
      </c>
      <c r="J1524">
        <f t="shared" si="255"/>
        <v>1487</v>
      </c>
      <c r="K1524" s="5">
        <f t="shared" si="256"/>
        <v>0</v>
      </c>
      <c r="L1524">
        <f t="shared" si="257"/>
        <v>95</v>
      </c>
      <c r="M1524">
        <f t="shared" si="258"/>
        <v>1</v>
      </c>
      <c r="N1524">
        <f t="shared" si="259"/>
        <v>0</v>
      </c>
    </row>
    <row r="1525" spans="4:14" x14ac:dyDescent="0.2">
      <c r="D1525">
        <f t="shared" si="261"/>
        <v>1502</v>
      </c>
      <c r="E1525" s="1">
        <f t="shared" si="262"/>
        <v>-13.360768786546519</v>
      </c>
      <c r="F1525" s="1">
        <f t="shared" si="263"/>
        <v>-15.69647850107625</v>
      </c>
      <c r="G1525" s="1">
        <f t="shared" si="260"/>
        <v>1.5244247867389607E-7</v>
      </c>
      <c r="H1525" s="1">
        <f t="shared" si="253"/>
        <v>1.5677322496849391E-9</v>
      </c>
      <c r="I1525">
        <f t="shared" si="254"/>
        <v>10</v>
      </c>
      <c r="J1525">
        <f t="shared" si="255"/>
        <v>1488</v>
      </c>
      <c r="K1525" s="5">
        <f t="shared" si="256"/>
        <v>0</v>
      </c>
      <c r="L1525">
        <f t="shared" si="257"/>
        <v>95</v>
      </c>
      <c r="M1525">
        <f t="shared" si="258"/>
        <v>1</v>
      </c>
      <c r="N1525">
        <f t="shared" si="259"/>
        <v>0</v>
      </c>
    </row>
    <row r="1526" spans="4:14" x14ac:dyDescent="0.2">
      <c r="D1526">
        <f t="shared" si="261"/>
        <v>1503</v>
      </c>
      <c r="E1526" s="1">
        <f t="shared" si="262"/>
        <v>-13.371240086413813</v>
      </c>
      <c r="F1526" s="1">
        <f t="shared" si="263"/>
        <v>-15.706949800943544</v>
      </c>
      <c r="G1526" s="1">
        <f t="shared" si="260"/>
        <v>1.508545361877098E-7</v>
      </c>
      <c r="H1526" s="1">
        <f t="shared" si="253"/>
        <v>1.551401705417389E-9</v>
      </c>
      <c r="I1526">
        <f t="shared" si="254"/>
        <v>10</v>
      </c>
      <c r="J1526">
        <f t="shared" si="255"/>
        <v>1489</v>
      </c>
      <c r="K1526" s="5">
        <f t="shared" si="256"/>
        <v>0</v>
      </c>
      <c r="L1526">
        <f t="shared" si="257"/>
        <v>95</v>
      </c>
      <c r="M1526">
        <f t="shared" si="258"/>
        <v>1</v>
      </c>
      <c r="N1526">
        <f t="shared" si="259"/>
        <v>0</v>
      </c>
    </row>
    <row r="1527" spans="4:14" x14ac:dyDescent="0.2">
      <c r="D1527">
        <f t="shared" si="261"/>
        <v>1504</v>
      </c>
      <c r="E1527" s="1">
        <f t="shared" si="262"/>
        <v>-13.381711386281108</v>
      </c>
      <c r="F1527" s="1">
        <f t="shared" si="263"/>
        <v>-15.717421100810839</v>
      </c>
      <c r="G1527" s="1">
        <f t="shared" si="260"/>
        <v>1.4928313476908795E-7</v>
      </c>
      <c r="H1527" s="1">
        <f t="shared" si="253"/>
        <v>1.5352412709859592E-9</v>
      </c>
      <c r="I1527">
        <f t="shared" si="254"/>
        <v>10</v>
      </c>
      <c r="J1527">
        <f t="shared" si="255"/>
        <v>1490</v>
      </c>
      <c r="K1527" s="5">
        <f t="shared" si="256"/>
        <v>0</v>
      </c>
      <c r="L1527">
        <f t="shared" si="257"/>
        <v>95</v>
      </c>
      <c r="M1527">
        <f t="shared" si="258"/>
        <v>1</v>
      </c>
      <c r="N1527">
        <f t="shared" si="259"/>
        <v>0</v>
      </c>
    </row>
    <row r="1528" spans="4:14" x14ac:dyDescent="0.2">
      <c r="D1528">
        <f t="shared" si="261"/>
        <v>1505</v>
      </c>
      <c r="E1528" s="1">
        <f t="shared" si="262"/>
        <v>-13.392182686148402</v>
      </c>
      <c r="F1528" s="1">
        <f t="shared" si="263"/>
        <v>-15.727892400678133</v>
      </c>
      <c r="G1528" s="1">
        <f t="shared" si="260"/>
        <v>1.4772810211524345E-7</v>
      </c>
      <c r="H1528" s="1">
        <f t="shared" si="253"/>
        <v>1.5192491744131905E-9</v>
      </c>
      <c r="I1528">
        <f t="shared" si="254"/>
        <v>10</v>
      </c>
      <c r="J1528">
        <f t="shared" si="255"/>
        <v>1491</v>
      </c>
      <c r="K1528" s="5">
        <f t="shared" si="256"/>
        <v>0</v>
      </c>
      <c r="L1528">
        <f t="shared" si="257"/>
        <v>95</v>
      </c>
      <c r="M1528">
        <f t="shared" si="258"/>
        <v>1</v>
      </c>
      <c r="N1528">
        <f t="shared" si="259"/>
        <v>0</v>
      </c>
    </row>
    <row r="1529" spans="4:14" x14ac:dyDescent="0.2">
      <c r="D1529">
        <f t="shared" si="261"/>
        <v>1506</v>
      </c>
      <c r="E1529" s="1">
        <f t="shared" si="262"/>
        <v>-13.402653986015697</v>
      </c>
      <c r="F1529" s="1">
        <f t="shared" si="263"/>
        <v>-15.738363700545428</v>
      </c>
      <c r="G1529" s="1">
        <f t="shared" si="260"/>
        <v>1.461892677182098E-7</v>
      </c>
      <c r="H1529" s="1">
        <f t="shared" si="253"/>
        <v>1.5034236621797211E-9</v>
      </c>
      <c r="I1529">
        <f t="shared" si="254"/>
        <v>10</v>
      </c>
      <c r="J1529">
        <f t="shared" si="255"/>
        <v>1492</v>
      </c>
      <c r="K1529" s="5">
        <f t="shared" si="256"/>
        <v>0</v>
      </c>
      <c r="L1529">
        <f t="shared" si="257"/>
        <v>95</v>
      </c>
      <c r="M1529">
        <f t="shared" si="258"/>
        <v>1</v>
      </c>
      <c r="N1529">
        <f t="shared" si="259"/>
        <v>0</v>
      </c>
    </row>
    <row r="1530" spans="4:14" x14ac:dyDescent="0.2">
      <c r="D1530">
        <f t="shared" si="261"/>
        <v>1507</v>
      </c>
      <c r="E1530" s="1">
        <f t="shared" si="262"/>
        <v>-13.413125285882991</v>
      </c>
      <c r="F1530" s="1">
        <f t="shared" si="263"/>
        <v>-15.748835000412722</v>
      </c>
      <c r="G1530" s="1">
        <f t="shared" si="260"/>
        <v>1.4466646284614525E-7</v>
      </c>
      <c r="H1530" s="1">
        <f t="shared" si="253"/>
        <v>1.4877629990320171E-9</v>
      </c>
      <c r="I1530">
        <f t="shared" si="254"/>
        <v>10</v>
      </c>
      <c r="J1530">
        <f t="shared" si="255"/>
        <v>1493</v>
      </c>
      <c r="K1530" s="5">
        <f t="shared" si="256"/>
        <v>0</v>
      </c>
      <c r="L1530">
        <f t="shared" si="257"/>
        <v>95</v>
      </c>
      <c r="M1530">
        <f t="shared" si="258"/>
        <v>1</v>
      </c>
      <c r="N1530">
        <f t="shared" si="259"/>
        <v>0</v>
      </c>
    </row>
    <row r="1531" spans="4:14" x14ac:dyDescent="0.2">
      <c r="D1531">
        <f t="shared" si="261"/>
        <v>1508</v>
      </c>
      <c r="E1531" s="1">
        <f t="shared" si="262"/>
        <v>-13.423596585750285</v>
      </c>
      <c r="F1531" s="1">
        <f t="shared" si="263"/>
        <v>-15.759306300280016</v>
      </c>
      <c r="G1531" s="1">
        <f t="shared" si="260"/>
        <v>1.4315952052483138E-7</v>
      </c>
      <c r="H1531" s="1">
        <f t="shared" si="253"/>
        <v>1.4722654677921019E-9</v>
      </c>
      <c r="I1531">
        <f t="shared" si="254"/>
        <v>10</v>
      </c>
      <c r="J1531">
        <f t="shared" si="255"/>
        <v>1494</v>
      </c>
      <c r="K1531" s="5">
        <f t="shared" si="256"/>
        <v>0</v>
      </c>
      <c r="L1531">
        <f t="shared" si="257"/>
        <v>95</v>
      </c>
      <c r="M1531">
        <f t="shared" si="258"/>
        <v>1</v>
      </c>
      <c r="N1531">
        <f t="shared" si="259"/>
        <v>0</v>
      </c>
    </row>
    <row r="1532" spans="4:14" x14ac:dyDescent="0.2">
      <c r="D1532">
        <f t="shared" si="261"/>
        <v>1509</v>
      </c>
      <c r="E1532" s="1">
        <f t="shared" si="262"/>
        <v>-13.43406788561758</v>
      </c>
      <c r="F1532" s="1">
        <f t="shared" si="263"/>
        <v>-15.769777600147311</v>
      </c>
      <c r="G1532" s="1">
        <f t="shared" si="260"/>
        <v>1.4166827551936451E-7</v>
      </c>
      <c r="H1532" s="1">
        <f t="shared" si="253"/>
        <v>1.4569293691692687E-9</v>
      </c>
      <c r="I1532">
        <f t="shared" si="254"/>
        <v>10</v>
      </c>
      <c r="J1532">
        <f t="shared" si="255"/>
        <v>1495</v>
      </c>
      <c r="K1532" s="5">
        <f t="shared" si="256"/>
        <v>0</v>
      </c>
      <c r="L1532">
        <f t="shared" si="257"/>
        <v>95</v>
      </c>
      <c r="M1532">
        <f t="shared" si="258"/>
        <v>1</v>
      </c>
      <c r="N1532">
        <f t="shared" si="259"/>
        <v>0</v>
      </c>
    </row>
    <row r="1533" spans="4:14" x14ac:dyDescent="0.2">
      <c r="D1533">
        <f t="shared" si="261"/>
        <v>1510</v>
      </c>
      <c r="E1533" s="1">
        <f t="shared" si="262"/>
        <v>-13.444539185484874</v>
      </c>
      <c r="F1533" s="1">
        <f t="shared" si="263"/>
        <v>-15.780248900014605</v>
      </c>
      <c r="G1533" s="1">
        <f t="shared" si="260"/>
        <v>1.4019256431603794E-7</v>
      </c>
      <c r="H1533" s="1">
        <f t="shared" si="253"/>
        <v>1.4417530215737569E-9</v>
      </c>
      <c r="I1533">
        <f t="shared" si="254"/>
        <v>10</v>
      </c>
      <c r="J1533">
        <f t="shared" si="255"/>
        <v>1496</v>
      </c>
      <c r="K1533" s="5">
        <f t="shared" si="256"/>
        <v>0</v>
      </c>
      <c r="L1533">
        <f t="shared" si="257"/>
        <v>95</v>
      </c>
      <c r="M1533">
        <f t="shared" si="258"/>
        <v>1</v>
      </c>
      <c r="N1533">
        <f t="shared" si="259"/>
        <v>0</v>
      </c>
    </row>
    <row r="1534" spans="4:14" x14ac:dyDescent="0.2">
      <c r="D1534">
        <f t="shared" si="261"/>
        <v>1511</v>
      </c>
      <c r="E1534" s="1">
        <f t="shared" si="262"/>
        <v>-13.455010485352169</v>
      </c>
      <c r="F1534" s="1">
        <f t="shared" si="263"/>
        <v>-15.7907201998819</v>
      </c>
      <c r="G1534" s="1">
        <f t="shared" si="260"/>
        <v>1.3873222510441266E-7</v>
      </c>
      <c r="H1534" s="1">
        <f t="shared" si="253"/>
        <v>1.4267347609323649E-9</v>
      </c>
      <c r="I1534">
        <f t="shared" si="254"/>
        <v>10</v>
      </c>
      <c r="J1534">
        <f t="shared" si="255"/>
        <v>1497</v>
      </c>
      <c r="K1534" s="5">
        <f t="shared" si="256"/>
        <v>0</v>
      </c>
      <c r="L1534">
        <f t="shared" si="257"/>
        <v>95</v>
      </c>
      <c r="M1534">
        <f t="shared" si="258"/>
        <v>1</v>
      </c>
      <c r="N1534">
        <f t="shared" si="259"/>
        <v>0</v>
      </c>
    </row>
    <row r="1535" spans="4:14" x14ac:dyDescent="0.2">
      <c r="D1535">
        <f t="shared" si="261"/>
        <v>1512</v>
      </c>
      <c r="E1535" s="1">
        <f t="shared" si="262"/>
        <v>-13.465481785219463</v>
      </c>
      <c r="F1535" s="1">
        <f t="shared" si="263"/>
        <v>-15.801191499749194</v>
      </c>
      <c r="G1535" s="1">
        <f t="shared" si="260"/>
        <v>1.3728709775957517E-7</v>
      </c>
      <c r="H1535" s="1">
        <f t="shared" si="253"/>
        <v>1.4118729405059875E-9</v>
      </c>
      <c r="I1535">
        <f t="shared" si="254"/>
        <v>10</v>
      </c>
      <c r="J1535">
        <f t="shared" si="255"/>
        <v>1498</v>
      </c>
      <c r="K1535" s="5">
        <f t="shared" si="256"/>
        <v>0</v>
      </c>
      <c r="L1535">
        <f t="shared" si="257"/>
        <v>95</v>
      </c>
      <c r="M1535">
        <f t="shared" si="258"/>
        <v>1</v>
      </c>
      <c r="N1535">
        <f t="shared" si="259"/>
        <v>0</v>
      </c>
    </row>
    <row r="1536" spans="4:14" x14ac:dyDescent="0.2">
      <c r="D1536">
        <f t="shared" si="261"/>
        <v>1513</v>
      </c>
      <c r="E1536" s="1">
        <f t="shared" si="262"/>
        <v>-13.475953085086758</v>
      </c>
      <c r="F1536" s="1">
        <f t="shared" si="263"/>
        <v>-15.811662799616489</v>
      </c>
      <c r="G1536" s="1">
        <f t="shared" si="260"/>
        <v>1.3585702382457972E-7</v>
      </c>
      <c r="H1536" s="1">
        <f t="shared" si="253"/>
        <v>1.3971659307090515E-9</v>
      </c>
      <c r="I1536">
        <f t="shared" si="254"/>
        <v>10</v>
      </c>
      <c r="J1536">
        <f t="shared" si="255"/>
        <v>1499</v>
      </c>
      <c r="K1536" s="5">
        <f t="shared" si="256"/>
        <v>0</v>
      </c>
      <c r="L1536">
        <f t="shared" si="257"/>
        <v>95</v>
      </c>
      <c r="M1536">
        <f t="shared" si="258"/>
        <v>1</v>
      </c>
      <c r="N1536">
        <f t="shared" si="259"/>
        <v>0</v>
      </c>
    </row>
    <row r="1537" spans="4:14" x14ac:dyDescent="0.2">
      <c r="D1537">
        <f t="shared" si="261"/>
        <v>1514</v>
      </c>
      <c r="E1537" s="1">
        <f t="shared" si="262"/>
        <v>-13.486424384954052</v>
      </c>
      <c r="F1537" s="1">
        <f t="shared" si="263"/>
        <v>-15.822134099483783</v>
      </c>
      <c r="G1537" s="1">
        <f t="shared" si="260"/>
        <v>1.3444184649307382E-7</v>
      </c>
      <c r="H1537" s="1">
        <f t="shared" si="253"/>
        <v>1.3826121189308335E-9</v>
      </c>
      <c r="I1537">
        <f t="shared" si="254"/>
        <v>10</v>
      </c>
      <c r="J1537">
        <f t="shared" si="255"/>
        <v>1500</v>
      </c>
      <c r="K1537" s="5">
        <f t="shared" si="256"/>
        <v>0</v>
      </c>
      <c r="L1537">
        <f t="shared" si="257"/>
        <v>95</v>
      </c>
      <c r="M1537">
        <f t="shared" si="258"/>
        <v>1</v>
      </c>
      <c r="N1537">
        <f t="shared" si="259"/>
        <v>0</v>
      </c>
    </row>
    <row r="1538" spans="4:14" x14ac:dyDescent="0.2">
      <c r="D1538">
        <f t="shared" si="261"/>
        <v>1515</v>
      </c>
      <c r="E1538" s="1">
        <f t="shared" si="262"/>
        <v>-13.496895684821347</v>
      </c>
      <c r="F1538" s="1">
        <f t="shared" si="263"/>
        <v>-15.832605399351078</v>
      </c>
      <c r="G1538" s="1">
        <f t="shared" si="260"/>
        <v>1.3304141059210442E-7</v>
      </c>
      <c r="H1538" s="1">
        <f t="shared" si="253"/>
        <v>1.3682099093586387E-9</v>
      </c>
      <c r="I1538">
        <f t="shared" si="254"/>
        <v>10</v>
      </c>
      <c r="J1538">
        <f t="shared" si="255"/>
        <v>1501</v>
      </c>
      <c r="K1538" s="5">
        <f t="shared" si="256"/>
        <v>0</v>
      </c>
      <c r="L1538">
        <f t="shared" si="257"/>
        <v>95</v>
      </c>
      <c r="M1538">
        <f t="shared" si="258"/>
        <v>1</v>
      </c>
      <c r="N1538">
        <f t="shared" si="259"/>
        <v>0</v>
      </c>
    </row>
    <row r="1539" spans="4:14" x14ac:dyDescent="0.2">
      <c r="D1539">
        <f t="shared" si="261"/>
        <v>1516</v>
      </c>
      <c r="E1539" s="1">
        <f t="shared" si="262"/>
        <v>-13.507366984688641</v>
      </c>
      <c r="F1539" s="1">
        <f t="shared" si="263"/>
        <v>-15.843076699218372</v>
      </c>
      <c r="G1539" s="1">
        <f t="shared" si="260"/>
        <v>1.3165556256510345E-7</v>
      </c>
      <c r="H1539" s="1">
        <f t="shared" si="253"/>
        <v>1.3539577228028208E-9</v>
      </c>
      <c r="I1539">
        <f t="shared" si="254"/>
        <v>10</v>
      </c>
      <c r="J1539">
        <f t="shared" si="255"/>
        <v>1502</v>
      </c>
      <c r="K1539" s="5">
        <f t="shared" si="256"/>
        <v>0</v>
      </c>
      <c r="L1539">
        <f t="shared" si="257"/>
        <v>95</v>
      </c>
      <c r="M1539">
        <f t="shared" si="258"/>
        <v>1</v>
      </c>
      <c r="N1539">
        <f t="shared" si="259"/>
        <v>0</v>
      </c>
    </row>
    <row r="1540" spans="4:14" x14ac:dyDescent="0.2">
      <c r="D1540">
        <f t="shared" si="261"/>
        <v>1517</v>
      </c>
      <c r="E1540" s="1">
        <f t="shared" si="262"/>
        <v>-13.517838284555936</v>
      </c>
      <c r="F1540" s="1">
        <f t="shared" si="263"/>
        <v>-15.853547999085666</v>
      </c>
      <c r="G1540" s="1">
        <f t="shared" si="260"/>
        <v>1.3028415045505042E-7</v>
      </c>
      <c r="H1540" s="1">
        <f t="shared" si="253"/>
        <v>1.3398539965236259E-9</v>
      </c>
      <c r="I1540">
        <f t="shared" si="254"/>
        <v>10</v>
      </c>
      <c r="J1540">
        <f t="shared" si="255"/>
        <v>1503</v>
      </c>
      <c r="K1540" s="5">
        <f t="shared" si="256"/>
        <v>0</v>
      </c>
      <c r="L1540">
        <f t="shared" si="257"/>
        <v>95</v>
      </c>
      <c r="M1540">
        <f t="shared" si="258"/>
        <v>1</v>
      </c>
      <c r="N1540">
        <f t="shared" si="259"/>
        <v>0</v>
      </c>
    </row>
    <row r="1541" spans="4:14" x14ac:dyDescent="0.2">
      <c r="D1541">
        <f t="shared" si="261"/>
        <v>1518</v>
      </c>
      <c r="E1541" s="1">
        <f t="shared" si="262"/>
        <v>-13.52830958442323</v>
      </c>
      <c r="F1541" s="1">
        <f t="shared" si="263"/>
        <v>-15.864019298952961</v>
      </c>
      <c r="G1541" s="1">
        <f t="shared" si="260"/>
        <v>1.2892702388781044E-7</v>
      </c>
      <c r="H1541" s="1">
        <f t="shared" si="253"/>
        <v>1.3258971840598395E-9</v>
      </c>
      <c r="I1541">
        <f t="shared" si="254"/>
        <v>10</v>
      </c>
      <c r="J1541">
        <f t="shared" si="255"/>
        <v>1504</v>
      </c>
      <c r="K1541" s="5">
        <f t="shared" si="256"/>
        <v>0</v>
      </c>
      <c r="L1541">
        <f t="shared" si="257"/>
        <v>95</v>
      </c>
      <c r="M1541">
        <f t="shared" si="258"/>
        <v>1</v>
      </c>
      <c r="N1541">
        <f t="shared" si="259"/>
        <v>0</v>
      </c>
    </row>
    <row r="1542" spans="4:14" x14ac:dyDescent="0.2">
      <c r="D1542">
        <f t="shared" si="261"/>
        <v>1519</v>
      </c>
      <c r="E1542" s="1">
        <f t="shared" si="262"/>
        <v>-13.538780884290524</v>
      </c>
      <c r="F1542" s="1">
        <f t="shared" si="263"/>
        <v>-15.874490598820255</v>
      </c>
      <c r="G1542" s="1">
        <f t="shared" si="260"/>
        <v>1.2758403405564586E-7</v>
      </c>
      <c r="H1542" s="1">
        <f t="shared" si="253"/>
        <v>1.3120857550592174E-9</v>
      </c>
      <c r="I1542">
        <f t="shared" si="254"/>
        <v>10</v>
      </c>
      <c r="J1542">
        <f t="shared" si="255"/>
        <v>1505</v>
      </c>
      <c r="K1542" s="5">
        <f t="shared" si="256"/>
        <v>0</v>
      </c>
      <c r="L1542">
        <f t="shared" si="257"/>
        <v>95</v>
      </c>
      <c r="M1542">
        <f t="shared" si="258"/>
        <v>1</v>
      </c>
      <c r="N1542">
        <f t="shared" si="259"/>
        <v>0</v>
      </c>
    </row>
    <row r="1543" spans="4:14" x14ac:dyDescent="0.2">
      <c r="D1543">
        <f t="shared" si="261"/>
        <v>1520</v>
      </c>
      <c r="E1543" s="1">
        <f t="shared" si="262"/>
        <v>-13.549252184157819</v>
      </c>
      <c r="F1543" s="1">
        <f t="shared" si="263"/>
        <v>-15.88496189868755</v>
      </c>
      <c r="G1543" s="1">
        <f t="shared" si="260"/>
        <v>1.2625503370089968E-7</v>
      </c>
      <c r="H1543" s="1">
        <f t="shared" si="253"/>
        <v>1.2984181951106851E-9</v>
      </c>
      <c r="I1543">
        <f t="shared" si="254"/>
        <v>10</v>
      </c>
      <c r="J1543">
        <f t="shared" si="255"/>
        <v>1506</v>
      </c>
      <c r="K1543" s="5">
        <f t="shared" si="256"/>
        <v>0</v>
      </c>
      <c r="L1543">
        <f t="shared" si="257"/>
        <v>95</v>
      </c>
      <c r="M1543">
        <f t="shared" si="258"/>
        <v>1</v>
      </c>
      <c r="N1543">
        <f t="shared" si="259"/>
        <v>0</v>
      </c>
    </row>
    <row r="1544" spans="4:14" x14ac:dyDescent="0.2">
      <c r="D1544">
        <f t="shared" si="261"/>
        <v>1521</v>
      </c>
      <c r="E1544" s="1">
        <f t="shared" si="262"/>
        <v>-13.559723484025113</v>
      </c>
      <c r="F1544" s="1">
        <f t="shared" si="263"/>
        <v>-15.895433198554844</v>
      </c>
      <c r="G1544" s="1">
        <f t="shared" si="260"/>
        <v>1.2493987709984876E-7</v>
      </c>
      <c r="H1544" s="1">
        <f t="shared" si="253"/>
        <v>1.2848930055782834E-9</v>
      </c>
      <c r="I1544">
        <f t="shared" si="254"/>
        <v>10</v>
      </c>
      <c r="J1544">
        <f t="shared" si="255"/>
        <v>1507</v>
      </c>
      <c r="K1544" s="5">
        <f t="shared" si="256"/>
        <v>0</v>
      </c>
      <c r="L1544">
        <f t="shared" si="257"/>
        <v>95</v>
      </c>
      <c r="M1544">
        <f t="shared" si="258"/>
        <v>1</v>
      </c>
      <c r="N1544">
        <f t="shared" si="259"/>
        <v>0</v>
      </c>
    </row>
    <row r="1545" spans="4:14" x14ac:dyDescent="0.2">
      <c r="D1545">
        <f t="shared" si="261"/>
        <v>1522</v>
      </c>
      <c r="E1545" s="1">
        <f t="shared" si="262"/>
        <v>-13.570194783892408</v>
      </c>
      <c r="F1545" s="1">
        <f t="shared" si="263"/>
        <v>-15.905904498422139</v>
      </c>
      <c r="G1545" s="1">
        <f t="shared" si="260"/>
        <v>1.2363842004672546E-7</v>
      </c>
      <c r="H1545" s="1">
        <f t="shared" si="253"/>
        <v>1.2715087034368443E-9</v>
      </c>
      <c r="I1545">
        <f t="shared" si="254"/>
        <v>10</v>
      </c>
      <c r="J1545">
        <f t="shared" si="255"/>
        <v>1508</v>
      </c>
      <c r="K1545" s="5">
        <f t="shared" si="256"/>
        <v>0</v>
      </c>
      <c r="L1545">
        <f t="shared" si="257"/>
        <v>95</v>
      </c>
      <c r="M1545">
        <f t="shared" si="258"/>
        <v>1</v>
      </c>
      <c r="N1545">
        <f t="shared" si="259"/>
        <v>0</v>
      </c>
    </row>
    <row r="1546" spans="4:14" x14ac:dyDescent="0.2">
      <c r="D1546">
        <f t="shared" si="261"/>
        <v>1523</v>
      </c>
      <c r="E1546" s="1">
        <f t="shared" si="262"/>
        <v>-13.580666083759702</v>
      </c>
      <c r="F1546" s="1">
        <f t="shared" si="263"/>
        <v>-15.916375798289433</v>
      </c>
      <c r="G1546" s="1">
        <f t="shared" si="260"/>
        <v>1.2235051983790552E-7</v>
      </c>
      <c r="H1546" s="1">
        <f t="shared" si="253"/>
        <v>1.2582638211093783E-9</v>
      </c>
      <c r="I1546">
        <f t="shared" si="254"/>
        <v>10</v>
      </c>
      <c r="J1546">
        <f t="shared" si="255"/>
        <v>1509</v>
      </c>
      <c r="K1546" s="5">
        <f t="shared" si="256"/>
        <v>0</v>
      </c>
      <c r="L1546">
        <f t="shared" si="257"/>
        <v>95</v>
      </c>
      <c r="M1546">
        <f t="shared" si="258"/>
        <v>1</v>
      </c>
      <c r="N1546">
        <f t="shared" si="259"/>
        <v>0</v>
      </c>
    </row>
    <row r="1547" spans="4:14" x14ac:dyDescent="0.2">
      <c r="D1547">
        <f t="shared" si="261"/>
        <v>1524</v>
      </c>
      <c r="E1547" s="1">
        <f t="shared" si="262"/>
        <v>-13.591137383626997</v>
      </c>
      <c r="F1547" s="1">
        <f t="shared" si="263"/>
        <v>-15.926847098156728</v>
      </c>
      <c r="G1547" s="1">
        <f t="shared" si="260"/>
        <v>1.2107603525626078E-7</v>
      </c>
      <c r="H1547" s="1">
        <f t="shared" si="253"/>
        <v>1.2451569063061567E-9</v>
      </c>
      <c r="I1547">
        <f t="shared" si="254"/>
        <v>10</v>
      </c>
      <c r="J1547">
        <f t="shared" si="255"/>
        <v>1510</v>
      </c>
      <c r="K1547" s="5">
        <f t="shared" si="256"/>
        <v>0</v>
      </c>
      <c r="L1547">
        <f t="shared" si="257"/>
        <v>95</v>
      </c>
      <c r="M1547">
        <f t="shared" si="258"/>
        <v>1</v>
      </c>
      <c r="N1547">
        <f t="shared" si="259"/>
        <v>0</v>
      </c>
    </row>
    <row r="1548" spans="4:14" x14ac:dyDescent="0.2">
      <c r="D1548">
        <f t="shared" si="261"/>
        <v>1525</v>
      </c>
      <c r="E1548" s="1">
        <f t="shared" si="262"/>
        <v>-13.601608683494291</v>
      </c>
      <c r="F1548" s="1">
        <f t="shared" si="263"/>
        <v>-15.937318398024022</v>
      </c>
      <c r="G1548" s="1">
        <f t="shared" si="260"/>
        <v>1.1981482655567484E-7</v>
      </c>
      <c r="H1548" s="1">
        <f t="shared" si="253"/>
        <v>1.2321865218654687E-9</v>
      </c>
      <c r="I1548">
        <f t="shared" si="254"/>
        <v>10</v>
      </c>
      <c r="J1548">
        <f t="shared" si="255"/>
        <v>1511</v>
      </c>
      <c r="K1548" s="5">
        <f t="shared" si="256"/>
        <v>0</v>
      </c>
      <c r="L1548">
        <f t="shared" si="257"/>
        <v>95</v>
      </c>
      <c r="M1548">
        <f t="shared" si="258"/>
        <v>1</v>
      </c>
      <c r="N1548">
        <f t="shared" si="259"/>
        <v>0</v>
      </c>
    </row>
    <row r="1549" spans="4:14" x14ac:dyDescent="0.2">
      <c r="D1549">
        <f t="shared" si="261"/>
        <v>1526</v>
      </c>
      <c r="E1549" s="1">
        <f t="shared" si="262"/>
        <v>-13.612079983361586</v>
      </c>
      <c r="F1549" s="1">
        <f t="shared" si="263"/>
        <v>-15.947789697891317</v>
      </c>
      <c r="G1549" s="1">
        <f t="shared" si="260"/>
        <v>1.1856675544572002E-7</v>
      </c>
      <c r="H1549" s="1">
        <f t="shared" si="253"/>
        <v>1.219351245596038E-9</v>
      </c>
      <c r="I1549">
        <f t="shared" si="254"/>
        <v>10</v>
      </c>
      <c r="J1549">
        <f t="shared" si="255"/>
        <v>1512</v>
      </c>
      <c r="K1549" s="5">
        <f t="shared" si="256"/>
        <v>0</v>
      </c>
      <c r="L1549">
        <f t="shared" si="257"/>
        <v>95</v>
      </c>
      <c r="M1549">
        <f t="shared" si="258"/>
        <v>1</v>
      </c>
      <c r="N1549">
        <f t="shared" si="259"/>
        <v>0</v>
      </c>
    </row>
    <row r="1550" spans="4:14" x14ac:dyDescent="0.2">
      <c r="D1550">
        <f t="shared" si="261"/>
        <v>1527</v>
      </c>
      <c r="E1550" s="1">
        <f t="shared" si="262"/>
        <v>-13.62255128322888</v>
      </c>
      <c r="F1550" s="1">
        <f t="shared" si="263"/>
        <v>-15.958260997758611</v>
      </c>
      <c r="G1550" s="1">
        <f t="shared" si="260"/>
        <v>1.1733168507649387E-7</v>
      </c>
      <c r="H1550" s="1">
        <f t="shared" si="253"/>
        <v>1.2066496701210804E-9</v>
      </c>
      <c r="I1550">
        <f t="shared" si="254"/>
        <v>10</v>
      </c>
      <c r="J1550">
        <f t="shared" si="255"/>
        <v>1513</v>
      </c>
      <c r="K1550" s="5">
        <f t="shared" si="256"/>
        <v>0</v>
      </c>
      <c r="L1550">
        <f t="shared" si="257"/>
        <v>95</v>
      </c>
      <c r="M1550">
        <f t="shared" si="258"/>
        <v>1</v>
      </c>
      <c r="N1550">
        <f t="shared" si="259"/>
        <v>0</v>
      </c>
    </row>
    <row r="1551" spans="4:14" x14ac:dyDescent="0.2">
      <c r="D1551">
        <f t="shared" si="261"/>
        <v>1528</v>
      </c>
      <c r="E1551" s="1">
        <f t="shared" si="262"/>
        <v>-13.633022583096174</v>
      </c>
      <c r="F1551" s="1">
        <f t="shared" si="263"/>
        <v>-15.968732297625905</v>
      </c>
      <c r="G1551" s="1">
        <f t="shared" si="260"/>
        <v>1.1610948002361384E-7</v>
      </c>
      <c r="H1551" s="1">
        <f t="shared" si="253"/>
        <v>1.194080402723987E-9</v>
      </c>
      <c r="I1551">
        <f t="shared" si="254"/>
        <v>10</v>
      </c>
      <c r="J1551">
        <f t="shared" si="255"/>
        <v>1514</v>
      </c>
      <c r="K1551" s="5">
        <f t="shared" si="256"/>
        <v>0</v>
      </c>
      <c r="L1551">
        <f t="shared" si="257"/>
        <v>95</v>
      </c>
      <c r="M1551">
        <f t="shared" si="258"/>
        <v>1</v>
      </c>
      <c r="N1551">
        <f t="shared" si="259"/>
        <v>0</v>
      </c>
    </row>
    <row r="1552" spans="4:14" x14ac:dyDescent="0.2">
      <c r="D1552">
        <f t="shared" si="261"/>
        <v>1529</v>
      </c>
      <c r="E1552" s="1">
        <f t="shared" si="262"/>
        <v>-13.643493882963469</v>
      </c>
      <c r="F1552" s="1">
        <f t="shared" si="263"/>
        <v>-15.9792035974932</v>
      </c>
      <c r="G1552" s="1">
        <f t="shared" si="260"/>
        <v>1.1490000627336797E-7</v>
      </c>
      <c r="H1552" s="1">
        <f t="shared" si="253"/>
        <v>1.1816420651956132E-9</v>
      </c>
      <c r="I1552">
        <f t="shared" si="254"/>
        <v>10</v>
      </c>
      <c r="J1552">
        <f t="shared" si="255"/>
        <v>1515</v>
      </c>
      <c r="K1552" s="5">
        <f t="shared" si="256"/>
        <v>0</v>
      </c>
      <c r="L1552">
        <f t="shared" si="257"/>
        <v>95</v>
      </c>
      <c r="M1552">
        <f t="shared" si="258"/>
        <v>1</v>
      </c>
      <c r="N1552">
        <f t="shared" si="259"/>
        <v>0</v>
      </c>
    </row>
    <row r="1553" spans="4:14" x14ac:dyDescent="0.2">
      <c r="D1553">
        <f t="shared" si="261"/>
        <v>1530</v>
      </c>
      <c r="E1553" s="1">
        <f t="shared" si="262"/>
        <v>-13.653965182830763</v>
      </c>
      <c r="F1553" s="1">
        <f t="shared" si="263"/>
        <v>-15.989674897360494</v>
      </c>
      <c r="G1553" s="1">
        <f t="shared" si="260"/>
        <v>1.137031312080205E-7</v>
      </c>
      <c r="H1553" s="1">
        <f t="shared" si="253"/>
        <v>1.1693332936831601E-9</v>
      </c>
      <c r="I1553">
        <f t="shared" si="254"/>
        <v>10</v>
      </c>
      <c r="J1553">
        <f t="shared" si="255"/>
        <v>1516</v>
      </c>
      <c r="K1553" s="5">
        <f t="shared" si="256"/>
        <v>0</v>
      </c>
      <c r="L1553">
        <f t="shared" si="257"/>
        <v>95</v>
      </c>
      <c r="M1553">
        <f t="shared" si="258"/>
        <v>1</v>
      </c>
      <c r="N1553">
        <f t="shared" si="259"/>
        <v>0</v>
      </c>
    </row>
    <row r="1554" spans="4:14" x14ac:dyDescent="0.2">
      <c r="D1554">
        <f t="shared" si="261"/>
        <v>1531</v>
      </c>
      <c r="E1554" s="1">
        <f t="shared" si="262"/>
        <v>-13.664436482698058</v>
      </c>
      <c r="F1554" s="1">
        <f t="shared" si="263"/>
        <v>-16.000146197227789</v>
      </c>
      <c r="G1554" s="1">
        <f t="shared" si="260"/>
        <v>1.1251872359127039E-7</v>
      </c>
      <c r="H1554" s="1">
        <f t="shared" si="253"/>
        <v>1.1571527385406281E-9</v>
      </c>
      <c r="I1554">
        <f t="shared" si="254"/>
        <v>10</v>
      </c>
      <c r="J1554">
        <f t="shared" si="255"/>
        <v>1517</v>
      </c>
      <c r="K1554" s="5">
        <f t="shared" si="256"/>
        <v>0</v>
      </c>
      <c r="L1554">
        <f t="shared" si="257"/>
        <v>95</v>
      </c>
      <c r="M1554">
        <f t="shared" si="258"/>
        <v>1</v>
      </c>
      <c r="N1554">
        <f t="shared" si="259"/>
        <v>0</v>
      </c>
    </row>
    <row r="1555" spans="4:14" x14ac:dyDescent="0.2">
      <c r="D1555">
        <f t="shared" si="261"/>
        <v>1532</v>
      </c>
      <c r="E1555" s="1">
        <f t="shared" si="262"/>
        <v>-13.674907782565352</v>
      </c>
      <c r="F1555" s="1">
        <f t="shared" si="263"/>
        <v>-16.010617497095083</v>
      </c>
      <c r="G1555" s="1">
        <f t="shared" si="260"/>
        <v>1.1134665355386143E-7</v>
      </c>
      <c r="H1555" s="1">
        <f t="shared" si="253"/>
        <v>1.1450990641808312E-9</v>
      </c>
      <c r="I1555">
        <f t="shared" si="254"/>
        <v>10</v>
      </c>
      <c r="J1555">
        <f t="shared" si="255"/>
        <v>1518</v>
      </c>
      <c r="K1555" s="5">
        <f t="shared" si="256"/>
        <v>0</v>
      </c>
      <c r="L1555">
        <f t="shared" si="257"/>
        <v>95</v>
      </c>
      <c r="M1555">
        <f t="shared" si="258"/>
        <v>1</v>
      </c>
      <c r="N1555">
        <f t="shared" si="259"/>
        <v>0</v>
      </c>
    </row>
    <row r="1556" spans="4:14" x14ac:dyDescent="0.2">
      <c r="D1556">
        <f t="shared" si="261"/>
        <v>1533</v>
      </c>
      <c r="E1556" s="1">
        <f t="shared" si="262"/>
        <v>-13.685379082432647</v>
      </c>
      <c r="F1556" s="1">
        <f t="shared" si="263"/>
        <v>-16.021088796962378</v>
      </c>
      <c r="G1556" s="1">
        <f t="shared" si="260"/>
        <v>1.1018679257934215E-7</v>
      </c>
      <c r="H1556" s="1">
        <f t="shared" si="253"/>
        <v>1.1331709489289486E-9</v>
      </c>
      <c r="I1556">
        <f t="shared" si="254"/>
        <v>10</v>
      </c>
      <c r="J1556">
        <f t="shared" si="255"/>
        <v>1519</v>
      </c>
      <c r="K1556" s="5">
        <f t="shared" si="256"/>
        <v>0</v>
      </c>
      <c r="L1556">
        <f t="shared" si="257"/>
        <v>95</v>
      </c>
      <c r="M1556">
        <f t="shared" si="258"/>
        <v>1</v>
      </c>
      <c r="N1556">
        <f t="shared" si="259"/>
        <v>0</v>
      </c>
    </row>
    <row r="1557" spans="4:14" x14ac:dyDescent="0.2">
      <c r="D1557">
        <f t="shared" si="261"/>
        <v>1534</v>
      </c>
      <c r="E1557" s="1">
        <f t="shared" si="262"/>
        <v>-13.695850382299941</v>
      </c>
      <c r="F1557" s="1">
        <f t="shared" si="263"/>
        <v>-16.031560096829672</v>
      </c>
      <c r="G1557" s="1">
        <f t="shared" si="260"/>
        <v>1.090390134899741E-7</v>
      </c>
      <c r="H1557" s="1">
        <f t="shared" si="253"/>
        <v>1.1213670848776064E-9</v>
      </c>
      <c r="I1557">
        <f t="shared" si="254"/>
        <v>10</v>
      </c>
      <c r="J1557">
        <f t="shared" si="255"/>
        <v>1520</v>
      </c>
      <c r="K1557" s="5">
        <f t="shared" si="256"/>
        <v>0</v>
      </c>
      <c r="L1557">
        <f t="shared" si="257"/>
        <v>95</v>
      </c>
      <c r="M1557">
        <f t="shared" si="258"/>
        <v>1</v>
      </c>
      <c r="N1557">
        <f t="shared" si="259"/>
        <v>0</v>
      </c>
    </row>
    <row r="1558" spans="4:14" x14ac:dyDescent="0.2">
      <c r="D1558">
        <f t="shared" si="261"/>
        <v>1535</v>
      </c>
      <c r="E1558" s="1">
        <f t="shared" si="262"/>
        <v>-13.706321682167236</v>
      </c>
      <c r="F1558" s="1">
        <f t="shared" si="263"/>
        <v>-16.042031396696967</v>
      </c>
      <c r="G1558" s="1">
        <f t="shared" si="260"/>
        <v>1.0790319043278698E-7</v>
      </c>
      <c r="H1558" s="1">
        <f t="shared" si="253"/>
        <v>1.1096861777434658E-9</v>
      </c>
      <c r="I1558">
        <f t="shared" si="254"/>
        <v>10</v>
      </c>
      <c r="J1558">
        <f t="shared" si="255"/>
        <v>1521</v>
      </c>
      <c r="K1558" s="5">
        <f t="shared" si="256"/>
        <v>0</v>
      </c>
      <c r="L1558">
        <f t="shared" si="257"/>
        <v>95</v>
      </c>
      <c r="M1558">
        <f t="shared" si="258"/>
        <v>1</v>
      </c>
      <c r="N1558">
        <f t="shared" si="259"/>
        <v>0</v>
      </c>
    </row>
    <row r="1559" spans="4:14" x14ac:dyDescent="0.2">
      <c r="D1559">
        <f t="shared" si="261"/>
        <v>1536</v>
      </c>
      <c r="E1559" s="1">
        <f t="shared" si="262"/>
        <v>-13.71679298203453</v>
      </c>
      <c r="F1559" s="1">
        <f t="shared" si="263"/>
        <v>-16.052502696564261</v>
      </c>
      <c r="G1559" s="1">
        <f t="shared" si="260"/>
        <v>1.0677919886577888E-7</v>
      </c>
      <c r="H1559" s="1">
        <f t="shared" ref="H1559:H1622" si="264">G1559/$G$21</f>
        <v>1.0981269467253058E-9</v>
      </c>
      <c r="I1559">
        <f t="shared" ref="I1559:I1622" si="265">IF($F$11&lt;=D1559, IF(D1559&lt;=$A$15,D1559-$F$11,$C$11),0)</f>
        <v>10</v>
      </c>
      <c r="J1559">
        <f t="shared" ref="J1559:J1622" si="266">IF(D1559&lt;=$A$15,0,D1559-$A$15)</f>
        <v>1522</v>
      </c>
      <c r="K1559" s="5">
        <f t="shared" ref="K1559:K1622" si="267">IF(D1559&lt;$F$11,H1559,0)</f>
        <v>0</v>
      </c>
      <c r="L1559">
        <f t="shared" ref="L1559:L1622" si="268">IF(D1559&lt;$A$15,$D$11,$D$11*(1-$H$11))</f>
        <v>95</v>
      </c>
      <c r="M1559">
        <f t="shared" ref="M1559:M1622" si="269">IF(D1559&lt;$A$15,0,1)</f>
        <v>1</v>
      </c>
      <c r="N1559">
        <f t="shared" ref="N1559:N1622" si="270">IF(SUM(I1559:J1559)&lt;=($G$11/60*$F$11/($E$11/60)),1,0)</f>
        <v>0</v>
      </c>
    </row>
    <row r="1560" spans="4:14" x14ac:dyDescent="0.2">
      <c r="D1560">
        <f t="shared" si="261"/>
        <v>1537</v>
      </c>
      <c r="E1560" s="1">
        <f t="shared" si="262"/>
        <v>-13.727264281901824</v>
      </c>
      <c r="F1560" s="1">
        <f t="shared" si="263"/>
        <v>-16.062973996431555</v>
      </c>
      <c r="G1560" s="1">
        <f t="shared" ref="G1560:G1623" si="271">EXP(F1560)</f>
        <v>1.0566691554426045E-7</v>
      </c>
      <c r="H1560" s="1">
        <f t="shared" si="264"/>
        <v>1.0866881243635847E-9</v>
      </c>
      <c r="I1560">
        <f t="shared" si="265"/>
        <v>10</v>
      </c>
      <c r="J1560">
        <f t="shared" si="266"/>
        <v>1523</v>
      </c>
      <c r="K1560" s="5">
        <f t="shared" si="267"/>
        <v>0</v>
      </c>
      <c r="L1560">
        <f t="shared" si="268"/>
        <v>95</v>
      </c>
      <c r="M1560">
        <f t="shared" si="269"/>
        <v>1</v>
      </c>
      <c r="N1560">
        <f t="shared" si="270"/>
        <v>0</v>
      </c>
    </row>
    <row r="1561" spans="4:14" x14ac:dyDescent="0.2">
      <c r="D1561">
        <f t="shared" ref="D1561:D1624" si="272">1+D1560</f>
        <v>1538</v>
      </c>
      <c r="E1561" s="1">
        <f t="shared" ref="E1561:E1624" si="273">IF($H$11=1,IF(D1561&lt;=$A$15, E1560+LN($D$11)-LN(60/$E$11)-LN(MIN(D1561,$F$11)), E1560-LN(60/$E$11)-LN(MIN(D1561,$F$11))), IF(D1561&lt;=$A$15, E1560+LN($D$11)-LN(60/$E$11)-LN(MIN(D1561,$F$11)), E1560+LN($D$11)+LN(1-$H$11)-LN(60/$E$11)-LN(MIN(D1561,$F$11))))</f>
        <v>-13.737735581769119</v>
      </c>
      <c r="F1561" s="1">
        <f t="shared" ref="F1561:F1624" si="274">E1561-$E$21</f>
        <v>-16.07344529629885</v>
      </c>
      <c r="G1561" s="1">
        <f t="shared" si="271"/>
        <v>1.0456621850734118E-7</v>
      </c>
      <c r="H1561" s="1">
        <f t="shared" si="264"/>
        <v>1.0753684564014653E-9</v>
      </c>
      <c r="I1561">
        <f t="shared" si="265"/>
        <v>10</v>
      </c>
      <c r="J1561">
        <f t="shared" si="266"/>
        <v>1524</v>
      </c>
      <c r="K1561" s="5">
        <f t="shared" si="267"/>
        <v>0</v>
      </c>
      <c r="L1561">
        <f t="shared" si="268"/>
        <v>95</v>
      </c>
      <c r="M1561">
        <f t="shared" si="269"/>
        <v>1</v>
      </c>
      <c r="N1561">
        <f t="shared" si="270"/>
        <v>0</v>
      </c>
    </row>
    <row r="1562" spans="4:14" x14ac:dyDescent="0.2">
      <c r="D1562">
        <f t="shared" si="272"/>
        <v>1539</v>
      </c>
      <c r="E1562" s="1">
        <f t="shared" si="273"/>
        <v>-13.748206881636413</v>
      </c>
      <c r="F1562" s="1">
        <f t="shared" si="274"/>
        <v>-16.083916596166144</v>
      </c>
      <c r="G1562" s="1">
        <f t="shared" si="271"/>
        <v>1.0347698706455647E-7</v>
      </c>
      <c r="H1562" s="1">
        <f t="shared" si="264"/>
        <v>1.0641667016472843E-9</v>
      </c>
      <c r="I1562">
        <f t="shared" si="265"/>
        <v>10</v>
      </c>
      <c r="J1562">
        <f t="shared" si="266"/>
        <v>1525</v>
      </c>
      <c r="K1562" s="5">
        <f t="shared" si="267"/>
        <v>0</v>
      </c>
      <c r="L1562">
        <f t="shared" si="268"/>
        <v>95</v>
      </c>
      <c r="M1562">
        <f t="shared" si="269"/>
        <v>1</v>
      </c>
      <c r="N1562">
        <f t="shared" si="270"/>
        <v>0</v>
      </c>
    </row>
    <row r="1563" spans="4:14" x14ac:dyDescent="0.2">
      <c r="D1563">
        <f t="shared" si="272"/>
        <v>1540</v>
      </c>
      <c r="E1563" s="1">
        <f t="shared" si="273"/>
        <v>-13.758678181503708</v>
      </c>
      <c r="F1563" s="1">
        <f t="shared" si="274"/>
        <v>-16.094387896033439</v>
      </c>
      <c r="G1563" s="1">
        <f t="shared" si="271"/>
        <v>1.023991017826341E-7</v>
      </c>
      <c r="H1563" s="1">
        <f t="shared" si="264"/>
        <v>1.0530816318384594E-9</v>
      </c>
      <c r="I1563">
        <f t="shared" si="265"/>
        <v>10</v>
      </c>
      <c r="J1563">
        <f t="shared" si="266"/>
        <v>1526</v>
      </c>
      <c r="K1563" s="5">
        <f t="shared" si="267"/>
        <v>0</v>
      </c>
      <c r="L1563">
        <f t="shared" si="268"/>
        <v>95</v>
      </c>
      <c r="M1563">
        <f t="shared" si="269"/>
        <v>1</v>
      </c>
      <c r="N1563">
        <f t="shared" si="270"/>
        <v>0</v>
      </c>
    </row>
    <row r="1564" spans="4:14" x14ac:dyDescent="0.2">
      <c r="D1564">
        <f t="shared" si="272"/>
        <v>1541</v>
      </c>
      <c r="E1564" s="1">
        <f t="shared" si="273"/>
        <v>-13.769149481371002</v>
      </c>
      <c r="F1564" s="1">
        <f t="shared" si="274"/>
        <v>-16.104859195900733</v>
      </c>
      <c r="G1564" s="1">
        <f t="shared" si="271"/>
        <v>1.0133244447239842E-7</v>
      </c>
      <c r="H1564" s="1">
        <f t="shared" si="264"/>
        <v>1.0421120315068098E-9</v>
      </c>
      <c r="I1564">
        <f t="shared" si="265"/>
        <v>10</v>
      </c>
      <c r="J1564">
        <f t="shared" si="266"/>
        <v>1527</v>
      </c>
      <c r="K1564" s="5">
        <f t="shared" si="267"/>
        <v>0</v>
      </c>
      <c r="L1564">
        <f t="shared" si="268"/>
        <v>95</v>
      </c>
      <c r="M1564">
        <f t="shared" si="269"/>
        <v>1</v>
      </c>
      <c r="N1564">
        <f t="shared" si="270"/>
        <v>0</v>
      </c>
    </row>
    <row r="1565" spans="4:14" x14ac:dyDescent="0.2">
      <c r="D1565">
        <f t="shared" si="272"/>
        <v>1542</v>
      </c>
      <c r="E1565" s="1">
        <f t="shared" si="273"/>
        <v>-13.779620781238297</v>
      </c>
      <c r="F1565" s="1">
        <f t="shared" si="274"/>
        <v>-16.115330495768028</v>
      </c>
      <c r="G1565" s="1">
        <f t="shared" si="271"/>
        <v>1.0027689817581104E-7</v>
      </c>
      <c r="H1565" s="1">
        <f t="shared" si="264"/>
        <v>1.0312566978452814E-9</v>
      </c>
      <c r="I1565">
        <f t="shared" si="265"/>
        <v>10</v>
      </c>
      <c r="J1565">
        <f t="shared" si="266"/>
        <v>1528</v>
      </c>
      <c r="K1565" s="5">
        <f t="shared" si="267"/>
        <v>0</v>
      </c>
      <c r="L1565">
        <f t="shared" si="268"/>
        <v>95</v>
      </c>
      <c r="M1565">
        <f t="shared" si="269"/>
        <v>1</v>
      </c>
      <c r="N1565">
        <f t="shared" si="270"/>
        <v>0</v>
      </c>
    </row>
    <row r="1566" spans="4:14" x14ac:dyDescent="0.2">
      <c r="D1566">
        <f t="shared" si="272"/>
        <v>1543</v>
      </c>
      <c r="E1566" s="1">
        <f t="shared" si="273"/>
        <v>-13.790092081105591</v>
      </c>
      <c r="F1566" s="1">
        <f t="shared" si="274"/>
        <v>-16.125801795635322</v>
      </c>
      <c r="G1566" s="1">
        <f t="shared" si="271"/>
        <v>9.9232347153146442E-8</v>
      </c>
      <c r="H1566" s="1">
        <f t="shared" si="264"/>
        <v>1.0205144405760607E-9</v>
      </c>
      <c r="I1566">
        <f t="shared" si="265"/>
        <v>10</v>
      </c>
      <c r="J1566">
        <f t="shared" si="266"/>
        <v>1529</v>
      </c>
      <c r="K1566" s="5">
        <f t="shared" si="267"/>
        <v>0</v>
      </c>
      <c r="L1566">
        <f t="shared" si="268"/>
        <v>95</v>
      </c>
      <c r="M1566">
        <f t="shared" si="269"/>
        <v>1</v>
      </c>
      <c r="N1566">
        <f t="shared" si="270"/>
        <v>0</v>
      </c>
    </row>
    <row r="1567" spans="4:14" x14ac:dyDescent="0.2">
      <c r="D1567">
        <f t="shared" si="272"/>
        <v>1544</v>
      </c>
      <c r="E1567" s="1">
        <f t="shared" si="273"/>
        <v>-13.800563380972886</v>
      </c>
      <c r="F1567" s="1">
        <f t="shared" si="274"/>
        <v>-16.136273095502617</v>
      </c>
      <c r="G1567" s="1">
        <f t="shared" si="271"/>
        <v>9.8198676870301254E-8</v>
      </c>
      <c r="H1567" s="1">
        <f t="shared" si="264"/>
        <v>1.009884081820061E-9</v>
      </c>
      <c r="I1567">
        <f t="shared" si="265"/>
        <v>10</v>
      </c>
      <c r="J1567">
        <f t="shared" si="266"/>
        <v>1530</v>
      </c>
      <c r="K1567" s="5">
        <f t="shared" si="267"/>
        <v>0</v>
      </c>
      <c r="L1567">
        <f t="shared" si="268"/>
        <v>95</v>
      </c>
      <c r="M1567">
        <f t="shared" si="269"/>
        <v>1</v>
      </c>
      <c r="N1567">
        <f t="shared" si="270"/>
        <v>0</v>
      </c>
    </row>
    <row r="1568" spans="4:14" x14ac:dyDescent="0.2">
      <c r="D1568">
        <f t="shared" si="272"/>
        <v>1545</v>
      </c>
      <c r="E1568" s="1">
        <f t="shared" si="273"/>
        <v>-13.81103468084018</v>
      </c>
      <c r="F1568" s="1">
        <f t="shared" si="274"/>
        <v>-16.146744395369911</v>
      </c>
      <c r="G1568" s="1">
        <f t="shared" si="271"/>
        <v>9.7175773986235711E-8</v>
      </c>
      <c r="H1568" s="1">
        <f t="shared" si="264"/>
        <v>9.9936445596776972E-10</v>
      </c>
      <c r="I1568">
        <f t="shared" si="265"/>
        <v>10</v>
      </c>
      <c r="J1568">
        <f t="shared" si="266"/>
        <v>1531</v>
      </c>
      <c r="K1568" s="5">
        <f t="shared" si="267"/>
        <v>0</v>
      </c>
      <c r="L1568">
        <f t="shared" si="268"/>
        <v>95</v>
      </c>
      <c r="M1568">
        <f t="shared" si="269"/>
        <v>1</v>
      </c>
      <c r="N1568">
        <f t="shared" si="270"/>
        <v>0</v>
      </c>
    </row>
    <row r="1569" spans="4:14" x14ac:dyDescent="0.2">
      <c r="D1569">
        <f t="shared" si="272"/>
        <v>1546</v>
      </c>
      <c r="E1569" s="1">
        <f t="shared" si="273"/>
        <v>-13.821505980707474</v>
      </c>
      <c r="F1569" s="1">
        <f t="shared" si="274"/>
        <v>-16.157215695237205</v>
      </c>
      <c r="G1569" s="1">
        <f t="shared" si="271"/>
        <v>9.6163526340545839E-8</v>
      </c>
      <c r="H1569" s="1">
        <f t="shared" si="264"/>
        <v>9.8895440955143958E-10</v>
      </c>
      <c r="I1569">
        <f t="shared" si="265"/>
        <v>10</v>
      </c>
      <c r="J1569">
        <f t="shared" si="266"/>
        <v>1532</v>
      </c>
      <c r="K1569" s="5">
        <f t="shared" si="267"/>
        <v>0</v>
      </c>
      <c r="L1569">
        <f t="shared" si="268"/>
        <v>95</v>
      </c>
      <c r="M1569">
        <f t="shared" si="269"/>
        <v>1</v>
      </c>
      <c r="N1569">
        <f t="shared" si="270"/>
        <v>0</v>
      </c>
    </row>
    <row r="1570" spans="4:14" x14ac:dyDescent="0.2">
      <c r="D1570">
        <f t="shared" si="272"/>
        <v>1547</v>
      </c>
      <c r="E1570" s="1">
        <f t="shared" si="273"/>
        <v>-13.831977280574769</v>
      </c>
      <c r="F1570" s="1">
        <f t="shared" si="274"/>
        <v>-16.1676869951045</v>
      </c>
      <c r="G1570" s="1">
        <f t="shared" si="271"/>
        <v>9.5161822941165246E-8</v>
      </c>
      <c r="H1570" s="1">
        <f t="shared" si="264"/>
        <v>9.7865280111861308E-10</v>
      </c>
      <c r="I1570">
        <f t="shared" si="265"/>
        <v>10</v>
      </c>
      <c r="J1570">
        <f t="shared" si="266"/>
        <v>1533</v>
      </c>
      <c r="K1570" s="5">
        <f t="shared" si="267"/>
        <v>0</v>
      </c>
      <c r="L1570">
        <f t="shared" si="268"/>
        <v>95</v>
      </c>
      <c r="M1570">
        <f t="shared" si="269"/>
        <v>1</v>
      </c>
      <c r="N1570">
        <f t="shared" si="270"/>
        <v>0</v>
      </c>
    </row>
    <row r="1571" spans="4:14" x14ac:dyDescent="0.2">
      <c r="D1571">
        <f t="shared" si="272"/>
        <v>1548</v>
      </c>
      <c r="E1571" s="1">
        <f t="shared" si="273"/>
        <v>-13.842448580442063</v>
      </c>
      <c r="F1571" s="1">
        <f t="shared" si="274"/>
        <v>-16.178158294971794</v>
      </c>
      <c r="G1571" s="1">
        <f t="shared" si="271"/>
        <v>9.4170553952194863E-8</v>
      </c>
      <c r="H1571" s="1">
        <f t="shared" si="264"/>
        <v>9.6845850110696176E-10</v>
      </c>
      <c r="I1571">
        <f t="shared" si="265"/>
        <v>10</v>
      </c>
      <c r="J1571">
        <f t="shared" si="266"/>
        <v>1534</v>
      </c>
      <c r="K1571" s="5">
        <f t="shared" si="267"/>
        <v>0</v>
      </c>
      <c r="L1571">
        <f t="shared" si="268"/>
        <v>95</v>
      </c>
      <c r="M1571">
        <f t="shared" si="269"/>
        <v>1</v>
      </c>
      <c r="N1571">
        <f t="shared" si="270"/>
        <v>0</v>
      </c>
    </row>
    <row r="1572" spans="4:14" x14ac:dyDescent="0.2">
      <c r="D1572">
        <f t="shared" si="272"/>
        <v>1549</v>
      </c>
      <c r="E1572" s="1">
        <f t="shared" si="273"/>
        <v>-13.852919880309358</v>
      </c>
      <c r="F1572" s="1">
        <f t="shared" si="274"/>
        <v>-16.188629594839089</v>
      </c>
      <c r="G1572" s="1">
        <f t="shared" si="271"/>
        <v>9.3189610681859594E-8</v>
      </c>
      <c r="H1572" s="1">
        <f t="shared" si="264"/>
        <v>9.5837039172043202E-10</v>
      </c>
      <c r="I1572">
        <f t="shared" si="265"/>
        <v>10</v>
      </c>
      <c r="J1572">
        <f t="shared" si="266"/>
        <v>1535</v>
      </c>
      <c r="K1572" s="5">
        <f t="shared" si="267"/>
        <v>0</v>
      </c>
      <c r="L1572">
        <f t="shared" si="268"/>
        <v>95</v>
      </c>
      <c r="M1572">
        <f t="shared" si="269"/>
        <v>1</v>
      </c>
      <c r="N1572">
        <f t="shared" si="270"/>
        <v>0</v>
      </c>
    </row>
    <row r="1573" spans="4:14" x14ac:dyDescent="0.2">
      <c r="D1573">
        <f t="shared" si="272"/>
        <v>1550</v>
      </c>
      <c r="E1573" s="1">
        <f t="shared" si="273"/>
        <v>-13.863391180176652</v>
      </c>
      <c r="F1573" s="1">
        <f t="shared" si="274"/>
        <v>-16.199100894706383</v>
      </c>
      <c r="G1573" s="1">
        <f t="shared" si="271"/>
        <v>9.2218885570590318E-8</v>
      </c>
      <c r="H1573" s="1">
        <f t="shared" si="264"/>
        <v>9.4838736680667849E-10</v>
      </c>
      <c r="I1573">
        <f t="shared" si="265"/>
        <v>10</v>
      </c>
      <c r="J1573">
        <f t="shared" si="266"/>
        <v>1536</v>
      </c>
      <c r="K1573" s="5">
        <f t="shared" si="267"/>
        <v>0</v>
      </c>
      <c r="L1573">
        <f t="shared" si="268"/>
        <v>95</v>
      </c>
      <c r="M1573">
        <f t="shared" si="269"/>
        <v>1</v>
      </c>
      <c r="N1573">
        <f t="shared" si="270"/>
        <v>0</v>
      </c>
    </row>
    <row r="1574" spans="4:14" x14ac:dyDescent="0.2">
      <c r="D1574">
        <f t="shared" si="272"/>
        <v>1551</v>
      </c>
      <c r="E1574" s="1">
        <f t="shared" si="273"/>
        <v>-13.873862480043947</v>
      </c>
      <c r="F1574" s="1">
        <f t="shared" si="274"/>
        <v>-16.209572194573678</v>
      </c>
      <c r="G1574" s="1">
        <f t="shared" si="271"/>
        <v>9.1258272179230084E-8</v>
      </c>
      <c r="H1574" s="1">
        <f t="shared" si="264"/>
        <v>9.3850833173577638E-10</v>
      </c>
      <c r="I1574">
        <f t="shared" si="265"/>
        <v>10</v>
      </c>
      <c r="J1574">
        <f t="shared" si="266"/>
        <v>1537</v>
      </c>
      <c r="K1574" s="5">
        <f t="shared" si="267"/>
        <v>0</v>
      </c>
      <c r="L1574">
        <f t="shared" si="268"/>
        <v>95</v>
      </c>
      <c r="M1574">
        <f t="shared" si="269"/>
        <v>1</v>
      </c>
      <c r="N1574">
        <f t="shared" si="270"/>
        <v>0</v>
      </c>
    </row>
    <row r="1575" spans="4:14" x14ac:dyDescent="0.2">
      <c r="D1575">
        <f t="shared" si="272"/>
        <v>1552</v>
      </c>
      <c r="E1575" s="1">
        <f t="shared" si="273"/>
        <v>-13.884333779911241</v>
      </c>
      <c r="F1575" s="1">
        <f t="shared" si="274"/>
        <v>-16.220043494440972</v>
      </c>
      <c r="G1575" s="1">
        <f t="shared" si="271"/>
        <v>9.0307665177363186E-8</v>
      </c>
      <c r="H1575" s="1">
        <f t="shared" si="264"/>
        <v>9.2873220328019623E-10</v>
      </c>
      <c r="I1575">
        <f t="shared" si="265"/>
        <v>10</v>
      </c>
      <c r="J1575">
        <f t="shared" si="266"/>
        <v>1538</v>
      </c>
      <c r="K1575" s="5">
        <f t="shared" si="267"/>
        <v>0</v>
      </c>
      <c r="L1575">
        <f t="shared" si="268"/>
        <v>95</v>
      </c>
      <c r="M1575">
        <f t="shared" si="269"/>
        <v>1</v>
      </c>
      <c r="N1575">
        <f t="shared" si="270"/>
        <v>0</v>
      </c>
    </row>
    <row r="1576" spans="4:14" x14ac:dyDescent="0.2">
      <c r="D1576">
        <f t="shared" si="272"/>
        <v>1553</v>
      </c>
      <c r="E1576" s="1">
        <f t="shared" si="273"/>
        <v>-13.894805079778536</v>
      </c>
      <c r="F1576" s="1">
        <f t="shared" si="274"/>
        <v>-16.230514794308267</v>
      </c>
      <c r="G1576" s="1">
        <f t="shared" si="271"/>
        <v>8.9366960331765742E-8</v>
      </c>
      <c r="H1576" s="1">
        <f t="shared" si="264"/>
        <v>9.1905790949602835E-10</v>
      </c>
      <c r="I1576">
        <f t="shared" si="265"/>
        <v>10</v>
      </c>
      <c r="J1576">
        <f t="shared" si="266"/>
        <v>1539</v>
      </c>
      <c r="K1576" s="5">
        <f t="shared" si="267"/>
        <v>0</v>
      </c>
      <c r="L1576">
        <f t="shared" si="268"/>
        <v>95</v>
      </c>
      <c r="M1576">
        <f t="shared" si="269"/>
        <v>1</v>
      </c>
      <c r="N1576">
        <f t="shared" si="270"/>
        <v>0</v>
      </c>
    </row>
    <row r="1577" spans="4:14" x14ac:dyDescent="0.2">
      <c r="D1577">
        <f t="shared" si="272"/>
        <v>1554</v>
      </c>
      <c r="E1577" s="1">
        <f t="shared" si="273"/>
        <v>-13.90527637964583</v>
      </c>
      <c r="F1577" s="1">
        <f t="shared" si="274"/>
        <v>-16.240986094175561</v>
      </c>
      <c r="G1577" s="1">
        <f t="shared" si="271"/>
        <v>8.8436054494976603E-8</v>
      </c>
      <c r="H1577" s="1">
        <f t="shared" si="264"/>
        <v>9.0948438960544566E-10</v>
      </c>
      <c r="I1577">
        <f t="shared" si="265"/>
        <v>10</v>
      </c>
      <c r="J1577">
        <f t="shared" si="266"/>
        <v>1540</v>
      </c>
      <c r="K1577" s="5">
        <f t="shared" si="267"/>
        <v>0</v>
      </c>
      <c r="L1577">
        <f t="shared" si="268"/>
        <v>95</v>
      </c>
      <c r="M1577">
        <f t="shared" si="269"/>
        <v>1</v>
      </c>
      <c r="N1577">
        <f t="shared" si="270"/>
        <v>0</v>
      </c>
    </row>
    <row r="1578" spans="4:14" x14ac:dyDescent="0.2">
      <c r="D1578">
        <f t="shared" si="272"/>
        <v>1555</v>
      </c>
      <c r="E1578" s="1">
        <f t="shared" si="273"/>
        <v>-13.915747679513125</v>
      </c>
      <c r="F1578" s="1">
        <f t="shared" si="274"/>
        <v>-16.251457394042855</v>
      </c>
      <c r="G1578" s="1">
        <f t="shared" si="271"/>
        <v>8.751484559398734E-8</v>
      </c>
      <c r="H1578" s="1">
        <f t="shared" si="264"/>
        <v>9.0001059388038968E-10</v>
      </c>
      <c r="I1578">
        <f t="shared" si="265"/>
        <v>10</v>
      </c>
      <c r="J1578">
        <f t="shared" si="266"/>
        <v>1541</v>
      </c>
      <c r="K1578" s="5">
        <f t="shared" si="267"/>
        <v>0</v>
      </c>
      <c r="L1578">
        <f t="shared" si="268"/>
        <v>95</v>
      </c>
      <c r="M1578">
        <f t="shared" si="269"/>
        <v>1</v>
      </c>
      <c r="N1578">
        <f t="shared" si="270"/>
        <v>0</v>
      </c>
    </row>
    <row r="1579" spans="4:14" x14ac:dyDescent="0.2">
      <c r="D1579">
        <f t="shared" si="272"/>
        <v>1556</v>
      </c>
      <c r="E1579" s="1">
        <f t="shared" si="273"/>
        <v>-13.926218979380419</v>
      </c>
      <c r="F1579" s="1">
        <f t="shared" si="274"/>
        <v>-16.26192869391015</v>
      </c>
      <c r="G1579" s="1">
        <f t="shared" si="271"/>
        <v>8.6603232619050065E-8</v>
      </c>
      <c r="H1579" s="1">
        <f t="shared" si="264"/>
        <v>8.9063548352746991E-10</v>
      </c>
      <c r="I1579">
        <f t="shared" si="265"/>
        <v>10</v>
      </c>
      <c r="J1579">
        <f t="shared" si="266"/>
        <v>1542</v>
      </c>
      <c r="K1579" s="5">
        <f t="shared" si="267"/>
        <v>0</v>
      </c>
      <c r="L1579">
        <f t="shared" si="268"/>
        <v>95</v>
      </c>
      <c r="M1579">
        <f t="shared" si="269"/>
        <v>1</v>
      </c>
      <c r="N1579">
        <f t="shared" si="270"/>
        <v>0</v>
      </c>
    </row>
    <row r="1580" spans="4:14" x14ac:dyDescent="0.2">
      <c r="D1580">
        <f t="shared" si="272"/>
        <v>1557</v>
      </c>
      <c r="E1580" s="1">
        <f t="shared" si="273"/>
        <v>-13.936690279247713</v>
      </c>
      <c r="F1580" s="1">
        <f t="shared" si="274"/>
        <v>-16.272399993777444</v>
      </c>
      <c r="G1580" s="1">
        <f t="shared" si="271"/>
        <v>8.5701115612601704E-8</v>
      </c>
      <c r="H1580" s="1">
        <f t="shared" si="264"/>
        <v>8.8135803057405958E-10</v>
      </c>
      <c r="I1580">
        <f t="shared" si="265"/>
        <v>10</v>
      </c>
      <c r="J1580">
        <f t="shared" si="266"/>
        <v>1543</v>
      </c>
      <c r="K1580" s="5">
        <f t="shared" si="267"/>
        <v>0</v>
      </c>
      <c r="L1580">
        <f t="shared" si="268"/>
        <v>95</v>
      </c>
      <c r="M1580">
        <f t="shared" si="269"/>
        <v>1</v>
      </c>
      <c r="N1580">
        <f t="shared" si="270"/>
        <v>0</v>
      </c>
    </row>
    <row r="1581" spans="4:14" x14ac:dyDescent="0.2">
      <c r="D1581">
        <f t="shared" si="272"/>
        <v>1558</v>
      </c>
      <c r="E1581" s="1">
        <f t="shared" si="273"/>
        <v>-13.947161579115008</v>
      </c>
      <c r="F1581" s="1">
        <f t="shared" si="274"/>
        <v>-16.282871293644739</v>
      </c>
      <c r="G1581" s="1">
        <f t="shared" si="271"/>
        <v>8.4808395658303846E-8</v>
      </c>
      <c r="H1581" s="1">
        <f t="shared" si="264"/>
        <v>8.7217721775558066E-10</v>
      </c>
      <c r="I1581">
        <f t="shared" si="265"/>
        <v>10</v>
      </c>
      <c r="J1581">
        <f t="shared" si="266"/>
        <v>1544</v>
      </c>
      <c r="K1581" s="5">
        <f t="shared" si="267"/>
        <v>0</v>
      </c>
      <c r="L1581">
        <f t="shared" si="268"/>
        <v>95</v>
      </c>
      <c r="M1581">
        <f t="shared" si="269"/>
        <v>1</v>
      </c>
      <c r="N1581">
        <f t="shared" si="270"/>
        <v>0</v>
      </c>
    </row>
    <row r="1582" spans="4:14" x14ac:dyDescent="0.2">
      <c r="D1582">
        <f t="shared" si="272"/>
        <v>1559</v>
      </c>
      <c r="E1582" s="1">
        <f t="shared" si="273"/>
        <v>-13.957632878982302</v>
      </c>
      <c r="F1582" s="1">
        <f t="shared" si="274"/>
        <v>-16.293342593512033</v>
      </c>
      <c r="G1582" s="1">
        <f t="shared" si="271"/>
        <v>8.3924974870196602E-8</v>
      </c>
      <c r="H1582" s="1">
        <f t="shared" si="264"/>
        <v>8.6309203840396085E-10</v>
      </c>
      <c r="I1582">
        <f t="shared" si="265"/>
        <v>10</v>
      </c>
      <c r="J1582">
        <f t="shared" si="266"/>
        <v>1545</v>
      </c>
      <c r="K1582" s="5">
        <f t="shared" si="267"/>
        <v>0</v>
      </c>
      <c r="L1582">
        <f t="shared" si="268"/>
        <v>95</v>
      </c>
      <c r="M1582">
        <f t="shared" si="269"/>
        <v>1</v>
      </c>
      <c r="N1582">
        <f t="shared" si="270"/>
        <v>0</v>
      </c>
    </row>
    <row r="1583" spans="4:14" x14ac:dyDescent="0.2">
      <c r="D1583">
        <f t="shared" si="272"/>
        <v>1560</v>
      </c>
      <c r="E1583" s="1">
        <f t="shared" si="273"/>
        <v>-13.968104178849597</v>
      </c>
      <c r="F1583" s="1">
        <f t="shared" si="274"/>
        <v>-16.303813893379328</v>
      </c>
      <c r="G1583" s="1">
        <f t="shared" si="271"/>
        <v>8.3050756381965466E-8</v>
      </c>
      <c r="H1583" s="1">
        <f t="shared" si="264"/>
        <v>8.541014963372538E-10</v>
      </c>
      <c r="I1583">
        <f t="shared" si="265"/>
        <v>10</v>
      </c>
      <c r="J1583">
        <f t="shared" si="266"/>
        <v>1546</v>
      </c>
      <c r="K1583" s="5">
        <f t="shared" si="267"/>
        <v>0</v>
      </c>
      <c r="L1583">
        <f t="shared" si="268"/>
        <v>95</v>
      </c>
      <c r="M1583">
        <f t="shared" si="269"/>
        <v>1</v>
      </c>
      <c r="N1583">
        <f t="shared" si="270"/>
        <v>0</v>
      </c>
    </row>
    <row r="1584" spans="4:14" x14ac:dyDescent="0.2">
      <c r="D1584">
        <f t="shared" si="272"/>
        <v>1561</v>
      </c>
      <c r="E1584" s="1">
        <f t="shared" si="273"/>
        <v>-13.978575478716891</v>
      </c>
      <c r="F1584" s="1">
        <f t="shared" si="274"/>
        <v>-16.314285193246622</v>
      </c>
      <c r="G1584" s="1">
        <f t="shared" si="271"/>
        <v>8.2185644336320068E-8</v>
      </c>
      <c r="H1584" s="1">
        <f t="shared" si="264"/>
        <v>8.4520460575040809E-10</v>
      </c>
      <c r="I1584">
        <f t="shared" si="265"/>
        <v>10</v>
      </c>
      <c r="J1584">
        <f t="shared" si="266"/>
        <v>1547</v>
      </c>
      <c r="K1584" s="5">
        <f t="shared" si="267"/>
        <v>0</v>
      </c>
      <c r="L1584">
        <f t="shared" si="268"/>
        <v>95</v>
      </c>
      <c r="M1584">
        <f t="shared" si="269"/>
        <v>1</v>
      </c>
      <c r="N1584">
        <f t="shared" si="270"/>
        <v>0</v>
      </c>
    </row>
    <row r="1585" spans="4:14" x14ac:dyDescent="0.2">
      <c r="D1585">
        <f t="shared" si="272"/>
        <v>1562</v>
      </c>
      <c r="E1585" s="1">
        <f t="shared" si="273"/>
        <v>-13.989046778584186</v>
      </c>
      <c r="F1585" s="1">
        <f t="shared" si="274"/>
        <v>-16.324756493113917</v>
      </c>
      <c r="G1585" s="1">
        <f t="shared" si="271"/>
        <v>8.1329543874483483E-8</v>
      </c>
      <c r="H1585" s="1">
        <f t="shared" si="264"/>
        <v>8.3640039110717557E-10</v>
      </c>
      <c r="I1585">
        <f t="shared" si="265"/>
        <v>10</v>
      </c>
      <c r="J1585">
        <f t="shared" si="266"/>
        <v>1548</v>
      </c>
      <c r="K1585" s="5">
        <f t="shared" si="267"/>
        <v>0</v>
      </c>
      <c r="L1585">
        <f t="shared" si="268"/>
        <v>95</v>
      </c>
      <c r="M1585">
        <f t="shared" si="269"/>
        <v>1</v>
      </c>
      <c r="N1585">
        <f t="shared" si="270"/>
        <v>0</v>
      </c>
    </row>
    <row r="1586" spans="4:14" x14ac:dyDescent="0.2">
      <c r="D1586">
        <f t="shared" si="272"/>
        <v>1563</v>
      </c>
      <c r="E1586" s="1">
        <f t="shared" si="273"/>
        <v>-13.99951807845148</v>
      </c>
      <c r="F1586" s="1">
        <f t="shared" si="274"/>
        <v>-16.335227792981211</v>
      </c>
      <c r="G1586" s="1">
        <f t="shared" si="271"/>
        <v>8.0482361125791015E-8</v>
      </c>
      <c r="H1586" s="1">
        <f t="shared" si="264"/>
        <v>8.276878870331432E-10</v>
      </c>
      <c r="I1586">
        <f t="shared" si="265"/>
        <v>10</v>
      </c>
      <c r="J1586">
        <f t="shared" si="266"/>
        <v>1549</v>
      </c>
      <c r="K1586" s="5">
        <f t="shared" si="267"/>
        <v>0</v>
      </c>
      <c r="L1586">
        <f t="shared" si="268"/>
        <v>95</v>
      </c>
      <c r="M1586">
        <f t="shared" si="269"/>
        <v>1</v>
      </c>
      <c r="N1586">
        <f t="shared" si="270"/>
        <v>0</v>
      </c>
    </row>
    <row r="1587" spans="4:14" x14ac:dyDescent="0.2">
      <c r="D1587">
        <f t="shared" si="272"/>
        <v>1564</v>
      </c>
      <c r="E1587" s="1">
        <f t="shared" si="273"/>
        <v>-14.009989378318775</v>
      </c>
      <c r="F1587" s="1">
        <f t="shared" si="274"/>
        <v>-16.345699092848506</v>
      </c>
      <c r="G1587" s="1">
        <f t="shared" si="271"/>
        <v>7.9644003197397434E-8</v>
      </c>
      <c r="H1587" s="1">
        <f t="shared" si="264"/>
        <v>8.1906613820988212E-10</v>
      </c>
      <c r="I1587">
        <f t="shared" si="265"/>
        <v>10</v>
      </c>
      <c r="J1587">
        <f t="shared" si="266"/>
        <v>1550</v>
      </c>
      <c r="K1587" s="5">
        <f t="shared" si="267"/>
        <v>0</v>
      </c>
      <c r="L1587">
        <f t="shared" si="268"/>
        <v>95</v>
      </c>
      <c r="M1587">
        <f t="shared" si="269"/>
        <v>1</v>
      </c>
      <c r="N1587">
        <f t="shared" si="270"/>
        <v>0</v>
      </c>
    </row>
    <row r="1588" spans="4:14" x14ac:dyDescent="0.2">
      <c r="D1588">
        <f t="shared" si="272"/>
        <v>1565</v>
      </c>
      <c r="E1588" s="1">
        <f t="shared" si="273"/>
        <v>-14.020460678186069</v>
      </c>
      <c r="F1588" s="1">
        <f t="shared" si="274"/>
        <v>-16.3561703927158</v>
      </c>
      <c r="G1588" s="1">
        <f t="shared" si="271"/>
        <v>7.8814378164091287E-8</v>
      </c>
      <c r="H1588" s="1">
        <f t="shared" si="264"/>
        <v>8.1053419927019663E-10</v>
      </c>
      <c r="I1588">
        <f t="shared" si="265"/>
        <v>10</v>
      </c>
      <c r="J1588">
        <f t="shared" si="266"/>
        <v>1551</v>
      </c>
      <c r="K1588" s="5">
        <f t="shared" si="267"/>
        <v>0</v>
      </c>
      <c r="L1588">
        <f t="shared" si="268"/>
        <v>95</v>
      </c>
      <c r="M1588">
        <f t="shared" si="269"/>
        <v>1</v>
      </c>
      <c r="N1588">
        <f t="shared" si="270"/>
        <v>0</v>
      </c>
    </row>
    <row r="1589" spans="4:14" x14ac:dyDescent="0.2">
      <c r="D1589">
        <f t="shared" si="272"/>
        <v>1566</v>
      </c>
      <c r="E1589" s="1">
        <f t="shared" si="273"/>
        <v>-14.030931978053363</v>
      </c>
      <c r="F1589" s="1">
        <f t="shared" si="274"/>
        <v>-16.366641692583094</v>
      </c>
      <c r="G1589" s="1">
        <f t="shared" si="271"/>
        <v>7.7993395058215416E-8</v>
      </c>
      <c r="H1589" s="1">
        <f t="shared" si="264"/>
        <v>8.0209113469446622E-10</v>
      </c>
      <c r="I1589">
        <f t="shared" si="265"/>
        <v>10</v>
      </c>
      <c r="J1589">
        <f t="shared" si="266"/>
        <v>1552</v>
      </c>
      <c r="K1589" s="5">
        <f t="shared" si="267"/>
        <v>0</v>
      </c>
      <c r="L1589">
        <f t="shared" si="268"/>
        <v>95</v>
      </c>
      <c r="M1589">
        <f t="shared" si="269"/>
        <v>1</v>
      </c>
      <c r="N1589">
        <f t="shared" si="270"/>
        <v>0</v>
      </c>
    </row>
    <row r="1590" spans="4:14" x14ac:dyDescent="0.2">
      <c r="D1590">
        <f t="shared" si="272"/>
        <v>1567</v>
      </c>
      <c r="E1590" s="1">
        <f t="shared" si="273"/>
        <v>-14.041403277920658</v>
      </c>
      <c r="F1590" s="1">
        <f t="shared" si="274"/>
        <v>-16.377112992450389</v>
      </c>
      <c r="G1590" s="1">
        <f t="shared" si="271"/>
        <v>7.7180963859692417E-8</v>
      </c>
      <c r="H1590" s="1">
        <f t="shared" si="264"/>
        <v>7.9373601870806625E-10</v>
      </c>
      <c r="I1590">
        <f t="shared" si="265"/>
        <v>10</v>
      </c>
      <c r="J1590">
        <f t="shared" si="266"/>
        <v>1553</v>
      </c>
      <c r="K1590" s="5">
        <f t="shared" si="267"/>
        <v>0</v>
      </c>
      <c r="L1590">
        <f t="shared" si="268"/>
        <v>95</v>
      </c>
      <c r="M1590">
        <f t="shared" si="269"/>
        <v>1</v>
      </c>
      <c r="N1590">
        <f t="shared" si="270"/>
        <v>0</v>
      </c>
    </row>
    <row r="1591" spans="4:14" x14ac:dyDescent="0.2">
      <c r="D1591">
        <f t="shared" si="272"/>
        <v>1568</v>
      </c>
      <c r="E1591" s="1">
        <f t="shared" si="273"/>
        <v>-14.051874577787952</v>
      </c>
      <c r="F1591" s="1">
        <f t="shared" si="274"/>
        <v>-16.387584292317683</v>
      </c>
      <c r="G1591" s="1">
        <f t="shared" si="271"/>
        <v>7.6376995486154022E-8</v>
      </c>
      <c r="H1591" s="1">
        <f t="shared" si="264"/>
        <v>7.85467935179858E-10</v>
      </c>
      <c r="I1591">
        <f t="shared" si="265"/>
        <v>10</v>
      </c>
      <c r="J1591">
        <f t="shared" si="266"/>
        <v>1554</v>
      </c>
      <c r="K1591" s="5">
        <f t="shared" si="267"/>
        <v>0</v>
      </c>
      <c r="L1591">
        <f t="shared" si="268"/>
        <v>95</v>
      </c>
      <c r="M1591">
        <f t="shared" si="269"/>
        <v>1</v>
      </c>
      <c r="N1591">
        <f t="shared" si="270"/>
        <v>0</v>
      </c>
    </row>
    <row r="1592" spans="4:14" x14ac:dyDescent="0.2">
      <c r="D1592">
        <f t="shared" si="272"/>
        <v>1569</v>
      </c>
      <c r="E1592" s="1">
        <f t="shared" si="273"/>
        <v>-14.062345877655247</v>
      </c>
      <c r="F1592" s="1">
        <f t="shared" si="274"/>
        <v>-16.398055592184978</v>
      </c>
      <c r="G1592" s="1">
        <f t="shared" si="271"/>
        <v>7.5581401783173326E-8</v>
      </c>
      <c r="H1592" s="1">
        <f t="shared" si="264"/>
        <v>7.7728597752173524E-10</v>
      </c>
      <c r="I1592">
        <f t="shared" si="265"/>
        <v>10</v>
      </c>
      <c r="J1592">
        <f t="shared" si="266"/>
        <v>1555</v>
      </c>
      <c r="K1592" s="5">
        <f t="shared" si="267"/>
        <v>0</v>
      </c>
      <c r="L1592">
        <f t="shared" si="268"/>
        <v>95</v>
      </c>
      <c r="M1592">
        <f t="shared" si="269"/>
        <v>1</v>
      </c>
      <c r="N1592">
        <f t="shared" si="270"/>
        <v>0</v>
      </c>
    </row>
    <row r="1593" spans="4:14" x14ac:dyDescent="0.2">
      <c r="D1593">
        <f t="shared" si="272"/>
        <v>1570</v>
      </c>
      <c r="E1593" s="1">
        <f t="shared" si="273"/>
        <v>-14.072817177522541</v>
      </c>
      <c r="F1593" s="1">
        <f t="shared" si="274"/>
        <v>-16.408526892052272</v>
      </c>
      <c r="G1593" s="1">
        <f t="shared" si="271"/>
        <v>7.4794095514598669E-8</v>
      </c>
      <c r="H1593" s="1">
        <f t="shared" si="264"/>
        <v>7.691892485892178E-10</v>
      </c>
      <c r="I1593">
        <f t="shared" si="265"/>
        <v>10</v>
      </c>
      <c r="J1593">
        <f t="shared" si="266"/>
        <v>1556</v>
      </c>
      <c r="K1593" s="5">
        <f t="shared" si="267"/>
        <v>0</v>
      </c>
      <c r="L1593">
        <f t="shared" si="268"/>
        <v>95</v>
      </c>
      <c r="M1593">
        <f t="shared" si="269"/>
        <v>1</v>
      </c>
      <c r="N1593">
        <f t="shared" si="270"/>
        <v>0</v>
      </c>
    </row>
    <row r="1594" spans="4:14" x14ac:dyDescent="0.2">
      <c r="D1594">
        <f t="shared" si="272"/>
        <v>1571</v>
      </c>
      <c r="E1594" s="1">
        <f t="shared" si="273"/>
        <v>-14.083288477389836</v>
      </c>
      <c r="F1594" s="1">
        <f t="shared" si="274"/>
        <v>-16.418998191919567</v>
      </c>
      <c r="G1594" s="1">
        <f t="shared" si="271"/>
        <v>7.4014990352988336E-8</v>
      </c>
      <c r="H1594" s="1">
        <f t="shared" si="264"/>
        <v>7.6117686058308088E-10</v>
      </c>
      <c r="I1594">
        <f t="shared" si="265"/>
        <v>10</v>
      </c>
      <c r="J1594">
        <f t="shared" si="266"/>
        <v>1557</v>
      </c>
      <c r="K1594" s="5">
        <f t="shared" si="267"/>
        <v>0</v>
      </c>
      <c r="L1594">
        <f t="shared" si="268"/>
        <v>95</v>
      </c>
      <c r="M1594">
        <f t="shared" si="269"/>
        <v>1</v>
      </c>
      <c r="N1594">
        <f t="shared" si="270"/>
        <v>0</v>
      </c>
    </row>
    <row r="1595" spans="4:14" x14ac:dyDescent="0.2">
      <c r="D1595">
        <f t="shared" si="272"/>
        <v>1572</v>
      </c>
      <c r="E1595" s="1">
        <f t="shared" si="273"/>
        <v>-14.09375977725713</v>
      </c>
      <c r="F1595" s="1">
        <f t="shared" si="274"/>
        <v>-16.429469491786861</v>
      </c>
      <c r="G1595" s="1">
        <f t="shared" si="271"/>
        <v>7.3244000870144775E-8</v>
      </c>
      <c r="H1595" s="1">
        <f t="shared" si="264"/>
        <v>7.5324793495200777E-10</v>
      </c>
      <c r="I1595">
        <f t="shared" si="265"/>
        <v>10</v>
      </c>
      <c r="J1595">
        <f t="shared" si="266"/>
        <v>1558</v>
      </c>
      <c r="K1595" s="5">
        <f t="shared" si="267"/>
        <v>0</v>
      </c>
      <c r="L1595">
        <f t="shared" si="268"/>
        <v>95</v>
      </c>
      <c r="M1595">
        <f t="shared" si="269"/>
        <v>1</v>
      </c>
      <c r="N1595">
        <f t="shared" si="270"/>
        <v>0</v>
      </c>
    </row>
    <row r="1596" spans="4:14" x14ac:dyDescent="0.2">
      <c r="D1596">
        <f t="shared" si="272"/>
        <v>1573</v>
      </c>
      <c r="E1596" s="1">
        <f t="shared" si="273"/>
        <v>-14.104231077124425</v>
      </c>
      <c r="F1596" s="1">
        <f t="shared" si="274"/>
        <v>-16.439940791654156</v>
      </c>
      <c r="G1596" s="1">
        <f t="shared" si="271"/>
        <v>7.248104252774751E-8</v>
      </c>
      <c r="H1596" s="1">
        <f t="shared" si="264"/>
        <v>7.4540160229625847E-10</v>
      </c>
      <c r="I1596">
        <f t="shared" si="265"/>
        <v>10</v>
      </c>
      <c r="J1596">
        <f t="shared" si="266"/>
        <v>1559</v>
      </c>
      <c r="K1596" s="5">
        <f t="shared" si="267"/>
        <v>0</v>
      </c>
      <c r="L1596">
        <f t="shared" si="268"/>
        <v>95</v>
      </c>
      <c r="M1596">
        <f t="shared" si="269"/>
        <v>1</v>
      </c>
      <c r="N1596">
        <f t="shared" si="270"/>
        <v>0</v>
      </c>
    </row>
    <row r="1597" spans="4:14" x14ac:dyDescent="0.2">
      <c r="D1597">
        <f t="shared" si="272"/>
        <v>1574</v>
      </c>
      <c r="E1597" s="1">
        <f t="shared" si="273"/>
        <v>-14.114702376991719</v>
      </c>
      <c r="F1597" s="1">
        <f t="shared" si="274"/>
        <v>-16.45041209152145</v>
      </c>
      <c r="G1597" s="1">
        <f t="shared" si="271"/>
        <v>7.1726031668083536E-8</v>
      </c>
      <c r="H1597" s="1">
        <f t="shared" si="264"/>
        <v>7.3763700227233972E-10</v>
      </c>
      <c r="I1597">
        <f t="shared" si="265"/>
        <v>10</v>
      </c>
      <c r="J1597">
        <f t="shared" si="266"/>
        <v>1560</v>
      </c>
      <c r="K1597" s="5">
        <f t="shared" si="267"/>
        <v>0</v>
      </c>
      <c r="L1597">
        <f t="shared" si="268"/>
        <v>95</v>
      </c>
      <c r="M1597">
        <f t="shared" si="269"/>
        <v>1</v>
      </c>
      <c r="N1597">
        <f t="shared" si="270"/>
        <v>0</v>
      </c>
    </row>
    <row r="1598" spans="4:14" x14ac:dyDescent="0.2">
      <c r="D1598">
        <f t="shared" si="272"/>
        <v>1575</v>
      </c>
      <c r="E1598" s="1">
        <f t="shared" si="273"/>
        <v>-14.125173676859013</v>
      </c>
      <c r="F1598" s="1">
        <f t="shared" si="274"/>
        <v>-16.460883391388744</v>
      </c>
      <c r="G1598" s="1">
        <f t="shared" si="271"/>
        <v>7.0978885504874408E-8</v>
      </c>
      <c r="H1598" s="1">
        <f t="shared" si="264"/>
        <v>7.2995328349867039E-10</v>
      </c>
      <c r="I1598">
        <f t="shared" si="265"/>
        <v>10</v>
      </c>
      <c r="J1598">
        <f t="shared" si="266"/>
        <v>1561</v>
      </c>
      <c r="K1598" s="5">
        <f t="shared" si="267"/>
        <v>0</v>
      </c>
      <c r="L1598">
        <f t="shared" si="268"/>
        <v>95</v>
      </c>
      <c r="M1598">
        <f t="shared" si="269"/>
        <v>1</v>
      </c>
      <c r="N1598">
        <f t="shared" si="270"/>
        <v>0</v>
      </c>
    </row>
    <row r="1599" spans="4:14" x14ac:dyDescent="0.2">
      <c r="D1599">
        <f t="shared" si="272"/>
        <v>1576</v>
      </c>
      <c r="E1599" s="1">
        <f t="shared" si="273"/>
        <v>-14.135644976726308</v>
      </c>
      <c r="F1599" s="1">
        <f t="shared" si="274"/>
        <v>-16.471354691256039</v>
      </c>
      <c r="G1599" s="1">
        <f t="shared" si="271"/>
        <v>7.0239522114198701E-8</v>
      </c>
      <c r="H1599" s="1">
        <f t="shared" si="264"/>
        <v>7.2234960346222656E-10</v>
      </c>
      <c r="I1599">
        <f t="shared" si="265"/>
        <v>10</v>
      </c>
      <c r="J1599">
        <f t="shared" si="266"/>
        <v>1562</v>
      </c>
      <c r="K1599" s="5">
        <f t="shared" si="267"/>
        <v>0</v>
      </c>
      <c r="L1599">
        <f t="shared" si="268"/>
        <v>95</v>
      </c>
      <c r="M1599">
        <f t="shared" si="269"/>
        <v>1</v>
      </c>
      <c r="N1599">
        <f t="shared" si="270"/>
        <v>0</v>
      </c>
    </row>
    <row r="1600" spans="4:14" x14ac:dyDescent="0.2">
      <c r="D1600">
        <f t="shared" si="272"/>
        <v>1577</v>
      </c>
      <c r="E1600" s="1">
        <f t="shared" si="273"/>
        <v>-14.146116276593602</v>
      </c>
      <c r="F1600" s="1">
        <f t="shared" si="274"/>
        <v>-16.481825991123333</v>
      </c>
      <c r="G1600" s="1">
        <f t="shared" si="271"/>
        <v>6.9507860425509196E-8</v>
      </c>
      <c r="H1600" s="1">
        <f t="shared" si="264"/>
        <v>7.1482512842616235E-10</v>
      </c>
      <c r="I1600">
        <f t="shared" si="265"/>
        <v>10</v>
      </c>
      <c r="J1600">
        <f t="shared" si="266"/>
        <v>1563</v>
      </c>
      <c r="K1600" s="5">
        <f t="shared" si="267"/>
        <v>0</v>
      </c>
      <c r="L1600">
        <f t="shared" si="268"/>
        <v>95</v>
      </c>
      <c r="M1600">
        <f t="shared" si="269"/>
        <v>1</v>
      </c>
      <c r="N1600">
        <f t="shared" si="270"/>
        <v>0</v>
      </c>
    </row>
    <row r="1601" spans="4:14" x14ac:dyDescent="0.2">
      <c r="D1601">
        <f t="shared" si="272"/>
        <v>1578</v>
      </c>
      <c r="E1601" s="1">
        <f t="shared" si="273"/>
        <v>-14.156587576460897</v>
      </c>
      <c r="F1601" s="1">
        <f t="shared" si="274"/>
        <v>-16.492297290990628</v>
      </c>
      <c r="G1601" s="1">
        <f t="shared" si="271"/>
        <v>6.8783820212743533E-8</v>
      </c>
      <c r="H1601" s="1">
        <f t="shared" si="264"/>
        <v>7.0737903333839043E-10</v>
      </c>
      <c r="I1601">
        <f t="shared" si="265"/>
        <v>10</v>
      </c>
      <c r="J1601">
        <f t="shared" si="266"/>
        <v>1564</v>
      </c>
      <c r="K1601" s="5">
        <f t="shared" si="267"/>
        <v>0</v>
      </c>
      <c r="L1601">
        <f t="shared" si="268"/>
        <v>95</v>
      </c>
      <c r="M1601">
        <f t="shared" si="269"/>
        <v>1</v>
      </c>
      <c r="N1601">
        <f t="shared" si="270"/>
        <v>0</v>
      </c>
    </row>
    <row r="1602" spans="4:14" x14ac:dyDescent="0.2">
      <c r="D1602">
        <f t="shared" si="272"/>
        <v>1579</v>
      </c>
      <c r="E1602" s="1">
        <f t="shared" si="273"/>
        <v>-14.167058876328191</v>
      </c>
      <c r="F1602" s="1">
        <f t="shared" si="274"/>
        <v>-16.502768590857922</v>
      </c>
      <c r="G1602" s="1">
        <f t="shared" si="271"/>
        <v>6.8067322085527524E-8</v>
      </c>
      <c r="H1602" s="1">
        <f t="shared" si="264"/>
        <v>7.0001050174111624E-10</v>
      </c>
      <c r="I1602">
        <f t="shared" si="265"/>
        <v>10</v>
      </c>
      <c r="J1602">
        <f t="shared" si="266"/>
        <v>1565</v>
      </c>
      <c r="K1602" s="5">
        <f t="shared" si="267"/>
        <v>0</v>
      </c>
      <c r="L1602">
        <f t="shared" si="268"/>
        <v>95</v>
      </c>
      <c r="M1602">
        <f t="shared" si="269"/>
        <v>1</v>
      </c>
      <c r="N1602">
        <f t="shared" si="270"/>
        <v>0</v>
      </c>
    </row>
    <row r="1603" spans="4:14" x14ac:dyDescent="0.2">
      <c r="D1603">
        <f t="shared" si="272"/>
        <v>1580</v>
      </c>
      <c r="E1603" s="1">
        <f t="shared" si="273"/>
        <v>-14.177530176195486</v>
      </c>
      <c r="F1603" s="1">
        <f t="shared" si="274"/>
        <v>-16.513239890725217</v>
      </c>
      <c r="G1603" s="1">
        <f t="shared" si="271"/>
        <v>6.7358287480470012E-8</v>
      </c>
      <c r="H1603" s="1">
        <f t="shared" si="264"/>
        <v>6.9271872568131359E-10</v>
      </c>
      <c r="I1603">
        <f t="shared" si="265"/>
        <v>10</v>
      </c>
      <c r="J1603">
        <f t="shared" si="266"/>
        <v>1566</v>
      </c>
      <c r="K1603" s="5">
        <f t="shared" si="267"/>
        <v>0</v>
      </c>
      <c r="L1603">
        <f t="shared" si="268"/>
        <v>95</v>
      </c>
      <c r="M1603">
        <f t="shared" si="269"/>
        <v>1</v>
      </c>
      <c r="N1603">
        <f t="shared" si="270"/>
        <v>0</v>
      </c>
    </row>
    <row r="1604" spans="4:14" x14ac:dyDescent="0.2">
      <c r="D1604">
        <f t="shared" si="272"/>
        <v>1581</v>
      </c>
      <c r="E1604" s="1">
        <f t="shared" si="273"/>
        <v>-14.18800147606278</v>
      </c>
      <c r="F1604" s="1">
        <f t="shared" si="274"/>
        <v>-16.523711190592511</v>
      </c>
      <c r="G1604" s="1">
        <f t="shared" si="271"/>
        <v>6.6656638652548514E-8</v>
      </c>
      <c r="H1604" s="1">
        <f t="shared" si="264"/>
        <v>6.8550290562213399E-10</v>
      </c>
      <c r="I1604">
        <f t="shared" si="265"/>
        <v>10</v>
      </c>
      <c r="J1604">
        <f t="shared" si="266"/>
        <v>1567</v>
      </c>
      <c r="K1604" s="5">
        <f t="shared" si="267"/>
        <v>0</v>
      </c>
      <c r="L1604">
        <f t="shared" si="268"/>
        <v>95</v>
      </c>
      <c r="M1604">
        <f t="shared" si="269"/>
        <v>1</v>
      </c>
      <c r="N1604">
        <f t="shared" si="270"/>
        <v>0</v>
      </c>
    </row>
    <row r="1605" spans="4:14" x14ac:dyDescent="0.2">
      <c r="D1605">
        <f t="shared" si="272"/>
        <v>1582</v>
      </c>
      <c r="E1605" s="1">
        <f t="shared" si="273"/>
        <v>-14.198472775930075</v>
      </c>
      <c r="F1605" s="1">
        <f t="shared" si="274"/>
        <v>-16.534182490459806</v>
      </c>
      <c r="G1605" s="1">
        <f t="shared" si="271"/>
        <v>6.596229866658453E-8</v>
      </c>
      <c r="H1605" s="1">
        <f t="shared" si="264"/>
        <v>6.7836225035523738E-10</v>
      </c>
      <c r="I1605">
        <f t="shared" si="265"/>
        <v>10</v>
      </c>
      <c r="J1605">
        <f t="shared" si="266"/>
        <v>1568</v>
      </c>
      <c r="K1605" s="5">
        <f t="shared" si="267"/>
        <v>0</v>
      </c>
      <c r="L1605">
        <f t="shared" si="268"/>
        <v>95</v>
      </c>
      <c r="M1605">
        <f t="shared" si="269"/>
        <v>1</v>
      </c>
      <c r="N1605">
        <f t="shared" si="270"/>
        <v>0</v>
      </c>
    </row>
    <row r="1606" spans="4:14" x14ac:dyDescent="0.2">
      <c r="D1606">
        <f t="shared" si="272"/>
        <v>1583</v>
      </c>
      <c r="E1606" s="1">
        <f t="shared" si="273"/>
        <v>-14.208944075797369</v>
      </c>
      <c r="F1606" s="1">
        <f t="shared" si="274"/>
        <v>-16.5446537903271</v>
      </c>
      <c r="G1606" s="1">
        <f t="shared" si="271"/>
        <v>6.5275191388807669E-8</v>
      </c>
      <c r="H1606" s="1">
        <f t="shared" si="264"/>
        <v>6.7129597691403763E-10</v>
      </c>
      <c r="I1606">
        <f t="shared" si="265"/>
        <v>10</v>
      </c>
      <c r="J1606">
        <f t="shared" si="266"/>
        <v>1569</v>
      </c>
      <c r="K1606" s="5">
        <f t="shared" si="267"/>
        <v>0</v>
      </c>
      <c r="L1606">
        <f t="shared" si="268"/>
        <v>95</v>
      </c>
      <c r="M1606">
        <f t="shared" si="269"/>
        <v>1</v>
      </c>
      <c r="N1606">
        <f t="shared" si="270"/>
        <v>0</v>
      </c>
    </row>
    <row r="1607" spans="4:14" x14ac:dyDescent="0.2">
      <c r="D1607">
        <f t="shared" si="272"/>
        <v>1584</v>
      </c>
      <c r="E1607" s="1">
        <f t="shared" si="273"/>
        <v>-14.219415375664664</v>
      </c>
      <c r="F1607" s="1">
        <f t="shared" si="274"/>
        <v>-16.555125090194394</v>
      </c>
      <c r="G1607" s="1">
        <f t="shared" si="271"/>
        <v>6.4595241478507657E-8</v>
      </c>
      <c r="H1607" s="1">
        <f t="shared" si="264"/>
        <v>6.6430331048785038E-10</v>
      </c>
      <c r="I1607">
        <f t="shared" si="265"/>
        <v>10</v>
      </c>
      <c r="J1607">
        <f t="shared" si="266"/>
        <v>1570</v>
      </c>
      <c r="K1607" s="5">
        <f t="shared" si="267"/>
        <v>0</v>
      </c>
      <c r="L1607">
        <f t="shared" si="268"/>
        <v>95</v>
      </c>
      <c r="M1607">
        <f t="shared" si="269"/>
        <v>1</v>
      </c>
      <c r="N1607">
        <f t="shared" si="270"/>
        <v>0</v>
      </c>
    </row>
    <row r="1608" spans="4:14" x14ac:dyDescent="0.2">
      <c r="D1608">
        <f t="shared" si="272"/>
        <v>1585</v>
      </c>
      <c r="E1608" s="1">
        <f t="shared" si="273"/>
        <v>-14.229886675531958</v>
      </c>
      <c r="F1608" s="1">
        <f t="shared" si="274"/>
        <v>-16.565596390061689</v>
      </c>
      <c r="G1608" s="1">
        <f t="shared" si="271"/>
        <v>6.3922374379773259E-8</v>
      </c>
      <c r="H1608" s="1">
        <f t="shared" si="264"/>
        <v>6.5738348433693592E-10</v>
      </c>
      <c r="I1608">
        <f t="shared" si="265"/>
        <v>10</v>
      </c>
      <c r="J1608">
        <f t="shared" si="266"/>
        <v>1571</v>
      </c>
      <c r="K1608" s="5">
        <f t="shared" si="267"/>
        <v>0</v>
      </c>
      <c r="L1608">
        <f t="shared" si="268"/>
        <v>95</v>
      </c>
      <c r="M1608">
        <f t="shared" si="269"/>
        <v>1</v>
      </c>
      <c r="N1608">
        <f t="shared" si="270"/>
        <v>0</v>
      </c>
    </row>
    <row r="1609" spans="4:14" x14ac:dyDescent="0.2">
      <c r="D1609">
        <f t="shared" si="272"/>
        <v>1586</v>
      </c>
      <c r="E1609" s="1">
        <f t="shared" si="273"/>
        <v>-14.240357975399252</v>
      </c>
      <c r="F1609" s="1">
        <f t="shared" si="274"/>
        <v>-16.576067689928983</v>
      </c>
      <c r="G1609" s="1">
        <f t="shared" si="271"/>
        <v>6.3256516313317341E-8</v>
      </c>
      <c r="H1609" s="1">
        <f t="shared" si="264"/>
        <v>6.5053573970842665E-10</v>
      </c>
      <c r="I1609">
        <f t="shared" si="265"/>
        <v>10</v>
      </c>
      <c r="J1609">
        <f t="shared" si="266"/>
        <v>1572</v>
      </c>
      <c r="K1609" s="5">
        <f t="shared" si="267"/>
        <v>0</v>
      </c>
      <c r="L1609">
        <f t="shared" si="268"/>
        <v>95</v>
      </c>
      <c r="M1609">
        <f t="shared" si="269"/>
        <v>1</v>
      </c>
      <c r="N1609">
        <f t="shared" si="270"/>
        <v>0</v>
      </c>
    </row>
    <row r="1610" spans="4:14" x14ac:dyDescent="0.2">
      <c r="D1610">
        <f t="shared" si="272"/>
        <v>1587</v>
      </c>
      <c r="E1610" s="1">
        <f t="shared" si="273"/>
        <v>-14.250829275266547</v>
      </c>
      <c r="F1610" s="1">
        <f t="shared" si="274"/>
        <v>-16.586538989796278</v>
      </c>
      <c r="G1610" s="1">
        <f t="shared" si="271"/>
        <v>6.259759426838702E-8</v>
      </c>
      <c r="H1610" s="1">
        <f t="shared" si="264"/>
        <v>6.4375932575313125E-10</v>
      </c>
      <c r="I1610">
        <f t="shared" si="265"/>
        <v>10</v>
      </c>
      <c r="J1610">
        <f t="shared" si="266"/>
        <v>1573</v>
      </c>
      <c r="K1610" s="5">
        <f t="shared" si="267"/>
        <v>0</v>
      </c>
      <c r="L1610">
        <f t="shared" si="268"/>
        <v>95</v>
      </c>
      <c r="M1610">
        <f t="shared" si="269"/>
        <v>1</v>
      </c>
      <c r="N1610">
        <f t="shared" si="270"/>
        <v>0</v>
      </c>
    </row>
    <row r="1611" spans="4:14" x14ac:dyDescent="0.2">
      <c r="D1611">
        <f t="shared" si="272"/>
        <v>1588</v>
      </c>
      <c r="E1611" s="1">
        <f t="shared" si="273"/>
        <v>-14.261300575133841</v>
      </c>
      <c r="F1611" s="1">
        <f t="shared" si="274"/>
        <v>-16.597010289663572</v>
      </c>
      <c r="G1611" s="1">
        <f t="shared" si="271"/>
        <v>6.1945535994758046E-8</v>
      </c>
      <c r="H1611" s="1">
        <f t="shared" si="264"/>
        <v>6.370534994432034E-10</v>
      </c>
      <c r="I1611">
        <f t="shared" si="265"/>
        <v>10</v>
      </c>
      <c r="J1611">
        <f t="shared" si="266"/>
        <v>1574</v>
      </c>
      <c r="K1611" s="5">
        <f t="shared" si="267"/>
        <v>0</v>
      </c>
      <c r="L1611">
        <f t="shared" si="268"/>
        <v>95</v>
      </c>
      <c r="M1611">
        <f t="shared" si="269"/>
        <v>1</v>
      </c>
      <c r="N1611">
        <f t="shared" si="270"/>
        <v>0</v>
      </c>
    </row>
    <row r="1612" spans="4:14" x14ac:dyDescent="0.2">
      <c r="D1612">
        <f t="shared" si="272"/>
        <v>1589</v>
      </c>
      <c r="E1612" s="1">
        <f t="shared" si="273"/>
        <v>-14.271771875001136</v>
      </c>
      <c r="F1612" s="1">
        <f t="shared" si="274"/>
        <v>-16.607481589530867</v>
      </c>
      <c r="G1612" s="1">
        <f t="shared" si="271"/>
        <v>6.1300269994812704E-8</v>
      </c>
      <c r="H1612" s="1">
        <f t="shared" si="264"/>
        <v>6.3041752549067063E-10</v>
      </c>
      <c r="I1612">
        <f t="shared" si="265"/>
        <v>10</v>
      </c>
      <c r="J1612">
        <f t="shared" si="266"/>
        <v>1575</v>
      </c>
      <c r="K1612" s="5">
        <f t="shared" si="267"/>
        <v>0</v>
      </c>
      <c r="L1612">
        <f t="shared" si="268"/>
        <v>95</v>
      </c>
      <c r="M1612">
        <f t="shared" si="269"/>
        <v>1</v>
      </c>
      <c r="N1612">
        <f t="shared" si="270"/>
        <v>0</v>
      </c>
    </row>
    <row r="1613" spans="4:14" x14ac:dyDescent="0.2">
      <c r="D1613">
        <f t="shared" si="272"/>
        <v>1590</v>
      </c>
      <c r="E1613" s="1">
        <f t="shared" si="273"/>
        <v>-14.28224317486843</v>
      </c>
      <c r="F1613" s="1">
        <f t="shared" si="274"/>
        <v>-16.617952889398161</v>
      </c>
      <c r="G1613" s="1">
        <f t="shared" si="271"/>
        <v>6.0661725515700127E-8</v>
      </c>
      <c r="H1613" s="1">
        <f t="shared" si="264"/>
        <v>6.2385067626681003E-10</v>
      </c>
      <c r="I1613">
        <f t="shared" si="265"/>
        <v>10</v>
      </c>
      <c r="J1613">
        <f t="shared" si="266"/>
        <v>1576</v>
      </c>
      <c r="K1613" s="5">
        <f t="shared" si="267"/>
        <v>0</v>
      </c>
      <c r="L1613">
        <f t="shared" si="268"/>
        <v>95</v>
      </c>
      <c r="M1613">
        <f t="shared" si="269"/>
        <v>1</v>
      </c>
      <c r="N1613">
        <f t="shared" si="270"/>
        <v>0</v>
      </c>
    </row>
    <row r="1614" spans="4:14" x14ac:dyDescent="0.2">
      <c r="D1614">
        <f t="shared" si="272"/>
        <v>1591</v>
      </c>
      <c r="E1614" s="1">
        <f t="shared" si="273"/>
        <v>-14.292714474735725</v>
      </c>
      <c r="F1614" s="1">
        <f t="shared" si="274"/>
        <v>-16.628424189265456</v>
      </c>
      <c r="G1614" s="1">
        <f t="shared" si="271"/>
        <v>6.002983254157831E-8</v>
      </c>
      <c r="H1614" s="1">
        <f t="shared" si="264"/>
        <v>6.1735223172236473E-10</v>
      </c>
      <c r="I1614">
        <f t="shared" si="265"/>
        <v>10</v>
      </c>
      <c r="J1614">
        <f t="shared" si="266"/>
        <v>1577</v>
      </c>
      <c r="K1614" s="5">
        <f t="shared" si="267"/>
        <v>0</v>
      </c>
      <c r="L1614">
        <f t="shared" si="268"/>
        <v>95</v>
      </c>
      <c r="M1614">
        <f t="shared" si="269"/>
        <v>1</v>
      </c>
      <c r="N1614">
        <f t="shared" si="270"/>
        <v>0</v>
      </c>
    </row>
    <row r="1615" spans="4:14" x14ac:dyDescent="0.2">
      <c r="D1615">
        <f t="shared" si="272"/>
        <v>1592</v>
      </c>
      <c r="E1615" s="1">
        <f t="shared" si="273"/>
        <v>-14.303185774603019</v>
      </c>
      <c r="F1615" s="1">
        <f t="shared" si="274"/>
        <v>-16.63889548913275</v>
      </c>
      <c r="G1615" s="1">
        <f t="shared" si="271"/>
        <v>5.9404521785936928E-8</v>
      </c>
      <c r="H1615" s="1">
        <f t="shared" si="264"/>
        <v>6.1092147930859072E-10</v>
      </c>
      <c r="I1615">
        <f t="shared" si="265"/>
        <v>10</v>
      </c>
      <c r="J1615">
        <f t="shared" si="266"/>
        <v>1578</v>
      </c>
      <c r="K1615" s="5">
        <f t="shared" si="267"/>
        <v>0</v>
      </c>
      <c r="L1615">
        <f t="shared" si="268"/>
        <v>95</v>
      </c>
      <c r="M1615">
        <f t="shared" si="269"/>
        <v>1</v>
      </c>
      <c r="N1615">
        <f t="shared" si="270"/>
        <v>0</v>
      </c>
    </row>
    <row r="1616" spans="4:14" x14ac:dyDescent="0.2">
      <c r="D1616">
        <f t="shared" si="272"/>
        <v>1593</v>
      </c>
      <c r="E1616" s="1">
        <f t="shared" si="273"/>
        <v>-14.313657074470314</v>
      </c>
      <c r="F1616" s="1">
        <f t="shared" si="274"/>
        <v>-16.649366789000045</v>
      </c>
      <c r="G1616" s="1">
        <f t="shared" si="271"/>
        <v>5.8785724684000141E-8</v>
      </c>
      <c r="H1616" s="1">
        <f t="shared" si="264"/>
        <v>6.0455771389912671E-10</v>
      </c>
      <c r="I1616">
        <f t="shared" si="265"/>
        <v>10</v>
      </c>
      <c r="J1616">
        <f t="shared" si="266"/>
        <v>1579</v>
      </c>
      <c r="K1616" s="5">
        <f t="shared" si="267"/>
        <v>0</v>
      </c>
      <c r="L1616">
        <f t="shared" si="268"/>
        <v>95</v>
      </c>
      <c r="M1616">
        <f t="shared" si="269"/>
        <v>1</v>
      </c>
      <c r="N1616">
        <f t="shared" si="270"/>
        <v>0</v>
      </c>
    </row>
    <row r="1617" spans="4:14" x14ac:dyDescent="0.2">
      <c r="D1617">
        <f t="shared" si="272"/>
        <v>1594</v>
      </c>
      <c r="E1617" s="1">
        <f t="shared" si="273"/>
        <v>-14.324128374337608</v>
      </c>
      <c r="F1617" s="1">
        <f t="shared" si="274"/>
        <v>-16.659838088867339</v>
      </c>
      <c r="G1617" s="1">
        <f t="shared" si="271"/>
        <v>5.8173373385208532E-8</v>
      </c>
      <c r="H1617" s="1">
        <f t="shared" si="264"/>
        <v>5.982602377126781E-10</v>
      </c>
      <c r="I1617">
        <f t="shared" si="265"/>
        <v>10</v>
      </c>
      <c r="J1617">
        <f t="shared" si="266"/>
        <v>1580</v>
      </c>
      <c r="K1617" s="5">
        <f t="shared" si="267"/>
        <v>0</v>
      </c>
      <c r="L1617">
        <f t="shared" si="268"/>
        <v>95</v>
      </c>
      <c r="M1617">
        <f t="shared" si="269"/>
        <v>1</v>
      </c>
      <c r="N1617">
        <f t="shared" si="270"/>
        <v>0</v>
      </c>
    </row>
    <row r="1618" spans="4:14" x14ac:dyDescent="0.2">
      <c r="D1618">
        <f t="shared" si="272"/>
        <v>1595</v>
      </c>
      <c r="E1618" s="1">
        <f t="shared" si="273"/>
        <v>-14.334599674204902</v>
      </c>
      <c r="F1618" s="1">
        <f t="shared" si="274"/>
        <v>-16.670309388734633</v>
      </c>
      <c r="G1618" s="1">
        <f t="shared" si="271"/>
        <v>5.7567400745779327E-8</v>
      </c>
      <c r="H1618" s="1">
        <f t="shared" si="264"/>
        <v>5.920283602365049E-10</v>
      </c>
      <c r="I1618">
        <f t="shared" si="265"/>
        <v>10</v>
      </c>
      <c r="J1618">
        <f t="shared" si="266"/>
        <v>1581</v>
      </c>
      <c r="K1618" s="5">
        <f t="shared" si="267"/>
        <v>0</v>
      </c>
      <c r="L1618">
        <f t="shared" si="268"/>
        <v>95</v>
      </c>
      <c r="M1618">
        <f t="shared" si="269"/>
        <v>1</v>
      </c>
      <c r="N1618">
        <f t="shared" si="270"/>
        <v>0</v>
      </c>
    </row>
    <row r="1619" spans="4:14" x14ac:dyDescent="0.2">
      <c r="D1619">
        <f t="shared" si="272"/>
        <v>1596</v>
      </c>
      <c r="E1619" s="1">
        <f t="shared" si="273"/>
        <v>-14.345070974072197</v>
      </c>
      <c r="F1619" s="1">
        <f t="shared" si="274"/>
        <v>-16.680780688601928</v>
      </c>
      <c r="G1619" s="1">
        <f t="shared" si="271"/>
        <v>5.6967740321344184E-8</v>
      </c>
      <c r="H1619" s="1">
        <f t="shared" si="264"/>
        <v>5.8586139815070861E-10</v>
      </c>
      <c r="I1619">
        <f t="shared" si="265"/>
        <v>10</v>
      </c>
      <c r="J1619">
        <f t="shared" si="266"/>
        <v>1582</v>
      </c>
      <c r="K1619" s="5">
        <f t="shared" si="267"/>
        <v>0</v>
      </c>
      <c r="L1619">
        <f t="shared" si="268"/>
        <v>95</v>
      </c>
      <c r="M1619">
        <f t="shared" si="269"/>
        <v>1</v>
      </c>
      <c r="N1619">
        <f t="shared" si="270"/>
        <v>0</v>
      </c>
    </row>
    <row r="1620" spans="4:14" x14ac:dyDescent="0.2">
      <c r="D1620">
        <f t="shared" si="272"/>
        <v>1597</v>
      </c>
      <c r="E1620" s="1">
        <f t="shared" si="273"/>
        <v>-14.355542273939491</v>
      </c>
      <c r="F1620" s="1">
        <f t="shared" si="274"/>
        <v>-16.691251988469222</v>
      </c>
      <c r="G1620" s="1">
        <f t="shared" si="271"/>
        <v>5.6374326359663567E-8</v>
      </c>
      <c r="H1620" s="1">
        <f t="shared" si="264"/>
        <v>5.7975867525330593E-10</v>
      </c>
      <c r="I1620">
        <f t="shared" si="265"/>
        <v>10</v>
      </c>
      <c r="J1620">
        <f t="shared" si="266"/>
        <v>1583</v>
      </c>
      <c r="K1620" s="5">
        <f t="shared" si="267"/>
        <v>0</v>
      </c>
      <c r="L1620">
        <f t="shared" si="268"/>
        <v>95</v>
      </c>
      <c r="M1620">
        <f t="shared" si="269"/>
        <v>1</v>
      </c>
      <c r="N1620">
        <f t="shared" si="270"/>
        <v>0</v>
      </c>
    </row>
    <row r="1621" spans="4:14" x14ac:dyDescent="0.2">
      <c r="D1621">
        <f t="shared" si="272"/>
        <v>1598</v>
      </c>
      <c r="E1621" s="1">
        <f t="shared" si="273"/>
        <v>-14.366013573806786</v>
      </c>
      <c r="F1621" s="1">
        <f t="shared" si="274"/>
        <v>-16.701723288336517</v>
      </c>
      <c r="G1621" s="1">
        <f t="shared" si="271"/>
        <v>5.5787093793417127E-8</v>
      </c>
      <c r="H1621" s="1">
        <f t="shared" si="264"/>
        <v>5.7371952238608457E-10</v>
      </c>
      <c r="I1621">
        <f t="shared" si="265"/>
        <v>10</v>
      </c>
      <c r="J1621">
        <f t="shared" si="266"/>
        <v>1584</v>
      </c>
      <c r="K1621" s="5">
        <f t="shared" si="267"/>
        <v>0</v>
      </c>
      <c r="L1621">
        <f t="shared" si="268"/>
        <v>95</v>
      </c>
      <c r="M1621">
        <f t="shared" si="269"/>
        <v>1</v>
      </c>
      <c r="N1621">
        <f t="shared" si="270"/>
        <v>0</v>
      </c>
    </row>
    <row r="1622" spans="4:14" x14ac:dyDescent="0.2">
      <c r="D1622">
        <f t="shared" si="272"/>
        <v>1599</v>
      </c>
      <c r="E1622" s="1">
        <f t="shared" si="273"/>
        <v>-14.37648487367408</v>
      </c>
      <c r="F1622" s="1">
        <f t="shared" si="274"/>
        <v>-16.712194588203811</v>
      </c>
      <c r="G1622" s="1">
        <f t="shared" si="271"/>
        <v>5.5205978233069081E-8</v>
      </c>
      <c r="H1622" s="1">
        <f t="shared" si="264"/>
        <v>5.6774327736123003E-10</v>
      </c>
      <c r="I1622">
        <f t="shared" si="265"/>
        <v>10</v>
      </c>
      <c r="J1622">
        <f t="shared" si="266"/>
        <v>1585</v>
      </c>
      <c r="K1622" s="5">
        <f t="shared" si="267"/>
        <v>0</v>
      </c>
      <c r="L1622">
        <f t="shared" si="268"/>
        <v>95</v>
      </c>
      <c r="M1622">
        <f t="shared" si="269"/>
        <v>1</v>
      </c>
      <c r="N1622">
        <f t="shared" si="270"/>
        <v>0</v>
      </c>
    </row>
    <row r="1623" spans="4:14" x14ac:dyDescent="0.2">
      <c r="D1623">
        <f t="shared" si="272"/>
        <v>1600</v>
      </c>
      <c r="E1623" s="1">
        <f t="shared" si="273"/>
        <v>-14.386956173541375</v>
      </c>
      <c r="F1623" s="1">
        <f t="shared" si="274"/>
        <v>-16.722665888071106</v>
      </c>
      <c r="G1623" s="1">
        <f t="shared" si="271"/>
        <v>5.4630915959808003E-8</v>
      </c>
      <c r="H1623" s="1">
        <f t="shared" ref="H1623:H1686" si="275">G1623/$G$21</f>
        <v>5.6182928488871777E-10</v>
      </c>
      <c r="I1623">
        <f t="shared" ref="I1623:I1686" si="276">IF($F$11&lt;=D1623, IF(D1623&lt;=$A$15,D1623-$F$11,$C$11),0)</f>
        <v>10</v>
      </c>
      <c r="J1623">
        <f t="shared" ref="J1623:J1686" si="277">IF(D1623&lt;=$A$15,0,D1623-$A$15)</f>
        <v>1586</v>
      </c>
      <c r="K1623" s="5">
        <f t="shared" ref="K1623:K1686" si="278">IF(D1623&lt;$F$11,H1623,0)</f>
        <v>0</v>
      </c>
      <c r="L1623">
        <f t="shared" ref="L1623:L1686" si="279">IF(D1623&lt;$A$15,$D$11,$D$11*(1-$H$11))</f>
        <v>95</v>
      </c>
      <c r="M1623">
        <f t="shared" ref="M1623:M1686" si="280">IF(D1623&lt;$A$15,0,1)</f>
        <v>1</v>
      </c>
      <c r="N1623">
        <f t="shared" ref="N1623:N1686" si="281">IF(SUM(I1623:J1623)&lt;=($G$11/60*$F$11/($E$11/60)),1,0)</f>
        <v>0</v>
      </c>
    </row>
    <row r="1624" spans="4:14" x14ac:dyDescent="0.2">
      <c r="D1624">
        <f t="shared" si="272"/>
        <v>1601</v>
      </c>
      <c r="E1624" s="1">
        <f t="shared" si="273"/>
        <v>-14.397427473408669</v>
      </c>
      <c r="F1624" s="1">
        <f t="shared" si="274"/>
        <v>-16.7331371879384</v>
      </c>
      <c r="G1624" s="1">
        <f t="shared" ref="G1624:G1687" si="282">EXP(F1624)</f>
        <v>5.4061843918560053E-8</v>
      </c>
      <c r="H1624" s="1">
        <f t="shared" si="275"/>
        <v>5.559768965044608E-10</v>
      </c>
      <c r="I1624">
        <f t="shared" si="276"/>
        <v>10</v>
      </c>
      <c r="J1624">
        <f t="shared" si="277"/>
        <v>1587</v>
      </c>
      <c r="K1624" s="5">
        <f t="shared" si="278"/>
        <v>0</v>
      </c>
      <c r="L1624">
        <f t="shared" si="279"/>
        <v>95</v>
      </c>
      <c r="M1624">
        <f t="shared" si="280"/>
        <v>1</v>
      </c>
      <c r="N1624">
        <f t="shared" si="281"/>
        <v>0</v>
      </c>
    </row>
    <row r="1625" spans="4:14" x14ac:dyDescent="0.2">
      <c r="D1625">
        <f t="shared" ref="D1625:D1688" si="283">1+D1624</f>
        <v>1602</v>
      </c>
      <c r="E1625" s="1">
        <f t="shared" ref="E1625:E1688" si="284">IF($H$11=1,IF(D1625&lt;=$A$15, E1624+LN($D$11)-LN(60/$E$11)-LN(MIN(D1625,$F$11)), E1624-LN(60/$E$11)-LN(MIN(D1625,$F$11))), IF(D1625&lt;=$A$15, E1624+LN($D$11)-LN(60/$E$11)-LN(MIN(D1625,$F$11)), E1624+LN($D$11)+LN(1-$H$11)-LN(60/$E$11)-LN(MIN(D1625,$F$11))))</f>
        <v>-14.407898773275964</v>
      </c>
      <c r="F1625" s="1">
        <f t="shared" ref="F1625:F1688" si="285">E1625-$E$21</f>
        <v>-16.743608487805695</v>
      </c>
      <c r="G1625" s="1">
        <f t="shared" si="282"/>
        <v>5.3498699711075101E-8</v>
      </c>
      <c r="H1625" s="1">
        <f t="shared" si="275"/>
        <v>5.5018547049920652E-10</v>
      </c>
      <c r="I1625">
        <f t="shared" si="276"/>
        <v>10</v>
      </c>
      <c r="J1625">
        <f t="shared" si="277"/>
        <v>1588</v>
      </c>
      <c r="K1625" s="5">
        <f t="shared" si="278"/>
        <v>0</v>
      </c>
      <c r="L1625">
        <f t="shared" si="279"/>
        <v>95</v>
      </c>
      <c r="M1625">
        <f t="shared" si="280"/>
        <v>1</v>
      </c>
      <c r="N1625">
        <f t="shared" si="281"/>
        <v>0</v>
      </c>
    </row>
    <row r="1626" spans="4:14" x14ac:dyDescent="0.2">
      <c r="D1626">
        <f t="shared" si="283"/>
        <v>1603</v>
      </c>
      <c r="E1626" s="1">
        <f t="shared" si="284"/>
        <v>-14.418370073143258</v>
      </c>
      <c r="F1626" s="1">
        <f t="shared" si="285"/>
        <v>-16.754079787672989</v>
      </c>
      <c r="G1626" s="1">
        <f t="shared" si="282"/>
        <v>5.2941421589084789E-8</v>
      </c>
      <c r="H1626" s="1">
        <f t="shared" si="275"/>
        <v>5.4445437184817372E-10</v>
      </c>
      <c r="I1626">
        <f t="shared" si="276"/>
        <v>10</v>
      </c>
      <c r="J1626">
        <f t="shared" si="277"/>
        <v>1589</v>
      </c>
      <c r="K1626" s="5">
        <f t="shared" si="278"/>
        <v>0</v>
      </c>
      <c r="L1626">
        <f t="shared" si="279"/>
        <v>95</v>
      </c>
      <c r="M1626">
        <f t="shared" si="280"/>
        <v>1</v>
      </c>
      <c r="N1626">
        <f t="shared" si="281"/>
        <v>0</v>
      </c>
    </row>
    <row r="1627" spans="4:14" x14ac:dyDescent="0.2">
      <c r="D1627">
        <f t="shared" si="283"/>
        <v>1604</v>
      </c>
      <c r="E1627" s="1">
        <f t="shared" si="284"/>
        <v>-14.428841373010552</v>
      </c>
      <c r="F1627" s="1">
        <f t="shared" si="285"/>
        <v>-16.764551087540283</v>
      </c>
      <c r="G1627" s="1">
        <f t="shared" si="282"/>
        <v>5.2389948447531867E-8</v>
      </c>
      <c r="H1627" s="1">
        <f t="shared" si="275"/>
        <v>5.387829721414223E-10</v>
      </c>
      <c r="I1627">
        <f t="shared" si="276"/>
        <v>10</v>
      </c>
      <c r="J1627">
        <f t="shared" si="277"/>
        <v>1590</v>
      </c>
      <c r="K1627" s="5">
        <f t="shared" si="278"/>
        <v>0</v>
      </c>
      <c r="L1627">
        <f t="shared" si="279"/>
        <v>95</v>
      </c>
      <c r="M1627">
        <f t="shared" si="280"/>
        <v>1</v>
      </c>
      <c r="N1627">
        <f t="shared" si="281"/>
        <v>0</v>
      </c>
    </row>
    <row r="1628" spans="4:14" x14ac:dyDescent="0.2">
      <c r="D1628">
        <f t="shared" si="283"/>
        <v>1605</v>
      </c>
      <c r="E1628" s="1">
        <f t="shared" si="284"/>
        <v>-14.439312672877847</v>
      </c>
      <c r="F1628" s="1">
        <f t="shared" si="285"/>
        <v>-16.775022387407578</v>
      </c>
      <c r="G1628" s="1">
        <f t="shared" si="282"/>
        <v>5.184421981787013E-8</v>
      </c>
      <c r="H1628" s="1">
        <f t="shared" si="275"/>
        <v>5.331706495149497E-10</v>
      </c>
      <c r="I1628">
        <f t="shared" si="276"/>
        <v>10</v>
      </c>
      <c r="J1628">
        <f t="shared" si="277"/>
        <v>1591</v>
      </c>
      <c r="K1628" s="5">
        <f t="shared" si="278"/>
        <v>0</v>
      </c>
      <c r="L1628">
        <f t="shared" si="279"/>
        <v>95</v>
      </c>
      <c r="M1628">
        <f t="shared" si="280"/>
        <v>1</v>
      </c>
      <c r="N1628">
        <f t="shared" si="281"/>
        <v>0</v>
      </c>
    </row>
    <row r="1629" spans="4:14" x14ac:dyDescent="0.2">
      <c r="D1629">
        <f t="shared" si="283"/>
        <v>1606</v>
      </c>
      <c r="E1629" s="1">
        <f t="shared" si="284"/>
        <v>-14.449783972745141</v>
      </c>
      <c r="F1629" s="1">
        <f t="shared" si="285"/>
        <v>-16.785493687274872</v>
      </c>
      <c r="G1629" s="1">
        <f t="shared" si="282"/>
        <v>5.130417586143403E-8</v>
      </c>
      <c r="H1629" s="1">
        <f t="shared" si="275"/>
        <v>5.2761678858250283E-10</v>
      </c>
      <c r="I1629">
        <f t="shared" si="276"/>
        <v>10</v>
      </c>
      <c r="J1629">
        <f t="shared" si="277"/>
        <v>1592</v>
      </c>
      <c r="K1629" s="5">
        <f t="shared" si="278"/>
        <v>0</v>
      </c>
      <c r="L1629">
        <f t="shared" si="279"/>
        <v>95</v>
      </c>
      <c r="M1629">
        <f t="shared" si="280"/>
        <v>1</v>
      </c>
      <c r="N1629">
        <f t="shared" si="281"/>
        <v>0</v>
      </c>
    </row>
    <row r="1630" spans="4:14" x14ac:dyDescent="0.2">
      <c r="D1630">
        <f t="shared" si="283"/>
        <v>1607</v>
      </c>
      <c r="E1630" s="1">
        <f t="shared" si="284"/>
        <v>-14.460255272612436</v>
      </c>
      <c r="F1630" s="1">
        <f t="shared" si="285"/>
        <v>-16.795964987142167</v>
      </c>
      <c r="G1630" s="1">
        <f t="shared" si="282"/>
        <v>5.0769757362877474E-8</v>
      </c>
      <c r="H1630" s="1">
        <f t="shared" si="275"/>
        <v>5.2212078036810221E-10</v>
      </c>
      <c r="I1630">
        <f t="shared" si="276"/>
        <v>10</v>
      </c>
      <c r="J1630">
        <f t="shared" si="277"/>
        <v>1593</v>
      </c>
      <c r="K1630" s="5">
        <f t="shared" si="278"/>
        <v>0</v>
      </c>
      <c r="L1630">
        <f t="shared" si="279"/>
        <v>95</v>
      </c>
      <c r="M1630">
        <f t="shared" si="280"/>
        <v>1</v>
      </c>
      <c r="N1630">
        <f t="shared" si="281"/>
        <v>0</v>
      </c>
    </row>
    <row r="1631" spans="4:14" x14ac:dyDescent="0.2">
      <c r="D1631">
        <f t="shared" si="283"/>
        <v>1608</v>
      </c>
      <c r="E1631" s="1">
        <f t="shared" si="284"/>
        <v>-14.47072657247973</v>
      </c>
      <c r="F1631" s="1">
        <f t="shared" si="285"/>
        <v>-16.806436287009461</v>
      </c>
      <c r="G1631" s="1">
        <f t="shared" si="282"/>
        <v>5.0240905723680882E-8</v>
      </c>
      <c r="H1631" s="1">
        <f t="shared" si="275"/>
        <v>5.1668202223926831E-10</v>
      </c>
      <c r="I1631">
        <f t="shared" si="276"/>
        <v>10</v>
      </c>
      <c r="J1631">
        <f t="shared" si="277"/>
        <v>1594</v>
      </c>
      <c r="K1631" s="5">
        <f t="shared" si="278"/>
        <v>0</v>
      </c>
      <c r="L1631">
        <f t="shared" si="279"/>
        <v>95</v>
      </c>
      <c r="M1631">
        <f t="shared" si="280"/>
        <v>1</v>
      </c>
      <c r="N1631">
        <f t="shared" si="281"/>
        <v>0</v>
      </c>
    </row>
    <row r="1632" spans="4:14" x14ac:dyDescent="0.2">
      <c r="D1632">
        <f t="shared" si="283"/>
        <v>1609</v>
      </c>
      <c r="E1632" s="1">
        <f t="shared" si="284"/>
        <v>-14.481197872347025</v>
      </c>
      <c r="F1632" s="1">
        <f t="shared" si="285"/>
        <v>-16.816907586876756</v>
      </c>
      <c r="G1632" s="1">
        <f t="shared" si="282"/>
        <v>4.9717562955725924E-8</v>
      </c>
      <c r="H1632" s="1">
        <f t="shared" si="275"/>
        <v>5.1129991784094315E-10</v>
      </c>
      <c r="I1632">
        <f t="shared" si="276"/>
        <v>10</v>
      </c>
      <c r="J1632">
        <f t="shared" si="277"/>
        <v>1595</v>
      </c>
      <c r="K1632" s="5">
        <f t="shared" si="278"/>
        <v>0</v>
      </c>
      <c r="L1632">
        <f t="shared" si="279"/>
        <v>95</v>
      </c>
      <c r="M1632">
        <f t="shared" si="280"/>
        <v>1</v>
      </c>
      <c r="N1632">
        <f t="shared" si="281"/>
        <v>0</v>
      </c>
    </row>
    <row r="1633" spans="4:14" x14ac:dyDescent="0.2">
      <c r="D1633">
        <f t="shared" si="283"/>
        <v>1610</v>
      </c>
      <c r="E1633" s="1">
        <f t="shared" si="284"/>
        <v>-14.491669172214319</v>
      </c>
      <c r="F1633" s="1">
        <f t="shared" si="285"/>
        <v>-16.82737888674405</v>
      </c>
      <c r="G1633" s="1">
        <f t="shared" si="282"/>
        <v>4.9199671674937155E-8</v>
      </c>
      <c r="H1633" s="1">
        <f t="shared" si="275"/>
        <v>5.0597387703010042E-10</v>
      </c>
      <c r="I1633">
        <f t="shared" si="276"/>
        <v>10</v>
      </c>
      <c r="J1633">
        <f t="shared" si="277"/>
        <v>1596</v>
      </c>
      <c r="K1633" s="5">
        <f t="shared" si="278"/>
        <v>0</v>
      </c>
      <c r="L1633">
        <f t="shared" si="279"/>
        <v>95</v>
      </c>
      <c r="M1633">
        <f t="shared" si="280"/>
        <v>1</v>
      </c>
      <c r="N1633">
        <f t="shared" si="281"/>
        <v>0</v>
      </c>
    </row>
    <row r="1634" spans="4:14" x14ac:dyDescent="0.2">
      <c r="D1634">
        <f t="shared" si="283"/>
        <v>1611</v>
      </c>
      <c r="E1634" s="1">
        <f t="shared" si="284"/>
        <v>-14.502140472081614</v>
      </c>
      <c r="F1634" s="1">
        <f t="shared" si="285"/>
        <v>-16.837850186611345</v>
      </c>
      <c r="G1634" s="1">
        <f t="shared" si="282"/>
        <v>4.8687175094989945E-8</v>
      </c>
      <c r="H1634" s="1">
        <f t="shared" si="275"/>
        <v>5.0070331581103738E-10</v>
      </c>
      <c r="I1634">
        <f t="shared" si="276"/>
        <v>10</v>
      </c>
      <c r="J1634">
        <f t="shared" si="277"/>
        <v>1597</v>
      </c>
      <c r="K1634" s="5">
        <f t="shared" si="278"/>
        <v>0</v>
      </c>
      <c r="L1634">
        <f t="shared" si="279"/>
        <v>95</v>
      </c>
      <c r="M1634">
        <f t="shared" si="280"/>
        <v>1</v>
      </c>
      <c r="N1634">
        <f t="shared" si="281"/>
        <v>0</v>
      </c>
    </row>
    <row r="1635" spans="4:14" x14ac:dyDescent="0.2">
      <c r="D1635">
        <f t="shared" si="283"/>
        <v>1612</v>
      </c>
      <c r="E1635" s="1">
        <f t="shared" si="284"/>
        <v>-14.512611771948908</v>
      </c>
      <c r="F1635" s="1">
        <f t="shared" si="285"/>
        <v>-16.848321486478639</v>
      </c>
      <c r="G1635" s="1">
        <f t="shared" si="282"/>
        <v>4.8180017021083842E-8</v>
      </c>
      <c r="H1635" s="1">
        <f t="shared" si="275"/>
        <v>4.9548765627133959E-10</v>
      </c>
      <c r="I1635">
        <f t="shared" si="276"/>
        <v>10</v>
      </c>
      <c r="J1635">
        <f t="shared" si="277"/>
        <v>1598</v>
      </c>
      <c r="K1635" s="5">
        <f t="shared" si="278"/>
        <v>0</v>
      </c>
      <c r="L1635">
        <f t="shared" si="279"/>
        <v>95</v>
      </c>
      <c r="M1635">
        <f t="shared" si="280"/>
        <v>1</v>
      </c>
      <c r="N1635">
        <f t="shared" si="281"/>
        <v>0</v>
      </c>
    </row>
    <row r="1636" spans="4:14" x14ac:dyDescent="0.2">
      <c r="D1636">
        <f t="shared" si="283"/>
        <v>1613</v>
      </c>
      <c r="E1636" s="1">
        <f t="shared" si="284"/>
        <v>-14.523083071816203</v>
      </c>
      <c r="F1636" s="1">
        <f t="shared" si="285"/>
        <v>-16.858792786345933</v>
      </c>
      <c r="G1636" s="1">
        <f t="shared" si="282"/>
        <v>4.767814184378093E-8</v>
      </c>
      <c r="H1636" s="1">
        <f t="shared" si="275"/>
        <v>4.9032632651851353E-10</v>
      </c>
      <c r="I1636">
        <f t="shared" si="276"/>
        <v>10</v>
      </c>
      <c r="J1636">
        <f t="shared" si="277"/>
        <v>1599</v>
      </c>
      <c r="K1636" s="5">
        <f t="shared" si="278"/>
        <v>0</v>
      </c>
      <c r="L1636">
        <f t="shared" si="279"/>
        <v>95</v>
      </c>
      <c r="M1636">
        <f t="shared" si="280"/>
        <v>1</v>
      </c>
      <c r="N1636">
        <f t="shared" si="281"/>
        <v>0</v>
      </c>
    </row>
    <row r="1637" spans="4:14" x14ac:dyDescent="0.2">
      <c r="D1637">
        <f t="shared" si="283"/>
        <v>1614</v>
      </c>
      <c r="E1637" s="1">
        <f t="shared" si="284"/>
        <v>-14.533554371683497</v>
      </c>
      <c r="F1637" s="1">
        <f t="shared" si="285"/>
        <v>-16.869264086213228</v>
      </c>
      <c r="G1637" s="1">
        <f t="shared" si="282"/>
        <v>4.718149453290826E-8</v>
      </c>
      <c r="H1637" s="1">
        <f t="shared" si="275"/>
        <v>4.8521876061727956E-10</v>
      </c>
      <c r="I1637">
        <f t="shared" si="276"/>
        <v>10</v>
      </c>
      <c r="J1637">
        <f t="shared" si="277"/>
        <v>1600</v>
      </c>
      <c r="K1637" s="5">
        <f t="shared" si="278"/>
        <v>0</v>
      </c>
      <c r="L1637">
        <f t="shared" si="279"/>
        <v>95</v>
      </c>
      <c r="M1637">
        <f t="shared" si="280"/>
        <v>1</v>
      </c>
      <c r="N1637">
        <f t="shared" si="281"/>
        <v>0</v>
      </c>
    </row>
    <row r="1638" spans="4:14" x14ac:dyDescent="0.2">
      <c r="D1638">
        <f t="shared" si="283"/>
        <v>1615</v>
      </c>
      <c r="E1638" s="1">
        <f t="shared" si="284"/>
        <v>-14.544025671550791</v>
      </c>
      <c r="F1638" s="1">
        <f t="shared" si="285"/>
        <v>-16.879735386080522</v>
      </c>
      <c r="G1638" s="1">
        <f t="shared" si="282"/>
        <v>4.669002063152384E-8</v>
      </c>
      <c r="H1638" s="1">
        <f t="shared" si="275"/>
        <v>4.8016439852751664E-10</v>
      </c>
      <c r="I1638">
        <f t="shared" si="276"/>
        <v>10</v>
      </c>
      <c r="J1638">
        <f t="shared" si="277"/>
        <v>1601</v>
      </c>
      <c r="K1638" s="5">
        <f t="shared" si="278"/>
        <v>0</v>
      </c>
      <c r="L1638">
        <f t="shared" si="279"/>
        <v>95</v>
      </c>
      <c r="M1638">
        <f t="shared" si="280"/>
        <v>1</v>
      </c>
      <c r="N1638">
        <f t="shared" si="281"/>
        <v>0</v>
      </c>
    </row>
    <row r="1639" spans="4:14" x14ac:dyDescent="0.2">
      <c r="D1639">
        <f t="shared" si="283"/>
        <v>1616</v>
      </c>
      <c r="E1639" s="1">
        <f t="shared" si="284"/>
        <v>-14.554496971418086</v>
      </c>
      <c r="F1639" s="1">
        <f t="shared" si="285"/>
        <v>-16.890206685947817</v>
      </c>
      <c r="G1639" s="1">
        <f t="shared" si="282"/>
        <v>4.6203666249945514E-8</v>
      </c>
      <c r="H1639" s="1">
        <f t="shared" si="275"/>
        <v>4.7516268604285546E-10</v>
      </c>
      <c r="I1639">
        <f t="shared" si="276"/>
        <v>10</v>
      </c>
      <c r="J1639">
        <f t="shared" si="277"/>
        <v>1602</v>
      </c>
      <c r="K1639" s="5">
        <f t="shared" si="278"/>
        <v>0</v>
      </c>
      <c r="L1639">
        <f t="shared" si="279"/>
        <v>95</v>
      </c>
      <c r="M1639">
        <f t="shared" si="280"/>
        <v>1</v>
      </c>
      <c r="N1639">
        <f t="shared" si="281"/>
        <v>0</v>
      </c>
    </row>
    <row r="1640" spans="4:14" x14ac:dyDescent="0.2">
      <c r="D1640">
        <f t="shared" si="283"/>
        <v>1617</v>
      </c>
      <c r="E1640" s="1">
        <f t="shared" si="284"/>
        <v>-14.56496827128538</v>
      </c>
      <c r="F1640" s="1">
        <f t="shared" si="285"/>
        <v>-16.900677985815111</v>
      </c>
      <c r="G1640" s="1">
        <f t="shared" si="282"/>
        <v>4.5722378059841957E-8</v>
      </c>
      <c r="H1640" s="1">
        <f t="shared" si="275"/>
        <v>4.7021307472990952E-10</v>
      </c>
      <c r="I1640">
        <f t="shared" si="276"/>
        <v>10</v>
      </c>
      <c r="J1640">
        <f t="shared" si="277"/>
        <v>1603</v>
      </c>
      <c r="K1640" s="5">
        <f t="shared" si="278"/>
        <v>0</v>
      </c>
      <c r="L1640">
        <f t="shared" si="279"/>
        <v>95</v>
      </c>
      <c r="M1640">
        <f t="shared" si="280"/>
        <v>1</v>
      </c>
      <c r="N1640">
        <f t="shared" si="281"/>
        <v>0</v>
      </c>
    </row>
    <row r="1641" spans="4:14" x14ac:dyDescent="0.2">
      <c r="D1641">
        <f t="shared" si="283"/>
        <v>1618</v>
      </c>
      <c r="E1641" s="1">
        <f t="shared" si="284"/>
        <v>-14.575439571152675</v>
      </c>
      <c r="F1641" s="1">
        <f t="shared" si="285"/>
        <v>-16.911149285682406</v>
      </c>
      <c r="G1641" s="1">
        <f t="shared" si="282"/>
        <v>4.5246103288385314E-8</v>
      </c>
      <c r="H1641" s="1">
        <f t="shared" si="275"/>
        <v>4.6531502186814005E-10</v>
      </c>
      <c r="I1641">
        <f t="shared" si="276"/>
        <v>10</v>
      </c>
      <c r="J1641">
        <f t="shared" si="277"/>
        <v>1604</v>
      </c>
      <c r="K1641" s="5">
        <f t="shared" si="278"/>
        <v>0</v>
      </c>
      <c r="L1641">
        <f t="shared" si="279"/>
        <v>95</v>
      </c>
      <c r="M1641">
        <f t="shared" si="280"/>
        <v>1</v>
      </c>
      <c r="N1641">
        <f t="shared" si="281"/>
        <v>0</v>
      </c>
    </row>
    <row r="1642" spans="4:14" x14ac:dyDescent="0.2">
      <c r="D1642">
        <f t="shared" si="283"/>
        <v>1619</v>
      </c>
      <c r="E1642" s="1">
        <f t="shared" si="284"/>
        <v>-14.585910871019969</v>
      </c>
      <c r="F1642" s="1">
        <f t="shared" si="285"/>
        <v>-16.9216205855497</v>
      </c>
      <c r="G1642" s="1">
        <f t="shared" si="282"/>
        <v>4.4774789712464675E-8</v>
      </c>
      <c r="H1642" s="1">
        <f t="shared" si="275"/>
        <v>4.6046799039034736E-10</v>
      </c>
      <c r="I1642">
        <f t="shared" si="276"/>
        <v>10</v>
      </c>
      <c r="J1642">
        <f t="shared" si="277"/>
        <v>1605</v>
      </c>
      <c r="K1642" s="5">
        <f t="shared" si="278"/>
        <v>0</v>
      </c>
      <c r="L1642">
        <f t="shared" si="279"/>
        <v>95</v>
      </c>
      <c r="M1642">
        <f t="shared" si="280"/>
        <v>1</v>
      </c>
      <c r="N1642">
        <f t="shared" si="281"/>
        <v>0</v>
      </c>
    </row>
    <row r="1643" spans="4:14" x14ac:dyDescent="0.2">
      <c r="D1643">
        <f t="shared" si="283"/>
        <v>1620</v>
      </c>
      <c r="E1643" s="1">
        <f t="shared" si="284"/>
        <v>-14.596382170887264</v>
      </c>
      <c r="F1643" s="1">
        <f t="shared" si="285"/>
        <v>-16.932091885416995</v>
      </c>
      <c r="G1643" s="1">
        <f t="shared" si="282"/>
        <v>4.4308385652959881E-8</v>
      </c>
      <c r="H1643" s="1">
        <f t="shared" si="275"/>
        <v>4.5567144882378172E-10</v>
      </c>
      <c r="I1643">
        <f t="shared" si="276"/>
        <v>10</v>
      </c>
      <c r="J1643">
        <f t="shared" si="277"/>
        <v>1606</v>
      </c>
      <c r="K1643" s="5">
        <f t="shared" si="278"/>
        <v>0</v>
      </c>
      <c r="L1643">
        <f t="shared" si="279"/>
        <v>95</v>
      </c>
      <c r="M1643">
        <f t="shared" si="280"/>
        <v>1</v>
      </c>
      <c r="N1643">
        <f t="shared" si="281"/>
        <v>0</v>
      </c>
    </row>
    <row r="1644" spans="4:14" x14ac:dyDescent="0.2">
      <c r="D1644">
        <f t="shared" si="283"/>
        <v>1621</v>
      </c>
      <c r="E1644" s="1">
        <f t="shared" si="284"/>
        <v>-14.606853470754558</v>
      </c>
      <c r="F1644" s="1">
        <f t="shared" si="285"/>
        <v>-16.942563185284289</v>
      </c>
      <c r="G1644" s="1">
        <f t="shared" si="282"/>
        <v>4.3846839969074924E-8</v>
      </c>
      <c r="H1644" s="1">
        <f t="shared" si="275"/>
        <v>4.5092487123186778E-10</v>
      </c>
      <c r="I1644">
        <f t="shared" si="276"/>
        <v>10</v>
      </c>
      <c r="J1644">
        <f t="shared" si="277"/>
        <v>1607</v>
      </c>
      <c r="K1644" s="5">
        <f t="shared" si="278"/>
        <v>0</v>
      </c>
      <c r="L1644">
        <f t="shared" si="279"/>
        <v>95</v>
      </c>
      <c r="M1644">
        <f t="shared" si="280"/>
        <v>1</v>
      </c>
      <c r="N1644">
        <f t="shared" si="281"/>
        <v>0</v>
      </c>
    </row>
    <row r="1645" spans="4:14" x14ac:dyDescent="0.2">
      <c r="D1645">
        <f t="shared" si="283"/>
        <v>1622</v>
      </c>
      <c r="E1645" s="1">
        <f t="shared" si="284"/>
        <v>-14.617324770621853</v>
      </c>
      <c r="F1645" s="1">
        <f t="shared" si="285"/>
        <v>-16.953034485151584</v>
      </c>
      <c r="G1645" s="1">
        <f t="shared" si="282"/>
        <v>4.3390102052730434E-8</v>
      </c>
      <c r="H1645" s="1">
        <f t="shared" si="275"/>
        <v>4.4622773715653623E-10</v>
      </c>
      <c r="I1645">
        <f t="shared" si="276"/>
        <v>10</v>
      </c>
      <c r="J1645">
        <f t="shared" si="277"/>
        <v>1608</v>
      </c>
      <c r="K1645" s="5">
        <f t="shared" si="278"/>
        <v>0</v>
      </c>
      <c r="L1645">
        <f t="shared" si="279"/>
        <v>95</v>
      </c>
      <c r="M1645">
        <f t="shared" si="280"/>
        <v>1</v>
      </c>
      <c r="N1645">
        <f t="shared" si="281"/>
        <v>0</v>
      </c>
    </row>
    <row r="1646" spans="4:14" x14ac:dyDescent="0.2">
      <c r="D1646">
        <f t="shared" si="283"/>
        <v>1623</v>
      </c>
      <c r="E1646" s="1">
        <f t="shared" si="284"/>
        <v>-14.627796070489147</v>
      </c>
      <c r="F1646" s="1">
        <f t="shared" si="285"/>
        <v>-16.963505785018878</v>
      </c>
      <c r="G1646" s="1">
        <f t="shared" si="282"/>
        <v>4.2938121823014533E-8</v>
      </c>
      <c r="H1646" s="1">
        <f t="shared" si="275"/>
        <v>4.4157953156115608E-10</v>
      </c>
      <c r="I1646">
        <f t="shared" si="276"/>
        <v>10</v>
      </c>
      <c r="J1646">
        <f t="shared" si="277"/>
        <v>1609</v>
      </c>
      <c r="K1646" s="5">
        <f t="shared" si="278"/>
        <v>0</v>
      </c>
      <c r="L1646">
        <f t="shared" si="279"/>
        <v>95</v>
      </c>
      <c r="M1646">
        <f t="shared" si="280"/>
        <v>1</v>
      </c>
      <c r="N1646">
        <f t="shared" si="281"/>
        <v>0</v>
      </c>
    </row>
    <row r="1647" spans="4:14" x14ac:dyDescent="0.2">
      <c r="D1647">
        <f t="shared" si="283"/>
        <v>1624</v>
      </c>
      <c r="E1647" s="1">
        <f t="shared" si="284"/>
        <v>-14.638267370356441</v>
      </c>
      <c r="F1647" s="1">
        <f t="shared" si="285"/>
        <v>-16.973977084886172</v>
      </c>
      <c r="G1647" s="1">
        <f t="shared" si="282"/>
        <v>4.2490849720691506E-8</v>
      </c>
      <c r="H1647" s="1">
        <f t="shared" si="275"/>
        <v>4.3697974477406112E-10</v>
      </c>
      <c r="I1647">
        <f t="shared" si="276"/>
        <v>10</v>
      </c>
      <c r="J1647">
        <f t="shared" si="277"/>
        <v>1610</v>
      </c>
      <c r="K1647" s="5">
        <f t="shared" si="278"/>
        <v>0</v>
      </c>
      <c r="L1647">
        <f t="shared" si="279"/>
        <v>95</v>
      </c>
      <c r="M1647">
        <f t="shared" si="280"/>
        <v>1</v>
      </c>
      <c r="N1647">
        <f t="shared" si="281"/>
        <v>0</v>
      </c>
    </row>
    <row r="1648" spans="4:14" x14ac:dyDescent="0.2">
      <c r="D1648">
        <f t="shared" si="283"/>
        <v>1625</v>
      </c>
      <c r="E1648" s="1">
        <f t="shared" si="284"/>
        <v>-14.648738670223736</v>
      </c>
      <c r="F1648" s="1">
        <f t="shared" si="285"/>
        <v>-16.984448384753467</v>
      </c>
      <c r="G1648" s="1">
        <f t="shared" si="282"/>
        <v>4.2048236702767675E-8</v>
      </c>
      <c r="H1648" s="1">
        <f t="shared" si="275"/>
        <v>4.3242787243266503E-10</v>
      </c>
      <c r="I1648">
        <f t="shared" si="276"/>
        <v>10</v>
      </c>
      <c r="J1648">
        <f t="shared" si="277"/>
        <v>1611</v>
      </c>
      <c r="K1648" s="5">
        <f t="shared" si="278"/>
        <v>0</v>
      </c>
      <c r="L1648">
        <f t="shared" si="279"/>
        <v>95</v>
      </c>
      <c r="M1648">
        <f t="shared" si="280"/>
        <v>1</v>
      </c>
      <c r="N1648">
        <f t="shared" si="281"/>
        <v>0</v>
      </c>
    </row>
    <row r="1649" spans="4:14" x14ac:dyDescent="0.2">
      <c r="D1649">
        <f t="shared" si="283"/>
        <v>1626</v>
      </c>
      <c r="E1649" s="1">
        <f t="shared" si="284"/>
        <v>-14.65920997009103</v>
      </c>
      <c r="F1649" s="1">
        <f t="shared" si="285"/>
        <v>-16.994919684620761</v>
      </c>
      <c r="G1649" s="1">
        <f t="shared" si="282"/>
        <v>4.1610234237113885E-8</v>
      </c>
      <c r="H1649" s="1">
        <f t="shared" si="275"/>
        <v>4.2792341542815853E-10</v>
      </c>
      <c r="I1649">
        <f t="shared" si="276"/>
        <v>10</v>
      </c>
      <c r="J1649">
        <f t="shared" si="277"/>
        <v>1612</v>
      </c>
      <c r="K1649" s="5">
        <f t="shared" si="278"/>
        <v>0</v>
      </c>
      <c r="L1649">
        <f t="shared" si="279"/>
        <v>95</v>
      </c>
      <c r="M1649">
        <f t="shared" si="280"/>
        <v>1</v>
      </c>
      <c r="N1649">
        <f t="shared" si="281"/>
        <v>0</v>
      </c>
    </row>
    <row r="1650" spans="4:14" x14ac:dyDescent="0.2">
      <c r="D1650">
        <f t="shared" si="283"/>
        <v>1627</v>
      </c>
      <c r="E1650" s="1">
        <f t="shared" si="284"/>
        <v>-14.669681269958325</v>
      </c>
      <c r="F1650" s="1">
        <f t="shared" si="285"/>
        <v>-17.005390984488056</v>
      </c>
      <c r="G1650" s="1">
        <f t="shared" si="282"/>
        <v>4.1176794297143988E-8</v>
      </c>
      <c r="H1650" s="1">
        <f t="shared" si="275"/>
        <v>4.2346587985078229E-10</v>
      </c>
      <c r="I1650">
        <f t="shared" si="276"/>
        <v>10</v>
      </c>
      <c r="J1650">
        <f t="shared" si="277"/>
        <v>1613</v>
      </c>
      <c r="K1650" s="5">
        <f t="shared" si="278"/>
        <v>0</v>
      </c>
      <c r="L1650">
        <f t="shared" si="279"/>
        <v>95</v>
      </c>
      <c r="M1650">
        <f t="shared" si="280"/>
        <v>1</v>
      </c>
      <c r="N1650">
        <f t="shared" si="281"/>
        <v>0</v>
      </c>
    </row>
    <row r="1651" spans="4:14" x14ac:dyDescent="0.2">
      <c r="D1651">
        <f t="shared" si="283"/>
        <v>1628</v>
      </c>
      <c r="E1651" s="1">
        <f t="shared" si="284"/>
        <v>-14.680152569825619</v>
      </c>
      <c r="F1651" s="1">
        <f t="shared" si="285"/>
        <v>-17.01586228435535</v>
      </c>
      <c r="G1651" s="1">
        <f t="shared" si="282"/>
        <v>4.0747869356548775E-8</v>
      </c>
      <c r="H1651" s="1">
        <f t="shared" si="275"/>
        <v>4.1905477693567035E-10</v>
      </c>
      <c r="I1651">
        <f t="shared" si="276"/>
        <v>10</v>
      </c>
      <c r="J1651">
        <f t="shared" si="277"/>
        <v>1614</v>
      </c>
      <c r="K1651" s="5">
        <f t="shared" si="278"/>
        <v>0</v>
      </c>
      <c r="L1651">
        <f t="shared" si="279"/>
        <v>95</v>
      </c>
      <c r="M1651">
        <f t="shared" si="280"/>
        <v>1</v>
      </c>
      <c r="N1651">
        <f t="shared" si="281"/>
        <v>0</v>
      </c>
    </row>
    <row r="1652" spans="4:14" x14ac:dyDescent="0.2">
      <c r="D1652">
        <f t="shared" si="283"/>
        <v>1629</v>
      </c>
      <c r="E1652" s="1">
        <f t="shared" si="284"/>
        <v>-14.690623869692914</v>
      </c>
      <c r="F1652" s="1">
        <f t="shared" si="285"/>
        <v>-17.026333584222645</v>
      </c>
      <c r="G1652" s="1">
        <f t="shared" si="282"/>
        <v>4.0323412384084763E-8</v>
      </c>
      <c r="H1652" s="1">
        <f t="shared" si="275"/>
        <v>4.1468962300925748E-10</v>
      </c>
      <c r="I1652">
        <f t="shared" si="276"/>
        <v>10</v>
      </c>
      <c r="J1652">
        <f t="shared" si="277"/>
        <v>1615</v>
      </c>
      <c r="K1652" s="5">
        <f t="shared" si="278"/>
        <v>0</v>
      </c>
      <c r="L1652">
        <f t="shared" si="279"/>
        <v>95</v>
      </c>
      <c r="M1652">
        <f t="shared" si="280"/>
        <v>1</v>
      </c>
      <c r="N1652">
        <f t="shared" si="281"/>
        <v>0</v>
      </c>
    </row>
    <row r="1653" spans="4:14" x14ac:dyDescent="0.2">
      <c r="D1653">
        <f t="shared" si="283"/>
        <v>1630</v>
      </c>
      <c r="E1653" s="1">
        <f t="shared" si="284"/>
        <v>-14.701095169560208</v>
      </c>
      <c r="F1653" s="1">
        <f t="shared" si="285"/>
        <v>-17.036804884089939</v>
      </c>
      <c r="G1653" s="1">
        <f t="shared" si="282"/>
        <v>3.9903376838417256E-8</v>
      </c>
      <c r="H1653" s="1">
        <f t="shared" si="275"/>
        <v>4.1036993943624482E-10</v>
      </c>
      <c r="I1653">
        <f t="shared" si="276"/>
        <v>10</v>
      </c>
      <c r="J1653">
        <f t="shared" si="277"/>
        <v>1616</v>
      </c>
      <c r="K1653" s="5">
        <f t="shared" si="278"/>
        <v>0</v>
      </c>
      <c r="L1653">
        <f t="shared" si="279"/>
        <v>95</v>
      </c>
      <c r="M1653">
        <f t="shared" si="280"/>
        <v>1</v>
      </c>
      <c r="N1653">
        <f t="shared" si="281"/>
        <v>0</v>
      </c>
    </row>
    <row r="1654" spans="4:14" x14ac:dyDescent="0.2">
      <c r="D1654">
        <f t="shared" si="283"/>
        <v>1631</v>
      </c>
      <c r="E1654" s="1">
        <f t="shared" si="284"/>
        <v>-14.711566469427503</v>
      </c>
      <c r="F1654" s="1">
        <f t="shared" si="285"/>
        <v>-17.047276183957234</v>
      </c>
      <c r="G1654" s="1">
        <f t="shared" si="282"/>
        <v>3.9487716663017109E-8</v>
      </c>
      <c r="H1654" s="1">
        <f t="shared" si="275"/>
        <v>4.0609525256711761E-10</v>
      </c>
      <c r="I1654">
        <f t="shared" si="276"/>
        <v>10</v>
      </c>
      <c r="J1654">
        <f t="shared" si="277"/>
        <v>1617</v>
      </c>
      <c r="K1654" s="5">
        <f t="shared" si="278"/>
        <v>0</v>
      </c>
      <c r="L1654">
        <f t="shared" si="279"/>
        <v>95</v>
      </c>
      <c r="M1654">
        <f t="shared" si="280"/>
        <v>1</v>
      </c>
      <c r="N1654">
        <f t="shared" si="281"/>
        <v>0</v>
      </c>
    </row>
    <row r="1655" spans="4:14" x14ac:dyDescent="0.2">
      <c r="D1655">
        <f t="shared" si="283"/>
        <v>1632</v>
      </c>
      <c r="E1655" s="1">
        <f t="shared" si="284"/>
        <v>-14.722037769294797</v>
      </c>
      <c r="F1655" s="1">
        <f t="shared" si="285"/>
        <v>-17.057747483824528</v>
      </c>
      <c r="G1655" s="1">
        <f t="shared" si="282"/>
        <v>3.9076386281110723E-8</v>
      </c>
      <c r="H1655" s="1">
        <f t="shared" si="275"/>
        <v>4.0186509368621059E-10</v>
      </c>
      <c r="I1655">
        <f t="shared" si="276"/>
        <v>10</v>
      </c>
      <c r="J1655">
        <f t="shared" si="277"/>
        <v>1618</v>
      </c>
      <c r="K1655" s="5">
        <f t="shared" si="278"/>
        <v>0</v>
      </c>
      <c r="L1655">
        <f t="shared" si="279"/>
        <v>95</v>
      </c>
      <c r="M1655">
        <f t="shared" si="280"/>
        <v>1</v>
      </c>
      <c r="N1655">
        <f t="shared" si="281"/>
        <v>0</v>
      </c>
    </row>
    <row r="1656" spans="4:14" x14ac:dyDescent="0.2">
      <c r="D1656">
        <f t="shared" si="283"/>
        <v>1633</v>
      </c>
      <c r="E1656" s="1">
        <f t="shared" si="284"/>
        <v>-14.732509069162091</v>
      </c>
      <c r="F1656" s="1">
        <f t="shared" si="285"/>
        <v>-17.068218783691822</v>
      </c>
      <c r="G1656" s="1">
        <f t="shared" si="282"/>
        <v>3.8669340590682518E-8</v>
      </c>
      <c r="H1656" s="1">
        <f t="shared" si="275"/>
        <v>3.9767899896031287E-10</v>
      </c>
      <c r="I1656">
        <f t="shared" si="276"/>
        <v>10</v>
      </c>
      <c r="J1656">
        <f t="shared" si="277"/>
        <v>1619</v>
      </c>
      <c r="K1656" s="5">
        <f t="shared" si="278"/>
        <v>0</v>
      </c>
      <c r="L1656">
        <f t="shared" si="279"/>
        <v>95</v>
      </c>
      <c r="M1656">
        <f t="shared" si="280"/>
        <v>1</v>
      </c>
      <c r="N1656">
        <f t="shared" si="281"/>
        <v>0</v>
      </c>
    </row>
    <row r="1657" spans="4:14" x14ac:dyDescent="0.2">
      <c r="D1657">
        <f t="shared" si="283"/>
        <v>1634</v>
      </c>
      <c r="E1657" s="1">
        <f t="shared" si="284"/>
        <v>-14.742980369029386</v>
      </c>
      <c r="F1657" s="1">
        <f t="shared" si="285"/>
        <v>-17.078690083559117</v>
      </c>
      <c r="G1657" s="1">
        <f t="shared" si="282"/>
        <v>3.8266534959529615E-8</v>
      </c>
      <c r="H1657" s="1">
        <f t="shared" si="275"/>
        <v>3.9353650938781002E-10</v>
      </c>
      <c r="I1657">
        <f t="shared" si="276"/>
        <v>10</v>
      </c>
      <c r="J1657">
        <f t="shared" si="277"/>
        <v>1620</v>
      </c>
      <c r="K1657" s="5">
        <f t="shared" si="278"/>
        <v>0</v>
      </c>
      <c r="L1657">
        <f t="shared" si="279"/>
        <v>95</v>
      </c>
      <c r="M1657">
        <f t="shared" si="280"/>
        <v>1</v>
      </c>
      <c r="N1657">
        <f t="shared" si="281"/>
        <v>0</v>
      </c>
    </row>
    <row r="1658" spans="4:14" x14ac:dyDescent="0.2">
      <c r="D1658">
        <f t="shared" si="283"/>
        <v>1635</v>
      </c>
      <c r="E1658" s="1">
        <f t="shared" si="284"/>
        <v>-14.75345166889668</v>
      </c>
      <c r="F1658" s="1">
        <f t="shared" si="285"/>
        <v>-17.089161383426411</v>
      </c>
      <c r="G1658" s="1">
        <f t="shared" si="282"/>
        <v>3.7867925220367881E-8</v>
      </c>
      <c r="H1658" s="1">
        <f t="shared" si="275"/>
        <v>3.8943717074835403E-10</v>
      </c>
      <c r="I1658">
        <f t="shared" si="276"/>
        <v>10</v>
      </c>
      <c r="J1658">
        <f t="shared" si="277"/>
        <v>1621</v>
      </c>
      <c r="K1658" s="5">
        <f t="shared" si="278"/>
        <v>0</v>
      </c>
      <c r="L1658">
        <f t="shared" si="279"/>
        <v>95</v>
      </c>
      <c r="M1658">
        <f t="shared" si="280"/>
        <v>1</v>
      </c>
      <c r="N1658">
        <f t="shared" si="281"/>
        <v>0</v>
      </c>
    </row>
    <row r="1659" spans="4:14" x14ac:dyDescent="0.2">
      <c r="D1659">
        <f t="shared" si="283"/>
        <v>1636</v>
      </c>
      <c r="E1659" s="1">
        <f t="shared" si="284"/>
        <v>-14.763922968763975</v>
      </c>
      <c r="F1659" s="1">
        <f t="shared" si="285"/>
        <v>-17.099632683293706</v>
      </c>
      <c r="G1659" s="1">
        <f t="shared" si="282"/>
        <v>3.7473467665989085E-8</v>
      </c>
      <c r="H1659" s="1">
        <f t="shared" si="275"/>
        <v>3.8538053355305904E-10</v>
      </c>
      <c r="I1659">
        <f t="shared" si="276"/>
        <v>10</v>
      </c>
      <c r="J1659">
        <f t="shared" si="277"/>
        <v>1622</v>
      </c>
      <c r="K1659" s="5">
        <f t="shared" si="278"/>
        <v>0</v>
      </c>
      <c r="L1659">
        <f t="shared" si="279"/>
        <v>95</v>
      </c>
      <c r="M1659">
        <f t="shared" si="280"/>
        <v>1</v>
      </c>
      <c r="N1659">
        <f t="shared" si="281"/>
        <v>0</v>
      </c>
    </row>
    <row r="1660" spans="4:14" x14ac:dyDescent="0.2">
      <c r="D1660">
        <f t="shared" si="283"/>
        <v>1637</v>
      </c>
      <c r="E1660" s="1">
        <f t="shared" si="284"/>
        <v>-14.774394268631269</v>
      </c>
      <c r="F1660" s="1">
        <f t="shared" si="285"/>
        <v>-17.110103983161</v>
      </c>
      <c r="G1660" s="1">
        <f t="shared" si="282"/>
        <v>3.7083119044468406E-8</v>
      </c>
      <c r="H1660" s="1">
        <f t="shared" si="275"/>
        <v>3.8136615299521506E-10</v>
      </c>
      <c r="I1660">
        <f t="shared" si="276"/>
        <v>10</v>
      </c>
      <c r="J1660">
        <f t="shared" si="277"/>
        <v>1623</v>
      </c>
      <c r="K1660" s="5">
        <f t="shared" si="278"/>
        <v>0</v>
      </c>
      <c r="L1660">
        <f t="shared" si="279"/>
        <v>95</v>
      </c>
      <c r="M1660">
        <f t="shared" si="280"/>
        <v>1</v>
      </c>
      <c r="N1660">
        <f t="shared" si="281"/>
        <v>0</v>
      </c>
    </row>
    <row r="1661" spans="4:14" x14ac:dyDescent="0.2">
      <c r="D1661">
        <f t="shared" si="283"/>
        <v>1638</v>
      </c>
      <c r="E1661" s="1">
        <f t="shared" si="284"/>
        <v>-14.784865568498564</v>
      </c>
      <c r="F1661" s="1">
        <f t="shared" si="285"/>
        <v>-17.120575283028295</v>
      </c>
      <c r="G1661" s="1">
        <f t="shared" si="282"/>
        <v>3.669683655442189E-8</v>
      </c>
      <c r="H1661" s="1">
        <f t="shared" si="275"/>
        <v>3.7739358890151525E-10</v>
      </c>
      <c r="I1661">
        <f t="shared" si="276"/>
        <v>10</v>
      </c>
      <c r="J1661">
        <f t="shared" si="277"/>
        <v>1624</v>
      </c>
      <c r="K1661" s="5">
        <f t="shared" si="278"/>
        <v>0</v>
      </c>
      <c r="L1661">
        <f t="shared" si="279"/>
        <v>95</v>
      </c>
      <c r="M1661">
        <f t="shared" si="280"/>
        <v>1</v>
      </c>
      <c r="N1661">
        <f t="shared" si="281"/>
        <v>0</v>
      </c>
    </row>
    <row r="1662" spans="4:14" x14ac:dyDescent="0.2">
      <c r="D1662">
        <f t="shared" si="283"/>
        <v>1639</v>
      </c>
      <c r="E1662" s="1">
        <f t="shared" si="284"/>
        <v>-14.795336868365858</v>
      </c>
      <c r="F1662" s="1">
        <f t="shared" si="285"/>
        <v>-17.131046582895589</v>
      </c>
      <c r="G1662" s="1">
        <f t="shared" si="282"/>
        <v>3.6314577840313367E-8</v>
      </c>
      <c r="H1662" s="1">
        <f t="shared" si="275"/>
        <v>3.7346240568379152E-10</v>
      </c>
      <c r="I1662">
        <f t="shared" si="276"/>
        <v>10</v>
      </c>
      <c r="J1662">
        <f t="shared" si="277"/>
        <v>1625</v>
      </c>
      <c r="K1662" s="5">
        <f t="shared" si="278"/>
        <v>0</v>
      </c>
      <c r="L1662">
        <f t="shared" si="279"/>
        <v>95</v>
      </c>
      <c r="M1662">
        <f t="shared" si="280"/>
        <v>1</v>
      </c>
      <c r="N1662">
        <f t="shared" si="281"/>
        <v>0</v>
      </c>
    </row>
    <row r="1663" spans="4:14" x14ac:dyDescent="0.2">
      <c r="D1663">
        <f t="shared" si="283"/>
        <v>1640</v>
      </c>
      <c r="E1663" s="1">
        <f t="shared" si="284"/>
        <v>-14.805808168233153</v>
      </c>
      <c r="F1663" s="1">
        <f t="shared" si="285"/>
        <v>-17.141517882762884</v>
      </c>
      <c r="G1663" s="1">
        <f t="shared" si="282"/>
        <v>3.5936300987810135E-8</v>
      </c>
      <c r="H1663" s="1">
        <f t="shared" si="275"/>
        <v>3.6957217229125235E-10</v>
      </c>
      <c r="I1663">
        <f t="shared" si="276"/>
        <v>10</v>
      </c>
      <c r="J1663">
        <f t="shared" si="277"/>
        <v>1626</v>
      </c>
      <c r="K1663" s="5">
        <f t="shared" si="278"/>
        <v>0</v>
      </c>
      <c r="L1663">
        <f t="shared" si="279"/>
        <v>95</v>
      </c>
      <c r="M1663">
        <f t="shared" si="280"/>
        <v>1</v>
      </c>
      <c r="N1663">
        <f t="shared" si="281"/>
        <v>0</v>
      </c>
    </row>
    <row r="1664" spans="4:14" x14ac:dyDescent="0.2">
      <c r="D1664">
        <f t="shared" si="283"/>
        <v>1641</v>
      </c>
      <c r="E1664" s="1">
        <f t="shared" si="284"/>
        <v>-14.816279468100447</v>
      </c>
      <c r="F1664" s="1">
        <f t="shared" si="285"/>
        <v>-17.151989182630178</v>
      </c>
      <c r="G1664" s="1">
        <f t="shared" si="282"/>
        <v>3.556196451918715E-8</v>
      </c>
      <c r="H1664" s="1">
        <f t="shared" si="275"/>
        <v>3.6572246216321886E-10</v>
      </c>
      <c r="I1664">
        <f t="shared" si="276"/>
        <v>10</v>
      </c>
      <c r="J1664">
        <f t="shared" si="277"/>
        <v>1627</v>
      </c>
      <c r="K1664" s="5">
        <f t="shared" si="278"/>
        <v>0</v>
      </c>
      <c r="L1664">
        <f t="shared" si="279"/>
        <v>95</v>
      </c>
      <c r="M1664">
        <f t="shared" si="280"/>
        <v>1</v>
      </c>
      <c r="N1664">
        <f t="shared" si="281"/>
        <v>0</v>
      </c>
    </row>
    <row r="1665" spans="4:14" x14ac:dyDescent="0.2">
      <c r="D1665">
        <f t="shared" si="283"/>
        <v>1642</v>
      </c>
      <c r="E1665" s="1">
        <f t="shared" si="284"/>
        <v>-14.826750767967741</v>
      </c>
      <c r="F1665" s="1">
        <f t="shared" si="285"/>
        <v>-17.162460482497472</v>
      </c>
      <c r="G1665" s="1">
        <f t="shared" si="282"/>
        <v>3.5191527388778984E-8</v>
      </c>
      <c r="H1665" s="1">
        <f t="shared" si="275"/>
        <v>3.6191285318235233E-10</v>
      </c>
      <c r="I1665">
        <f t="shared" si="276"/>
        <v>10</v>
      </c>
      <c r="J1665">
        <f t="shared" si="277"/>
        <v>1628</v>
      </c>
      <c r="K1665" s="5">
        <f t="shared" si="278"/>
        <v>0</v>
      </c>
      <c r="L1665">
        <f t="shared" si="279"/>
        <v>95</v>
      </c>
      <c r="M1665">
        <f t="shared" si="280"/>
        <v>1</v>
      </c>
      <c r="N1665">
        <f t="shared" si="281"/>
        <v>0</v>
      </c>
    </row>
    <row r="1666" spans="4:14" x14ac:dyDescent="0.2">
      <c r="D1666">
        <f t="shared" si="283"/>
        <v>1643</v>
      </c>
      <c r="E1666" s="1">
        <f t="shared" si="284"/>
        <v>-14.837222067835036</v>
      </c>
      <c r="F1666" s="1">
        <f t="shared" si="285"/>
        <v>-17.172931782364767</v>
      </c>
      <c r="G1666" s="1">
        <f t="shared" si="282"/>
        <v>3.4824948978479232E-8</v>
      </c>
      <c r="H1666" s="1">
        <f t="shared" si="275"/>
        <v>3.5814292762836978E-10</v>
      </c>
      <c r="I1666">
        <f t="shared" si="276"/>
        <v>10</v>
      </c>
      <c r="J1666">
        <f t="shared" si="277"/>
        <v>1629</v>
      </c>
      <c r="K1666" s="5">
        <f t="shared" si="278"/>
        <v>0</v>
      </c>
      <c r="L1666">
        <f t="shared" si="279"/>
        <v>95</v>
      </c>
      <c r="M1666">
        <f t="shared" si="280"/>
        <v>1</v>
      </c>
      <c r="N1666">
        <f t="shared" si="281"/>
        <v>0</v>
      </c>
    </row>
    <row r="1667" spans="4:14" x14ac:dyDescent="0.2">
      <c r="D1667">
        <f t="shared" si="283"/>
        <v>1644</v>
      </c>
      <c r="E1667" s="1">
        <f t="shared" si="284"/>
        <v>-14.84769336770233</v>
      </c>
      <c r="F1667" s="1">
        <f t="shared" si="285"/>
        <v>-17.183403082232061</v>
      </c>
      <c r="G1667" s="1">
        <f t="shared" si="282"/>
        <v>3.4462189093286774E-8</v>
      </c>
      <c r="H1667" s="1">
        <f t="shared" si="275"/>
        <v>3.544122721322413E-10</v>
      </c>
      <c r="I1667">
        <f t="shared" si="276"/>
        <v>10</v>
      </c>
      <c r="J1667">
        <f t="shared" si="277"/>
        <v>1630</v>
      </c>
      <c r="K1667" s="5">
        <f t="shared" si="278"/>
        <v>0</v>
      </c>
      <c r="L1667">
        <f t="shared" si="279"/>
        <v>95</v>
      </c>
      <c r="M1667">
        <f t="shared" si="280"/>
        <v>1</v>
      </c>
      <c r="N1667">
        <f t="shared" si="281"/>
        <v>0</v>
      </c>
    </row>
    <row r="1668" spans="4:14" x14ac:dyDescent="0.2">
      <c r="D1668">
        <f t="shared" si="283"/>
        <v>1645</v>
      </c>
      <c r="E1668" s="1">
        <f t="shared" si="284"/>
        <v>-14.858164667569625</v>
      </c>
      <c r="F1668" s="1">
        <f t="shared" si="285"/>
        <v>-17.193874382099356</v>
      </c>
      <c r="G1668" s="1">
        <f t="shared" si="282"/>
        <v>3.4103207956898402E-8</v>
      </c>
      <c r="H1668" s="1">
        <f t="shared" si="275"/>
        <v>3.5072047763086412E-10</v>
      </c>
      <c r="I1668">
        <f t="shared" si="276"/>
        <v>10</v>
      </c>
      <c r="J1668">
        <f t="shared" si="277"/>
        <v>1631</v>
      </c>
      <c r="K1668" s="5">
        <f t="shared" si="278"/>
        <v>0</v>
      </c>
      <c r="L1668">
        <f t="shared" si="279"/>
        <v>95</v>
      </c>
      <c r="M1668">
        <f t="shared" si="280"/>
        <v>1</v>
      </c>
      <c r="N1668">
        <f t="shared" si="281"/>
        <v>0</v>
      </c>
    </row>
    <row r="1669" spans="4:14" x14ac:dyDescent="0.2">
      <c r="D1669">
        <f t="shared" si="283"/>
        <v>1646</v>
      </c>
      <c r="E1669" s="1">
        <f t="shared" si="284"/>
        <v>-14.868635967436919</v>
      </c>
      <c r="F1669" s="1">
        <f t="shared" si="285"/>
        <v>-17.20434568196665</v>
      </c>
      <c r="G1669" s="1">
        <f t="shared" si="282"/>
        <v>3.3747966207347413E-8</v>
      </c>
      <c r="H1669" s="1">
        <f t="shared" si="275"/>
        <v>3.4706713932220965E-10</v>
      </c>
      <c r="I1669">
        <f t="shared" si="276"/>
        <v>10</v>
      </c>
      <c r="J1669">
        <f t="shared" si="277"/>
        <v>1632</v>
      </c>
      <c r="K1669" s="5">
        <f t="shared" si="278"/>
        <v>0</v>
      </c>
      <c r="L1669">
        <f t="shared" si="279"/>
        <v>95</v>
      </c>
      <c r="M1669">
        <f t="shared" si="280"/>
        <v>1</v>
      </c>
      <c r="N1669">
        <f t="shared" si="281"/>
        <v>0</v>
      </c>
    </row>
    <row r="1670" spans="4:14" x14ac:dyDescent="0.2">
      <c r="D1670">
        <f t="shared" si="283"/>
        <v>1647</v>
      </c>
      <c r="E1670" s="1">
        <f t="shared" si="284"/>
        <v>-14.879107267304214</v>
      </c>
      <c r="F1670" s="1">
        <f t="shared" si="285"/>
        <v>-17.214816981833945</v>
      </c>
      <c r="G1670" s="1">
        <f t="shared" si="282"/>
        <v>3.3396424892687573E-8</v>
      </c>
      <c r="H1670" s="1">
        <f t="shared" si="275"/>
        <v>3.434518566209369E-10</v>
      </c>
      <c r="I1670">
        <f t="shared" si="276"/>
        <v>10</v>
      </c>
      <c r="J1670">
        <f t="shared" si="277"/>
        <v>1633</v>
      </c>
      <c r="K1670" s="5">
        <f t="shared" si="278"/>
        <v>0</v>
      </c>
      <c r="L1670">
        <f t="shared" si="279"/>
        <v>95</v>
      </c>
      <c r="M1670">
        <f t="shared" si="280"/>
        <v>1</v>
      </c>
      <c r="N1670">
        <f t="shared" si="281"/>
        <v>0</v>
      </c>
    </row>
    <row r="1671" spans="4:14" x14ac:dyDescent="0.2">
      <c r="D1671">
        <f t="shared" si="283"/>
        <v>1648</v>
      </c>
      <c r="E1671" s="1">
        <f t="shared" si="284"/>
        <v>-14.889578567171508</v>
      </c>
      <c r="F1671" s="1">
        <f t="shared" si="285"/>
        <v>-17.225288281701239</v>
      </c>
      <c r="G1671" s="1">
        <f t="shared" si="282"/>
        <v>3.3048545466722113E-8</v>
      </c>
      <c r="H1671" s="1">
        <f t="shared" si="275"/>
        <v>3.3987423311446917E-10</v>
      </c>
      <c r="I1671">
        <f t="shared" si="276"/>
        <v>10</v>
      </c>
      <c r="J1671">
        <f t="shared" si="277"/>
        <v>1634</v>
      </c>
      <c r="K1671" s="5">
        <f t="shared" si="278"/>
        <v>0</v>
      </c>
      <c r="L1671">
        <f t="shared" si="279"/>
        <v>95</v>
      </c>
      <c r="M1671">
        <f t="shared" si="280"/>
        <v>1</v>
      </c>
      <c r="N1671">
        <f t="shared" si="281"/>
        <v>0</v>
      </c>
    </row>
    <row r="1672" spans="4:14" x14ac:dyDescent="0.2">
      <c r="D1672">
        <f t="shared" si="283"/>
        <v>1649</v>
      </c>
      <c r="E1672" s="1">
        <f t="shared" si="284"/>
        <v>-14.900049867038803</v>
      </c>
      <c r="F1672" s="1">
        <f t="shared" si="285"/>
        <v>-17.235759581568534</v>
      </c>
      <c r="G1672" s="1">
        <f t="shared" si="282"/>
        <v>3.270428978477712E-8</v>
      </c>
      <c r="H1672" s="1">
        <f t="shared" si="275"/>
        <v>3.3633387651952713E-10</v>
      </c>
      <c r="I1672">
        <f t="shared" si="276"/>
        <v>10</v>
      </c>
      <c r="J1672">
        <f t="shared" si="277"/>
        <v>1635</v>
      </c>
      <c r="K1672" s="5">
        <f t="shared" si="278"/>
        <v>0</v>
      </c>
      <c r="L1672">
        <f t="shared" si="279"/>
        <v>95</v>
      </c>
      <c r="M1672">
        <f t="shared" si="280"/>
        <v>1</v>
      </c>
      <c r="N1672">
        <f t="shared" si="281"/>
        <v>0</v>
      </c>
    </row>
    <row r="1673" spans="4:14" x14ac:dyDescent="0.2">
      <c r="D1673">
        <f t="shared" si="283"/>
        <v>1650</v>
      </c>
      <c r="E1673" s="1">
        <f t="shared" si="284"/>
        <v>-14.910521166906097</v>
      </c>
      <c r="F1673" s="1">
        <f t="shared" si="285"/>
        <v>-17.246230881435828</v>
      </c>
      <c r="G1673" s="1">
        <f t="shared" si="282"/>
        <v>3.2363620099519055E-8</v>
      </c>
      <c r="H1673" s="1">
        <f t="shared" si="275"/>
        <v>3.3283039863911568E-10</v>
      </c>
      <c r="I1673">
        <f t="shared" si="276"/>
        <v>10</v>
      </c>
      <c r="J1673">
        <f t="shared" si="277"/>
        <v>1636</v>
      </c>
      <c r="K1673" s="5">
        <f t="shared" si="278"/>
        <v>0</v>
      </c>
      <c r="L1673">
        <f t="shared" si="279"/>
        <v>95</v>
      </c>
      <c r="M1673">
        <f t="shared" si="280"/>
        <v>1</v>
      </c>
      <c r="N1673">
        <f t="shared" si="281"/>
        <v>0</v>
      </c>
    </row>
    <row r="1674" spans="4:14" x14ac:dyDescent="0.2">
      <c r="D1674">
        <f t="shared" si="283"/>
        <v>1651</v>
      </c>
      <c r="E1674" s="1">
        <f t="shared" si="284"/>
        <v>-14.920992466773392</v>
      </c>
      <c r="F1674" s="1">
        <f t="shared" si="285"/>
        <v>-17.256702181303123</v>
      </c>
      <c r="G1674" s="1">
        <f t="shared" si="282"/>
        <v>3.2026499056815763E-8</v>
      </c>
      <c r="H1674" s="1">
        <f t="shared" si="275"/>
        <v>3.2936341531995853E-10</v>
      </c>
      <c r="I1674">
        <f t="shared" si="276"/>
        <v>10</v>
      </c>
      <c r="J1674">
        <f t="shared" si="277"/>
        <v>1637</v>
      </c>
      <c r="K1674" s="5">
        <f t="shared" si="278"/>
        <v>0</v>
      </c>
      <c r="L1674">
        <f t="shared" si="279"/>
        <v>95</v>
      </c>
      <c r="M1674">
        <f t="shared" si="280"/>
        <v>1</v>
      </c>
      <c r="N1674">
        <f t="shared" si="281"/>
        <v>0</v>
      </c>
    </row>
    <row r="1675" spans="4:14" x14ac:dyDescent="0.2">
      <c r="D1675">
        <f t="shared" si="283"/>
        <v>1652</v>
      </c>
      <c r="E1675" s="1">
        <f t="shared" si="284"/>
        <v>-14.931463766640686</v>
      </c>
      <c r="F1675" s="1">
        <f t="shared" si="285"/>
        <v>-17.267173481170417</v>
      </c>
      <c r="G1675" s="1">
        <f t="shared" si="282"/>
        <v>3.1692889691640629E-8</v>
      </c>
      <c r="H1675" s="1">
        <f t="shared" si="275"/>
        <v>3.2593254641037597E-10</v>
      </c>
      <c r="I1675">
        <f t="shared" si="276"/>
        <v>10</v>
      </c>
      <c r="J1675">
        <f t="shared" si="277"/>
        <v>1638</v>
      </c>
      <c r="K1675" s="5">
        <f t="shared" si="278"/>
        <v>0</v>
      </c>
      <c r="L1675">
        <f t="shared" si="279"/>
        <v>95</v>
      </c>
      <c r="M1675">
        <f t="shared" si="280"/>
        <v>1</v>
      </c>
      <c r="N1675">
        <f t="shared" si="281"/>
        <v>0</v>
      </c>
    </row>
    <row r="1676" spans="4:14" x14ac:dyDescent="0.2">
      <c r="D1676">
        <f t="shared" si="283"/>
        <v>1653</v>
      </c>
      <c r="E1676" s="1">
        <f t="shared" si="284"/>
        <v>-14.94193506650798</v>
      </c>
      <c r="F1676" s="1">
        <f t="shared" si="285"/>
        <v>-17.277644781037711</v>
      </c>
      <c r="G1676" s="1">
        <f t="shared" si="282"/>
        <v>3.1362755424019405E-8</v>
      </c>
      <c r="H1676" s="1">
        <f t="shared" si="275"/>
        <v>3.2253741571860154E-10</v>
      </c>
      <c r="I1676">
        <f t="shared" si="276"/>
        <v>10</v>
      </c>
      <c r="J1676">
        <f t="shared" si="277"/>
        <v>1639</v>
      </c>
      <c r="K1676" s="5">
        <f t="shared" si="278"/>
        <v>0</v>
      </c>
      <c r="L1676">
        <f t="shared" si="279"/>
        <v>95</v>
      </c>
      <c r="M1676">
        <f t="shared" si="280"/>
        <v>1</v>
      </c>
      <c r="N1676">
        <f t="shared" si="281"/>
        <v>0</v>
      </c>
    </row>
    <row r="1677" spans="4:14" x14ac:dyDescent="0.2">
      <c r="D1677">
        <f t="shared" si="283"/>
        <v>1654</v>
      </c>
      <c r="E1677" s="1">
        <f t="shared" si="284"/>
        <v>-14.952406366375275</v>
      </c>
      <c r="F1677" s="1">
        <f t="shared" si="285"/>
        <v>-17.288116080905006</v>
      </c>
      <c r="G1677" s="1">
        <f t="shared" si="282"/>
        <v>3.103606005501923E-8</v>
      </c>
      <c r="H1677" s="1">
        <f t="shared" si="275"/>
        <v>3.1917765097153304E-10</v>
      </c>
      <c r="I1677">
        <f t="shared" si="276"/>
        <v>10</v>
      </c>
      <c r="J1677">
        <f t="shared" si="277"/>
        <v>1640</v>
      </c>
      <c r="K1677" s="5">
        <f t="shared" si="278"/>
        <v>0</v>
      </c>
      <c r="L1677">
        <f t="shared" si="279"/>
        <v>95</v>
      </c>
      <c r="M1677">
        <f t="shared" si="280"/>
        <v>1</v>
      </c>
      <c r="N1677">
        <f t="shared" si="281"/>
        <v>0</v>
      </c>
    </row>
    <row r="1678" spans="4:14" x14ac:dyDescent="0.2">
      <c r="D1678">
        <f t="shared" si="283"/>
        <v>1655</v>
      </c>
      <c r="E1678" s="1">
        <f t="shared" si="284"/>
        <v>-14.962877666242569</v>
      </c>
      <c r="F1678" s="1">
        <f t="shared" si="285"/>
        <v>-17.2985873807723</v>
      </c>
      <c r="G1678" s="1">
        <f t="shared" si="282"/>
        <v>3.0712767762779474E-8</v>
      </c>
      <c r="H1678" s="1">
        <f t="shared" si="275"/>
        <v>3.1585288377391317E-10</v>
      </c>
      <c r="I1678">
        <f t="shared" si="276"/>
        <v>10</v>
      </c>
      <c r="J1678">
        <f t="shared" si="277"/>
        <v>1641</v>
      </c>
      <c r="K1678" s="5">
        <f t="shared" si="278"/>
        <v>0</v>
      </c>
      <c r="L1678">
        <f t="shared" si="279"/>
        <v>95</v>
      </c>
      <c r="M1678">
        <f t="shared" si="280"/>
        <v>1</v>
      </c>
      <c r="N1678">
        <f t="shared" si="281"/>
        <v>0</v>
      </c>
    </row>
    <row r="1679" spans="4:14" x14ac:dyDescent="0.2">
      <c r="D1679">
        <f t="shared" si="283"/>
        <v>1656</v>
      </c>
      <c r="E1679" s="1">
        <f t="shared" si="284"/>
        <v>-14.973348966109864</v>
      </c>
      <c r="F1679" s="1">
        <f t="shared" si="285"/>
        <v>-17.309058680639595</v>
      </c>
      <c r="G1679" s="1">
        <f t="shared" si="282"/>
        <v>3.0392843098583887E-8</v>
      </c>
      <c r="H1679" s="1">
        <f t="shared" si="275"/>
        <v>3.1256274956793529E-10</v>
      </c>
      <c r="I1679">
        <f t="shared" si="276"/>
        <v>10</v>
      </c>
      <c r="J1679">
        <f t="shared" si="277"/>
        <v>1642</v>
      </c>
      <c r="K1679" s="5">
        <f t="shared" si="278"/>
        <v>0</v>
      </c>
      <c r="L1679">
        <f t="shared" si="279"/>
        <v>95</v>
      </c>
      <c r="M1679">
        <f t="shared" si="280"/>
        <v>1</v>
      </c>
      <c r="N1679">
        <f t="shared" si="281"/>
        <v>0</v>
      </c>
    </row>
    <row r="1680" spans="4:14" x14ac:dyDescent="0.2">
      <c r="D1680">
        <f t="shared" si="283"/>
        <v>1657</v>
      </c>
      <c r="E1680" s="1">
        <f t="shared" si="284"/>
        <v>-14.983820265977158</v>
      </c>
      <c r="F1680" s="1">
        <f t="shared" si="285"/>
        <v>-17.319529980506889</v>
      </c>
      <c r="G1680" s="1">
        <f t="shared" si="282"/>
        <v>3.0076250982973666E-8</v>
      </c>
      <c r="H1680" s="1">
        <f t="shared" si="275"/>
        <v>3.0930688759326956E-10</v>
      </c>
      <c r="I1680">
        <f t="shared" si="276"/>
        <v>10</v>
      </c>
      <c r="J1680">
        <f t="shared" si="277"/>
        <v>1643</v>
      </c>
      <c r="K1680" s="5">
        <f t="shared" si="278"/>
        <v>0</v>
      </c>
      <c r="L1680">
        <f t="shared" si="279"/>
        <v>95</v>
      </c>
      <c r="M1680">
        <f t="shared" si="280"/>
        <v>1</v>
      </c>
      <c r="N1680">
        <f t="shared" si="281"/>
        <v>0</v>
      </c>
    </row>
    <row r="1681" spans="4:14" x14ac:dyDescent="0.2">
      <c r="D1681">
        <f t="shared" si="283"/>
        <v>1658</v>
      </c>
      <c r="E1681" s="1">
        <f t="shared" si="284"/>
        <v>-14.994291565844453</v>
      </c>
      <c r="F1681" s="1">
        <f t="shared" si="285"/>
        <v>-17.330001280374184</v>
      </c>
      <c r="G1681" s="1">
        <f t="shared" si="282"/>
        <v>2.9762956701901051E-8</v>
      </c>
      <c r="H1681" s="1">
        <f t="shared" si="275"/>
        <v>3.0608494084750664E-10</v>
      </c>
      <c r="I1681">
        <f t="shared" si="276"/>
        <v>10</v>
      </c>
      <c r="J1681">
        <f t="shared" si="277"/>
        <v>1644</v>
      </c>
      <c r="K1681" s="5">
        <f t="shared" si="278"/>
        <v>0</v>
      </c>
      <c r="L1681">
        <f t="shared" si="279"/>
        <v>95</v>
      </c>
      <c r="M1681">
        <f t="shared" si="280"/>
        <v>1</v>
      </c>
      <c r="N1681">
        <f t="shared" si="281"/>
        <v>0</v>
      </c>
    </row>
    <row r="1682" spans="4:14" x14ac:dyDescent="0.2">
      <c r="D1682">
        <f t="shared" si="283"/>
        <v>1659</v>
      </c>
      <c r="E1682" s="1">
        <f t="shared" si="284"/>
        <v>-15.004762865711747</v>
      </c>
      <c r="F1682" s="1">
        <f t="shared" si="285"/>
        <v>-17.340472580241478</v>
      </c>
      <c r="G1682" s="1">
        <f t="shared" si="282"/>
        <v>2.9452925902922942E-8</v>
      </c>
      <c r="H1682" s="1">
        <f t="shared" si="275"/>
        <v>3.0289655604701205E-10</v>
      </c>
      <c r="I1682">
        <f t="shared" si="276"/>
        <v>10</v>
      </c>
      <c r="J1682">
        <f t="shared" si="277"/>
        <v>1645</v>
      </c>
      <c r="K1682" s="5">
        <f t="shared" si="278"/>
        <v>0</v>
      </c>
      <c r="L1682">
        <f t="shared" si="279"/>
        <v>95</v>
      </c>
      <c r="M1682">
        <f t="shared" si="280"/>
        <v>1</v>
      </c>
      <c r="N1682">
        <f t="shared" si="281"/>
        <v>0</v>
      </c>
    </row>
    <row r="1683" spans="4:14" x14ac:dyDescent="0.2">
      <c r="D1683">
        <f t="shared" si="283"/>
        <v>1660</v>
      </c>
      <c r="E1683" s="1">
        <f t="shared" si="284"/>
        <v>-15.015234165579042</v>
      </c>
      <c r="F1683" s="1">
        <f t="shared" si="285"/>
        <v>-17.350943880108773</v>
      </c>
      <c r="G1683" s="1">
        <f t="shared" si="282"/>
        <v>2.9146124591434189E-8</v>
      </c>
      <c r="H1683" s="1">
        <f t="shared" si="275"/>
        <v>2.9974138358818928E-10</v>
      </c>
      <c r="I1683">
        <f t="shared" si="276"/>
        <v>10</v>
      </c>
      <c r="J1683">
        <f t="shared" si="277"/>
        <v>1646</v>
      </c>
      <c r="K1683" s="5">
        <f t="shared" si="278"/>
        <v>0</v>
      </c>
      <c r="L1683">
        <f t="shared" si="279"/>
        <v>95</v>
      </c>
      <c r="M1683">
        <f t="shared" si="280"/>
        <v>1</v>
      </c>
      <c r="N1683">
        <f t="shared" si="281"/>
        <v>0</v>
      </c>
    </row>
    <row r="1684" spans="4:14" x14ac:dyDescent="0.2">
      <c r="D1684">
        <f t="shared" si="283"/>
        <v>1661</v>
      </c>
      <c r="E1684" s="1">
        <f t="shared" si="284"/>
        <v>-15.025705465446336</v>
      </c>
      <c r="F1684" s="1">
        <f t="shared" si="285"/>
        <v>-17.361415179976067</v>
      </c>
      <c r="G1684" s="1">
        <f t="shared" si="282"/>
        <v>2.8842519126940111E-8</v>
      </c>
      <c r="H1684" s="1">
        <f t="shared" si="275"/>
        <v>2.9661907750914591E-10</v>
      </c>
      <c r="I1684">
        <f t="shared" si="276"/>
        <v>10</v>
      </c>
      <c r="J1684">
        <f t="shared" si="277"/>
        <v>1647</v>
      </c>
      <c r="K1684" s="5">
        <f t="shared" si="278"/>
        <v>0</v>
      </c>
      <c r="L1684">
        <f t="shared" si="279"/>
        <v>95</v>
      </c>
      <c r="M1684">
        <f t="shared" si="280"/>
        <v>1</v>
      </c>
      <c r="N1684">
        <f t="shared" si="281"/>
        <v>0</v>
      </c>
    </row>
    <row r="1685" spans="4:14" x14ac:dyDescent="0.2">
      <c r="D1685">
        <f t="shared" si="283"/>
        <v>1662</v>
      </c>
      <c r="E1685" s="1">
        <f t="shared" si="284"/>
        <v>-15.03617676531363</v>
      </c>
      <c r="F1685" s="1">
        <f t="shared" si="285"/>
        <v>-17.371886479843361</v>
      </c>
      <c r="G1685" s="1">
        <f t="shared" si="282"/>
        <v>2.8542076219367845E-8</v>
      </c>
      <c r="H1685" s="1">
        <f t="shared" si="275"/>
        <v>2.9352929545175924E-10</v>
      </c>
      <c r="I1685">
        <f t="shared" si="276"/>
        <v>10</v>
      </c>
      <c r="J1685">
        <f t="shared" si="277"/>
        <v>1648</v>
      </c>
      <c r="K1685" s="5">
        <f t="shared" si="278"/>
        <v>0</v>
      </c>
      <c r="L1685">
        <f t="shared" si="279"/>
        <v>95</v>
      </c>
      <c r="M1685">
        <f t="shared" si="280"/>
        <v>1</v>
      </c>
      <c r="N1685">
        <f t="shared" si="281"/>
        <v>0</v>
      </c>
    </row>
    <row r="1686" spans="4:14" x14ac:dyDescent="0.2">
      <c r="D1686">
        <f t="shared" si="283"/>
        <v>1663</v>
      </c>
      <c r="E1686" s="1">
        <f t="shared" si="284"/>
        <v>-15.046648065180925</v>
      </c>
      <c r="F1686" s="1">
        <f t="shared" si="285"/>
        <v>-17.382357779710656</v>
      </c>
      <c r="G1686" s="1">
        <f t="shared" si="282"/>
        <v>2.8244762925416125E-8</v>
      </c>
      <c r="H1686" s="1">
        <f t="shared" si="275"/>
        <v>2.9047169862413705E-10</v>
      </c>
      <c r="I1686">
        <f t="shared" si="276"/>
        <v>10</v>
      </c>
      <c r="J1686">
        <f t="shared" si="277"/>
        <v>1649</v>
      </c>
      <c r="K1686" s="5">
        <f t="shared" si="278"/>
        <v>0</v>
      </c>
      <c r="L1686">
        <f t="shared" si="279"/>
        <v>95</v>
      </c>
      <c r="M1686">
        <f t="shared" si="280"/>
        <v>1</v>
      </c>
      <c r="N1686">
        <f t="shared" si="281"/>
        <v>0</v>
      </c>
    </row>
    <row r="1687" spans="4:14" x14ac:dyDescent="0.2">
      <c r="D1687">
        <f t="shared" si="283"/>
        <v>1664</v>
      </c>
      <c r="E1687" s="1">
        <f t="shared" si="284"/>
        <v>-15.057119365048219</v>
      </c>
      <c r="F1687" s="1">
        <f t="shared" si="285"/>
        <v>-17.39282907957795</v>
      </c>
      <c r="G1687" s="1">
        <f t="shared" si="282"/>
        <v>2.7950546644943066E-8</v>
      </c>
      <c r="H1687" s="1">
        <f t="shared" ref="H1687:H1750" si="286">G1687/$G$21</f>
        <v>2.8744595176346922E-10</v>
      </c>
      <c r="I1687">
        <f t="shared" ref="I1687:I1750" si="287">IF($F$11&lt;=D1687, IF(D1687&lt;=$A$15,D1687-$F$11,$C$11),0)</f>
        <v>10</v>
      </c>
      <c r="J1687">
        <f t="shared" ref="J1687:J1750" si="288">IF(D1687&lt;=$A$15,0,D1687-$A$15)</f>
        <v>1650</v>
      </c>
      <c r="K1687" s="5">
        <f t="shared" ref="K1687:K1750" si="289">IF(D1687&lt;$F$11,H1687,0)</f>
        <v>0</v>
      </c>
      <c r="L1687">
        <f t="shared" ref="L1687:L1750" si="290">IF(D1687&lt;$A$15,$D$11,$D$11*(1-$H$11))</f>
        <v>95</v>
      </c>
      <c r="M1687">
        <f t="shared" ref="M1687:M1750" si="291">IF(D1687&lt;$A$15,0,1)</f>
        <v>1</v>
      </c>
      <c r="N1687">
        <f t="shared" ref="N1687:N1750" si="292">IF(SUM(I1687:J1687)&lt;=($G$11/60*$F$11/($E$11/60)),1,0)</f>
        <v>0</v>
      </c>
    </row>
    <row r="1688" spans="4:14" x14ac:dyDescent="0.2">
      <c r="D1688">
        <f t="shared" si="283"/>
        <v>1665</v>
      </c>
      <c r="E1688" s="1">
        <f t="shared" si="284"/>
        <v>-15.067590664915514</v>
      </c>
      <c r="F1688" s="1">
        <f t="shared" si="285"/>
        <v>-17.403300379445245</v>
      </c>
      <c r="G1688" s="1">
        <f t="shared" ref="G1688:G1751" si="293">EXP(F1688)</f>
        <v>2.7659395117391603E-8</v>
      </c>
      <c r="H1688" s="1">
        <f t="shared" si="286"/>
        <v>2.8445172309926672E-10</v>
      </c>
      <c r="I1688">
        <f t="shared" si="287"/>
        <v>10</v>
      </c>
      <c r="J1688">
        <f t="shared" si="288"/>
        <v>1651</v>
      </c>
      <c r="K1688" s="5">
        <f t="shared" si="289"/>
        <v>0</v>
      </c>
      <c r="L1688">
        <f t="shared" si="290"/>
        <v>95</v>
      </c>
      <c r="M1688">
        <f t="shared" si="291"/>
        <v>1</v>
      </c>
      <c r="N1688">
        <f t="shared" si="292"/>
        <v>0</v>
      </c>
    </row>
    <row r="1689" spans="4:14" x14ac:dyDescent="0.2">
      <c r="D1689">
        <f t="shared" ref="D1689:D1752" si="294">1+D1688</f>
        <v>1666</v>
      </c>
      <c r="E1689" s="1">
        <f t="shared" ref="E1689:E1752" si="295">IF($H$11=1,IF(D1689&lt;=$A$15, E1688+LN($D$11)-LN(60/$E$11)-LN(MIN(D1689,$F$11)), E1688-LN(60/$E$11)-LN(MIN(D1689,$F$11))), IF(D1689&lt;=$A$15, E1688+LN($D$11)-LN(60/$E$11)-LN(MIN(D1689,$F$11)), E1688+LN($D$11)+LN(1-$H$11)-LN(60/$E$11)-LN(MIN(D1689,$F$11))))</f>
        <v>-15.078061964782808</v>
      </c>
      <c r="F1689" s="1">
        <f t="shared" ref="F1689:F1752" si="296">E1689-$E$21</f>
        <v>-17.413771679312539</v>
      </c>
      <c r="G1689" s="1">
        <f t="shared" si="293"/>
        <v>2.7371276418252133E-8</v>
      </c>
      <c r="H1689" s="1">
        <f t="shared" si="286"/>
        <v>2.8148868431698297E-10</v>
      </c>
      <c r="I1689">
        <f t="shared" si="287"/>
        <v>10</v>
      </c>
      <c r="J1689">
        <f t="shared" si="288"/>
        <v>1652</v>
      </c>
      <c r="K1689" s="5">
        <f t="shared" si="289"/>
        <v>0</v>
      </c>
      <c r="L1689">
        <f t="shared" si="290"/>
        <v>95</v>
      </c>
      <c r="M1689">
        <f t="shared" si="291"/>
        <v>1</v>
      </c>
      <c r="N1689">
        <f t="shared" si="292"/>
        <v>0</v>
      </c>
    </row>
    <row r="1690" spans="4:14" x14ac:dyDescent="0.2">
      <c r="D1690">
        <f t="shared" si="294"/>
        <v>1667</v>
      </c>
      <c r="E1690" s="1">
        <f t="shared" si="295"/>
        <v>-15.088533264650103</v>
      </c>
      <c r="F1690" s="1">
        <f t="shared" si="296"/>
        <v>-17.424242979179834</v>
      </c>
      <c r="G1690" s="1">
        <f t="shared" si="293"/>
        <v>2.7086158955562034E-8</v>
      </c>
      <c r="H1690" s="1">
        <f t="shared" si="286"/>
        <v>2.7855651052201464E-10</v>
      </c>
      <c r="I1690">
        <f t="shared" si="287"/>
        <v>10</v>
      </c>
      <c r="J1690">
        <f t="shared" si="288"/>
        <v>1653</v>
      </c>
      <c r="K1690" s="5">
        <f t="shared" si="289"/>
        <v>0</v>
      </c>
      <c r="L1690">
        <f t="shared" si="290"/>
        <v>95</v>
      </c>
      <c r="M1690">
        <f t="shared" si="291"/>
        <v>1</v>
      </c>
      <c r="N1690">
        <f t="shared" si="292"/>
        <v>0</v>
      </c>
    </row>
    <row r="1691" spans="4:14" x14ac:dyDescent="0.2">
      <c r="D1691">
        <f t="shared" si="294"/>
        <v>1668</v>
      </c>
      <c r="E1691" s="1">
        <f t="shared" si="295"/>
        <v>-15.099004564517397</v>
      </c>
      <c r="F1691" s="1">
        <f t="shared" si="296"/>
        <v>-17.434714279047128</v>
      </c>
      <c r="G1691" s="1">
        <f t="shared" si="293"/>
        <v>2.6804011466441622E-8</v>
      </c>
      <c r="H1691" s="1">
        <f t="shared" si="286"/>
        <v>2.7565488020407729E-10</v>
      </c>
      <c r="I1691">
        <f t="shared" si="287"/>
        <v>10</v>
      </c>
      <c r="J1691">
        <f t="shared" si="288"/>
        <v>1654</v>
      </c>
      <c r="K1691" s="5">
        <f t="shared" si="289"/>
        <v>0</v>
      </c>
      <c r="L1691">
        <f t="shared" si="290"/>
        <v>95</v>
      </c>
      <c r="M1691">
        <f t="shared" si="291"/>
        <v>1</v>
      </c>
      <c r="N1691">
        <f t="shared" si="292"/>
        <v>0</v>
      </c>
    </row>
    <row r="1692" spans="4:14" x14ac:dyDescent="0.2">
      <c r="D1692">
        <f t="shared" si="294"/>
        <v>1669</v>
      </c>
      <c r="E1692" s="1">
        <f t="shared" si="295"/>
        <v>-15.109475864384692</v>
      </c>
      <c r="F1692" s="1">
        <f t="shared" si="296"/>
        <v>-17.445185578914423</v>
      </c>
      <c r="G1692" s="1">
        <f t="shared" si="293"/>
        <v>2.6524803013666213E-8</v>
      </c>
      <c r="H1692" s="1">
        <f t="shared" si="286"/>
        <v>2.7278347520195174E-10</v>
      </c>
      <c r="I1692">
        <f t="shared" si="287"/>
        <v>10</v>
      </c>
      <c r="J1692">
        <f t="shared" si="288"/>
        <v>1655</v>
      </c>
      <c r="K1692" s="5">
        <f t="shared" si="289"/>
        <v>0</v>
      </c>
      <c r="L1692">
        <f t="shared" si="290"/>
        <v>95</v>
      </c>
      <c r="M1692">
        <f t="shared" si="291"/>
        <v>1</v>
      </c>
      <c r="N1692">
        <f t="shared" si="292"/>
        <v>0</v>
      </c>
    </row>
    <row r="1693" spans="4:14" x14ac:dyDescent="0.2">
      <c r="D1693">
        <f t="shared" si="294"/>
        <v>1670</v>
      </c>
      <c r="E1693" s="1">
        <f t="shared" si="295"/>
        <v>-15.119947164251986</v>
      </c>
      <c r="F1693" s="1">
        <f t="shared" si="296"/>
        <v>-17.455656878781717</v>
      </c>
      <c r="G1693" s="1">
        <f t="shared" si="293"/>
        <v>2.624850298227388E-8</v>
      </c>
      <c r="H1693" s="1">
        <f t="shared" si="286"/>
        <v>2.6994198066859828E-10</v>
      </c>
      <c r="I1693">
        <f t="shared" si="287"/>
        <v>10</v>
      </c>
      <c r="J1693">
        <f t="shared" si="288"/>
        <v>1656</v>
      </c>
      <c r="K1693" s="5">
        <f t="shared" si="289"/>
        <v>0</v>
      </c>
      <c r="L1693">
        <f t="shared" si="290"/>
        <v>95</v>
      </c>
      <c r="M1693">
        <f t="shared" si="291"/>
        <v>1</v>
      </c>
      <c r="N1693">
        <f t="shared" si="292"/>
        <v>0</v>
      </c>
    </row>
    <row r="1694" spans="4:14" x14ac:dyDescent="0.2">
      <c r="D1694">
        <f t="shared" si="294"/>
        <v>1671</v>
      </c>
      <c r="E1694" s="1">
        <f t="shared" si="295"/>
        <v>-15.13041846411928</v>
      </c>
      <c r="F1694" s="1">
        <f t="shared" si="296"/>
        <v>-17.466128178649011</v>
      </c>
      <c r="G1694" s="1">
        <f t="shared" si="293"/>
        <v>2.5975081076208552E-8</v>
      </c>
      <c r="H1694" s="1">
        <f t="shared" si="286"/>
        <v>2.6713008503663397E-10</v>
      </c>
      <c r="I1694">
        <f t="shared" si="287"/>
        <v>10</v>
      </c>
      <c r="J1694">
        <f t="shared" si="288"/>
        <v>1657</v>
      </c>
      <c r="K1694" s="5">
        <f t="shared" si="289"/>
        <v>0</v>
      </c>
      <c r="L1694">
        <f t="shared" si="290"/>
        <v>95</v>
      </c>
      <c r="M1694">
        <f t="shared" si="291"/>
        <v>1</v>
      </c>
      <c r="N1694">
        <f t="shared" si="292"/>
        <v>0</v>
      </c>
    </row>
    <row r="1695" spans="4:14" x14ac:dyDescent="0.2">
      <c r="D1695">
        <f t="shared" si="294"/>
        <v>1672</v>
      </c>
      <c r="E1695" s="1">
        <f t="shared" si="295"/>
        <v>-15.140889763986575</v>
      </c>
      <c r="F1695" s="1">
        <f t="shared" si="296"/>
        <v>-17.476599478516306</v>
      </c>
      <c r="G1695" s="1">
        <f t="shared" si="293"/>
        <v>2.5704507314998073E-8</v>
      </c>
      <c r="H1695" s="1">
        <f t="shared" si="286"/>
        <v>2.6434747998416933E-10</v>
      </c>
      <c r="I1695">
        <f t="shared" si="287"/>
        <v>10</v>
      </c>
      <c r="J1695">
        <f t="shared" si="288"/>
        <v>1658</v>
      </c>
      <c r="K1695" s="5">
        <f t="shared" si="289"/>
        <v>0</v>
      </c>
      <c r="L1695">
        <f t="shared" si="290"/>
        <v>95</v>
      </c>
      <c r="M1695">
        <f t="shared" si="291"/>
        <v>1</v>
      </c>
      <c r="N1695">
        <f t="shared" si="292"/>
        <v>0</v>
      </c>
    </row>
    <row r="1696" spans="4:14" x14ac:dyDescent="0.2">
      <c r="D1696">
        <f t="shared" si="294"/>
        <v>1673</v>
      </c>
      <c r="E1696" s="1">
        <f t="shared" si="295"/>
        <v>-15.151361063853869</v>
      </c>
      <c r="F1696" s="1">
        <f t="shared" si="296"/>
        <v>-17.4870707783836</v>
      </c>
      <c r="G1696" s="1">
        <f t="shared" si="293"/>
        <v>2.5436752030466867E-8</v>
      </c>
      <c r="H1696" s="1">
        <f t="shared" si="286"/>
        <v>2.6159386040100114E-10</v>
      </c>
      <c r="I1696">
        <f t="shared" si="287"/>
        <v>10</v>
      </c>
      <c r="J1696">
        <f t="shared" si="288"/>
        <v>1659</v>
      </c>
      <c r="K1696" s="5">
        <f t="shared" si="289"/>
        <v>0</v>
      </c>
      <c r="L1696">
        <f t="shared" si="290"/>
        <v>95</v>
      </c>
      <c r="M1696">
        <f t="shared" si="291"/>
        <v>1</v>
      </c>
      <c r="N1696">
        <f t="shared" si="292"/>
        <v>0</v>
      </c>
    </row>
    <row r="1697" spans="4:14" x14ac:dyDescent="0.2">
      <c r="D1697">
        <f t="shared" si="294"/>
        <v>1674</v>
      </c>
      <c r="E1697" s="1">
        <f t="shared" si="295"/>
        <v>-15.161832363721164</v>
      </c>
      <c r="F1697" s="1">
        <f t="shared" si="296"/>
        <v>-17.497542078250895</v>
      </c>
      <c r="G1697" s="1">
        <f t="shared" si="293"/>
        <v>2.5171785863482859E-8</v>
      </c>
      <c r="H1697" s="1">
        <f t="shared" si="286"/>
        <v>2.5886892435515763E-10</v>
      </c>
      <c r="I1697">
        <f t="shared" si="287"/>
        <v>10</v>
      </c>
      <c r="J1697">
        <f t="shared" si="288"/>
        <v>1660</v>
      </c>
      <c r="K1697" s="5">
        <f t="shared" si="289"/>
        <v>0</v>
      </c>
      <c r="L1697">
        <f t="shared" si="290"/>
        <v>95</v>
      </c>
      <c r="M1697">
        <f t="shared" si="291"/>
        <v>1</v>
      </c>
      <c r="N1697">
        <f t="shared" si="292"/>
        <v>0</v>
      </c>
    </row>
    <row r="1698" spans="4:14" x14ac:dyDescent="0.2">
      <c r="D1698">
        <f t="shared" si="294"/>
        <v>1675</v>
      </c>
      <c r="E1698" s="1">
        <f t="shared" si="295"/>
        <v>-15.172303663588458</v>
      </c>
      <c r="F1698" s="1">
        <f t="shared" si="296"/>
        <v>-17.508013378118189</v>
      </c>
      <c r="G1698" s="1">
        <f t="shared" si="293"/>
        <v>2.490957976073827E-8</v>
      </c>
      <c r="H1698" s="1">
        <f t="shared" si="286"/>
        <v>2.5617237305979161E-10</v>
      </c>
      <c r="I1698">
        <f t="shared" si="287"/>
        <v>10</v>
      </c>
      <c r="J1698">
        <f t="shared" si="288"/>
        <v>1661</v>
      </c>
      <c r="K1698" s="5">
        <f t="shared" si="289"/>
        <v>0</v>
      </c>
      <c r="L1698">
        <f t="shared" si="290"/>
        <v>95</v>
      </c>
      <c r="M1698">
        <f t="shared" si="291"/>
        <v>1</v>
      </c>
      <c r="N1698">
        <f t="shared" si="292"/>
        <v>0</v>
      </c>
    </row>
    <row r="1699" spans="4:14" x14ac:dyDescent="0.2">
      <c r="D1699">
        <f t="shared" si="294"/>
        <v>1676</v>
      </c>
      <c r="E1699" s="1">
        <f t="shared" si="295"/>
        <v>-15.182774963455753</v>
      </c>
      <c r="F1699" s="1">
        <f t="shared" si="296"/>
        <v>-17.518484677985484</v>
      </c>
      <c r="G1699" s="1">
        <f t="shared" si="293"/>
        <v>2.4650104971563939E-8</v>
      </c>
      <c r="H1699" s="1">
        <f t="shared" si="286"/>
        <v>2.5350391084041907E-10</v>
      </c>
      <c r="I1699">
        <f t="shared" si="287"/>
        <v>10</v>
      </c>
      <c r="J1699">
        <f t="shared" si="288"/>
        <v>1662</v>
      </c>
      <c r="K1699" s="5">
        <f t="shared" si="289"/>
        <v>0</v>
      </c>
      <c r="L1699">
        <f t="shared" si="290"/>
        <v>95</v>
      </c>
      <c r="M1699">
        <f t="shared" si="291"/>
        <v>1</v>
      </c>
      <c r="N1699">
        <f t="shared" si="292"/>
        <v>0</v>
      </c>
    </row>
    <row r="1700" spans="4:14" x14ac:dyDescent="0.2">
      <c r="D1700">
        <f t="shared" si="294"/>
        <v>1677</v>
      </c>
      <c r="E1700" s="1">
        <f t="shared" si="295"/>
        <v>-15.193246263323047</v>
      </c>
      <c r="F1700" s="1">
        <f t="shared" si="296"/>
        <v>-17.528955977852778</v>
      </c>
      <c r="G1700" s="1">
        <f t="shared" si="293"/>
        <v>2.4393333044776837E-8</v>
      </c>
      <c r="H1700" s="1">
        <f t="shared" si="286"/>
        <v>2.5086324510249826E-10</v>
      </c>
      <c r="I1700">
        <f t="shared" si="287"/>
        <v>10</v>
      </c>
      <c r="J1700">
        <f t="shared" si="288"/>
        <v>1663</v>
      </c>
      <c r="K1700" s="5">
        <f t="shared" si="289"/>
        <v>0</v>
      </c>
      <c r="L1700">
        <f t="shared" si="290"/>
        <v>95</v>
      </c>
      <c r="M1700">
        <f t="shared" si="291"/>
        <v>1</v>
      </c>
      <c r="N1700">
        <f t="shared" si="292"/>
        <v>0</v>
      </c>
    </row>
    <row r="1701" spans="4:14" x14ac:dyDescent="0.2">
      <c r="D1701">
        <f t="shared" si="294"/>
        <v>1678</v>
      </c>
      <c r="E1701" s="1">
        <f t="shared" si="295"/>
        <v>-15.203717563190342</v>
      </c>
      <c r="F1701" s="1">
        <f t="shared" si="296"/>
        <v>-17.539427277720073</v>
      </c>
      <c r="G1701" s="1">
        <f t="shared" si="293"/>
        <v>2.4139235825560434E-8</v>
      </c>
      <c r="H1701" s="1">
        <f t="shared" si="286"/>
        <v>2.4825008629934747E-10</v>
      </c>
      <c r="I1701">
        <f t="shared" si="287"/>
        <v>10</v>
      </c>
      <c r="J1701">
        <f t="shared" si="288"/>
        <v>1664</v>
      </c>
      <c r="K1701" s="5">
        <f t="shared" si="289"/>
        <v>0</v>
      </c>
      <c r="L1701">
        <f t="shared" si="290"/>
        <v>95</v>
      </c>
      <c r="M1701">
        <f t="shared" si="291"/>
        <v>1</v>
      </c>
      <c r="N1701">
        <f t="shared" si="292"/>
        <v>0</v>
      </c>
    </row>
    <row r="1702" spans="4:14" x14ac:dyDescent="0.2">
      <c r="D1702">
        <f t="shared" si="294"/>
        <v>1679</v>
      </c>
      <c r="E1702" s="1">
        <f t="shared" si="295"/>
        <v>-15.214188863057636</v>
      </c>
      <c r="F1702" s="1">
        <f t="shared" si="296"/>
        <v>-17.549898577587367</v>
      </c>
      <c r="G1702" s="1">
        <f t="shared" si="293"/>
        <v>2.3887785452377536E-8</v>
      </c>
      <c r="H1702" s="1">
        <f t="shared" si="286"/>
        <v>2.4566414790039618E-10</v>
      </c>
      <c r="I1702">
        <f t="shared" si="287"/>
        <v>10</v>
      </c>
      <c r="J1702">
        <f t="shared" si="288"/>
        <v>1665</v>
      </c>
      <c r="K1702" s="5">
        <f t="shared" si="289"/>
        <v>0</v>
      </c>
      <c r="L1702">
        <f t="shared" si="290"/>
        <v>95</v>
      </c>
      <c r="M1702">
        <f t="shared" si="291"/>
        <v>1</v>
      </c>
      <c r="N1702">
        <f t="shared" si="292"/>
        <v>0</v>
      </c>
    </row>
    <row r="1703" spans="4:14" x14ac:dyDescent="0.2">
      <c r="D1703">
        <f t="shared" si="294"/>
        <v>1680</v>
      </c>
      <c r="E1703" s="1">
        <f t="shared" si="295"/>
        <v>-15.224660162924931</v>
      </c>
      <c r="F1703" s="1">
        <f t="shared" si="296"/>
        <v>-17.560369877454661</v>
      </c>
      <c r="G1703" s="1">
        <f t="shared" si="293"/>
        <v>2.3638954353915293E-8</v>
      </c>
      <c r="H1703" s="1">
        <f t="shared" si="286"/>
        <v>2.431051463597673E-10</v>
      </c>
      <c r="I1703">
        <f t="shared" si="287"/>
        <v>10</v>
      </c>
      <c r="J1703">
        <f t="shared" si="288"/>
        <v>1666</v>
      </c>
      <c r="K1703" s="5">
        <f t="shared" si="289"/>
        <v>0</v>
      </c>
      <c r="L1703">
        <f t="shared" si="290"/>
        <v>95</v>
      </c>
      <c r="M1703">
        <f t="shared" si="291"/>
        <v>1</v>
      </c>
      <c r="N1703">
        <f t="shared" si="292"/>
        <v>0</v>
      </c>
    </row>
    <row r="1704" spans="4:14" x14ac:dyDescent="0.2">
      <c r="D1704">
        <f t="shared" si="294"/>
        <v>1681</v>
      </c>
      <c r="E1704" s="1">
        <f t="shared" si="295"/>
        <v>-15.235131462792225</v>
      </c>
      <c r="F1704" s="1">
        <f t="shared" si="296"/>
        <v>-17.570841177321956</v>
      </c>
      <c r="G1704" s="1">
        <f t="shared" si="293"/>
        <v>2.339271524606203E-8</v>
      </c>
      <c r="H1704" s="1">
        <f t="shared" si="286"/>
        <v>2.4057280108518661E-10</v>
      </c>
      <c r="I1704">
        <f t="shared" si="287"/>
        <v>10</v>
      </c>
      <c r="J1704">
        <f t="shared" si="288"/>
        <v>1667</v>
      </c>
      <c r="K1704" s="5">
        <f t="shared" si="289"/>
        <v>0</v>
      </c>
      <c r="L1704">
        <f t="shared" si="290"/>
        <v>95</v>
      </c>
      <c r="M1704">
        <f t="shared" si="291"/>
        <v>1</v>
      </c>
      <c r="N1704">
        <f t="shared" si="292"/>
        <v>0</v>
      </c>
    </row>
    <row r="1705" spans="4:14" x14ac:dyDescent="0.2">
      <c r="D1705">
        <f t="shared" si="294"/>
        <v>1682</v>
      </c>
      <c r="E1705" s="1">
        <f t="shared" si="295"/>
        <v>-15.245602762659519</v>
      </c>
      <c r="F1705" s="1">
        <f t="shared" si="296"/>
        <v>-17.58131247718925</v>
      </c>
      <c r="G1705" s="1">
        <f t="shared" si="293"/>
        <v>2.3149041128915573E-8</v>
      </c>
      <c r="H1705" s="1">
        <f t="shared" si="286"/>
        <v>2.3806683440721611E-10</v>
      </c>
      <c r="I1705">
        <f t="shared" si="287"/>
        <v>10</v>
      </c>
      <c r="J1705">
        <f t="shared" si="288"/>
        <v>1668</v>
      </c>
      <c r="K1705" s="5">
        <f t="shared" si="289"/>
        <v>0</v>
      </c>
      <c r="L1705">
        <f t="shared" si="290"/>
        <v>95</v>
      </c>
      <c r="M1705">
        <f t="shared" si="291"/>
        <v>1</v>
      </c>
      <c r="N1705">
        <f t="shared" si="292"/>
        <v>0</v>
      </c>
    </row>
    <row r="1706" spans="4:14" x14ac:dyDescent="0.2">
      <c r="D1706">
        <f t="shared" si="294"/>
        <v>1683</v>
      </c>
      <c r="E1706" s="1">
        <f t="shared" si="295"/>
        <v>-15.256074062526814</v>
      </c>
      <c r="F1706" s="1">
        <f t="shared" si="296"/>
        <v>-17.591783777056545</v>
      </c>
      <c r="G1706" s="1">
        <f t="shared" si="293"/>
        <v>2.2907905283822723E-8</v>
      </c>
      <c r="H1706" s="1">
        <f t="shared" si="286"/>
        <v>2.3558697154880787E-10</v>
      </c>
      <c r="I1706">
        <f t="shared" si="287"/>
        <v>10</v>
      </c>
      <c r="J1706">
        <f t="shared" si="288"/>
        <v>1669</v>
      </c>
      <c r="K1706" s="5">
        <f t="shared" si="289"/>
        <v>0</v>
      </c>
      <c r="L1706">
        <f t="shared" si="290"/>
        <v>95</v>
      </c>
      <c r="M1706">
        <f t="shared" si="291"/>
        <v>1</v>
      </c>
      <c r="N1706">
        <f t="shared" si="292"/>
        <v>0</v>
      </c>
    </row>
    <row r="1707" spans="4:14" x14ac:dyDescent="0.2">
      <c r="D1707">
        <f t="shared" si="294"/>
        <v>1684</v>
      </c>
      <c r="E1707" s="1">
        <f t="shared" si="295"/>
        <v>-15.266545362394108</v>
      </c>
      <c r="F1707" s="1">
        <f t="shared" si="296"/>
        <v>-17.602255076923839</v>
      </c>
      <c r="G1707" s="1">
        <f t="shared" si="293"/>
        <v>2.2669281270449593E-8</v>
      </c>
      <c r="H1707" s="1">
        <f t="shared" si="286"/>
        <v>2.3313294059517467E-10</v>
      </c>
      <c r="I1707">
        <f t="shared" si="287"/>
        <v>10</v>
      </c>
      <c r="J1707">
        <f t="shared" si="288"/>
        <v>1670</v>
      </c>
      <c r="K1707" s="5">
        <f t="shared" si="289"/>
        <v>0</v>
      </c>
      <c r="L1707">
        <f t="shared" si="290"/>
        <v>95</v>
      </c>
      <c r="M1707">
        <f t="shared" si="291"/>
        <v>1</v>
      </c>
      <c r="N1707">
        <f t="shared" si="292"/>
        <v>0</v>
      </c>
    </row>
    <row r="1708" spans="4:14" x14ac:dyDescent="0.2">
      <c r="D1708">
        <f t="shared" si="294"/>
        <v>1685</v>
      </c>
      <c r="E1708" s="1">
        <f t="shared" si="295"/>
        <v>-15.277016662261403</v>
      </c>
      <c r="F1708" s="1">
        <f t="shared" si="296"/>
        <v>-17.612726376791134</v>
      </c>
      <c r="G1708" s="1">
        <f t="shared" si="293"/>
        <v>2.2433142923882432E-8</v>
      </c>
      <c r="H1708" s="1">
        <f t="shared" si="286"/>
        <v>2.3070447246397516E-10</v>
      </c>
      <c r="I1708">
        <f t="shared" si="287"/>
        <v>10</v>
      </c>
      <c r="J1708">
        <f t="shared" si="288"/>
        <v>1671</v>
      </c>
      <c r="K1708" s="5">
        <f t="shared" si="289"/>
        <v>0</v>
      </c>
      <c r="L1708">
        <f t="shared" si="290"/>
        <v>95</v>
      </c>
      <c r="M1708">
        <f t="shared" si="291"/>
        <v>1</v>
      </c>
      <c r="N1708">
        <f t="shared" si="292"/>
        <v>0</v>
      </c>
    </row>
    <row r="1709" spans="4:14" x14ac:dyDescent="0.2">
      <c r="D1709">
        <f t="shared" si="294"/>
        <v>1686</v>
      </c>
      <c r="E1709" s="1">
        <f t="shared" si="295"/>
        <v>-15.287487962128697</v>
      </c>
      <c r="F1709" s="1">
        <f t="shared" si="296"/>
        <v>-17.623197676658428</v>
      </c>
      <c r="G1709" s="1">
        <f t="shared" si="293"/>
        <v>2.2199464351758676E-8</v>
      </c>
      <c r="H1709" s="1">
        <f t="shared" si="286"/>
        <v>2.2830130087580896E-10</v>
      </c>
      <c r="I1709">
        <f t="shared" si="287"/>
        <v>10</v>
      </c>
      <c r="J1709">
        <f t="shared" si="288"/>
        <v>1672</v>
      </c>
      <c r="K1709" s="5">
        <f t="shared" si="289"/>
        <v>0</v>
      </c>
      <c r="L1709">
        <f t="shared" si="290"/>
        <v>95</v>
      </c>
      <c r="M1709">
        <f t="shared" si="291"/>
        <v>1</v>
      </c>
      <c r="N1709">
        <f t="shared" si="292"/>
        <v>0</v>
      </c>
    </row>
    <row r="1710" spans="4:14" x14ac:dyDescent="0.2">
      <c r="D1710">
        <f t="shared" si="294"/>
        <v>1687</v>
      </c>
      <c r="E1710" s="1">
        <f t="shared" si="295"/>
        <v>-15.297959261995992</v>
      </c>
      <c r="F1710" s="1">
        <f t="shared" si="296"/>
        <v>-17.633668976525723</v>
      </c>
      <c r="G1710" s="1">
        <f t="shared" si="293"/>
        <v>2.1968219931427878E-8</v>
      </c>
      <c r="H1710" s="1">
        <f t="shared" si="286"/>
        <v>2.2592316232501949E-10</v>
      </c>
      <c r="I1710">
        <f t="shared" si="287"/>
        <v>10</v>
      </c>
      <c r="J1710">
        <f t="shared" si="288"/>
        <v>1673</v>
      </c>
      <c r="K1710" s="5">
        <f t="shared" si="289"/>
        <v>0</v>
      </c>
      <c r="L1710">
        <f t="shared" si="290"/>
        <v>95</v>
      </c>
      <c r="M1710">
        <f t="shared" si="291"/>
        <v>1</v>
      </c>
      <c r="N1710">
        <f t="shared" si="292"/>
        <v>0</v>
      </c>
    </row>
    <row r="1711" spans="4:14" x14ac:dyDescent="0.2">
      <c r="D1711">
        <f t="shared" si="294"/>
        <v>1688</v>
      </c>
      <c r="E1711" s="1">
        <f t="shared" si="295"/>
        <v>-15.308430561863286</v>
      </c>
      <c r="F1711" s="1">
        <f t="shared" si="296"/>
        <v>-17.644140276393017</v>
      </c>
      <c r="G1711" s="1">
        <f t="shared" si="293"/>
        <v>2.1739384307142194E-8</v>
      </c>
      <c r="H1711" s="1">
        <f t="shared" si="286"/>
        <v>2.2356979605080078E-10</v>
      </c>
      <c r="I1711">
        <f t="shared" si="287"/>
        <v>10</v>
      </c>
      <c r="J1711">
        <f t="shared" si="288"/>
        <v>1674</v>
      </c>
      <c r="K1711" s="5">
        <f t="shared" si="289"/>
        <v>0</v>
      </c>
      <c r="L1711">
        <f t="shared" si="290"/>
        <v>95</v>
      </c>
      <c r="M1711">
        <f t="shared" si="291"/>
        <v>1</v>
      </c>
      <c r="N1711">
        <f t="shared" si="292"/>
        <v>0</v>
      </c>
    </row>
    <row r="1712" spans="4:14" x14ac:dyDescent="0.2">
      <c r="D1712">
        <f t="shared" si="294"/>
        <v>1689</v>
      </c>
      <c r="E1712" s="1">
        <f t="shared" si="295"/>
        <v>-15.318901861730581</v>
      </c>
      <c r="F1712" s="1">
        <f t="shared" si="296"/>
        <v>-17.654611576260312</v>
      </c>
      <c r="G1712" s="1">
        <f t="shared" si="293"/>
        <v>2.1512932387276149E-8</v>
      </c>
      <c r="H1712" s="1">
        <f t="shared" si="286"/>
        <v>2.2124094400860514E-10</v>
      </c>
      <c r="I1712">
        <f t="shared" si="287"/>
        <v>10</v>
      </c>
      <c r="J1712">
        <f t="shared" si="288"/>
        <v>1675</v>
      </c>
      <c r="K1712" s="5">
        <f t="shared" si="289"/>
        <v>0</v>
      </c>
      <c r="L1712">
        <f t="shared" si="290"/>
        <v>95</v>
      </c>
      <c r="M1712">
        <f t="shared" si="291"/>
        <v>1</v>
      </c>
      <c r="N1712">
        <f t="shared" si="292"/>
        <v>0</v>
      </c>
    </row>
    <row r="1713" spans="4:14" x14ac:dyDescent="0.2">
      <c r="D1713">
        <f t="shared" si="294"/>
        <v>1690</v>
      </c>
      <c r="E1713" s="1">
        <f t="shared" si="295"/>
        <v>-15.329373161597875</v>
      </c>
      <c r="F1713" s="1">
        <f t="shared" si="296"/>
        <v>-17.665082876127606</v>
      </c>
      <c r="G1713" s="1">
        <f t="shared" si="293"/>
        <v>2.1288839341575374E-8</v>
      </c>
      <c r="H1713" s="1">
        <f t="shared" si="286"/>
        <v>2.1893635084184903E-10</v>
      </c>
      <c r="I1713">
        <f t="shared" si="287"/>
        <v>10</v>
      </c>
      <c r="J1713">
        <f t="shared" si="288"/>
        <v>1676</v>
      </c>
      <c r="K1713" s="5">
        <f t="shared" si="289"/>
        <v>0</v>
      </c>
      <c r="L1713">
        <f t="shared" si="290"/>
        <v>95</v>
      </c>
      <c r="M1713">
        <f t="shared" si="291"/>
        <v>1</v>
      </c>
      <c r="N1713">
        <f t="shared" si="292"/>
        <v>0</v>
      </c>
    </row>
    <row r="1714" spans="4:14" x14ac:dyDescent="0.2">
      <c r="D1714">
        <f t="shared" si="294"/>
        <v>1691</v>
      </c>
      <c r="E1714" s="1">
        <f t="shared" si="295"/>
        <v>-15.339844461465169</v>
      </c>
      <c r="F1714" s="1">
        <f t="shared" si="296"/>
        <v>-17.6755541759949</v>
      </c>
      <c r="G1714" s="1">
        <f t="shared" si="293"/>
        <v>2.1067080598433987E-8</v>
      </c>
      <c r="H1714" s="1">
        <f t="shared" si="286"/>
        <v>2.1665576385391333E-10</v>
      </c>
      <c r="I1714">
        <f t="shared" si="287"/>
        <v>10</v>
      </c>
      <c r="J1714">
        <f t="shared" si="288"/>
        <v>1677</v>
      </c>
      <c r="K1714" s="5">
        <f t="shared" si="289"/>
        <v>0</v>
      </c>
      <c r="L1714">
        <f t="shared" si="290"/>
        <v>95</v>
      </c>
      <c r="M1714">
        <f t="shared" si="291"/>
        <v>1</v>
      </c>
      <c r="N1714">
        <f t="shared" si="292"/>
        <v>0</v>
      </c>
    </row>
    <row r="1715" spans="4:14" x14ac:dyDescent="0.2">
      <c r="D1715">
        <f t="shared" si="294"/>
        <v>1692</v>
      </c>
      <c r="E1715" s="1">
        <f t="shared" si="295"/>
        <v>-15.350315761332464</v>
      </c>
      <c r="F1715" s="1">
        <f t="shared" si="296"/>
        <v>-17.686025475862195</v>
      </c>
      <c r="G1715" s="1">
        <f t="shared" si="293"/>
        <v>2.0847631842200317E-8</v>
      </c>
      <c r="H1715" s="1">
        <f t="shared" si="286"/>
        <v>2.1439893298043524E-10</v>
      </c>
      <c r="I1715">
        <f t="shared" si="287"/>
        <v>10</v>
      </c>
      <c r="J1715">
        <f t="shared" si="288"/>
        <v>1678</v>
      </c>
      <c r="K1715" s="5">
        <f t="shared" si="289"/>
        <v>0</v>
      </c>
      <c r="L1715">
        <f t="shared" si="290"/>
        <v>95</v>
      </c>
      <c r="M1715">
        <f t="shared" si="291"/>
        <v>1</v>
      </c>
      <c r="N1715">
        <f t="shared" si="292"/>
        <v>0</v>
      </c>
    </row>
    <row r="1716" spans="4:14" x14ac:dyDescent="0.2">
      <c r="D1716">
        <f t="shared" si="294"/>
        <v>1693</v>
      </c>
      <c r="E1716" s="1">
        <f t="shared" si="295"/>
        <v>-15.360787061199758</v>
      </c>
      <c r="F1716" s="1">
        <f t="shared" si="296"/>
        <v>-17.696496775729489</v>
      </c>
      <c r="G1716" s="1">
        <f t="shared" si="293"/>
        <v>2.063046901051075E-8</v>
      </c>
      <c r="H1716" s="1">
        <f t="shared" si="286"/>
        <v>2.1216561076188925E-10</v>
      </c>
      <c r="I1716">
        <f t="shared" si="287"/>
        <v>10</v>
      </c>
      <c r="J1716">
        <f t="shared" si="288"/>
        <v>1679</v>
      </c>
      <c r="K1716" s="5">
        <f t="shared" si="289"/>
        <v>0</v>
      </c>
      <c r="L1716">
        <f t="shared" si="290"/>
        <v>95</v>
      </c>
      <c r="M1716">
        <f t="shared" si="291"/>
        <v>1</v>
      </c>
      <c r="N1716">
        <f t="shared" si="292"/>
        <v>0</v>
      </c>
    </row>
    <row r="1717" spans="4:14" x14ac:dyDescent="0.2">
      <c r="D1717">
        <f t="shared" si="294"/>
        <v>1694</v>
      </c>
      <c r="E1717" s="1">
        <f t="shared" si="295"/>
        <v>-15.371258361067053</v>
      </c>
      <c r="F1717" s="1">
        <f t="shared" si="296"/>
        <v>-17.706968075596784</v>
      </c>
      <c r="G1717" s="1">
        <f t="shared" si="293"/>
        <v>2.0415568291651285E-8</v>
      </c>
      <c r="H1717" s="1">
        <f t="shared" si="286"/>
        <v>2.0995555231645313E-10</v>
      </c>
      <c r="I1717">
        <f t="shared" si="287"/>
        <v>10</v>
      </c>
      <c r="J1717">
        <f t="shared" si="288"/>
        <v>1680</v>
      </c>
      <c r="K1717" s="5">
        <f t="shared" si="289"/>
        <v>0</v>
      </c>
      <c r="L1717">
        <f t="shared" si="290"/>
        <v>95</v>
      </c>
      <c r="M1717">
        <f t="shared" si="291"/>
        <v>1</v>
      </c>
      <c r="N1717">
        <f t="shared" si="292"/>
        <v>0</v>
      </c>
    </row>
    <row r="1718" spans="4:14" x14ac:dyDescent="0.2">
      <c r="D1718">
        <f t="shared" si="294"/>
        <v>1695</v>
      </c>
      <c r="E1718" s="1">
        <f t="shared" si="295"/>
        <v>-15.381729660934347</v>
      </c>
      <c r="F1718" s="1">
        <f t="shared" si="296"/>
        <v>-17.717439375464078</v>
      </c>
      <c r="G1718" s="1">
        <f t="shared" si="293"/>
        <v>2.0202906121946601E-8</v>
      </c>
      <c r="H1718" s="1">
        <f t="shared" si="286"/>
        <v>2.077685153131569E-10</v>
      </c>
      <c r="I1718">
        <f t="shared" si="287"/>
        <v>10</v>
      </c>
      <c r="J1718">
        <f t="shared" si="288"/>
        <v>1681</v>
      </c>
      <c r="K1718" s="5">
        <f t="shared" si="289"/>
        <v>0</v>
      </c>
      <c r="L1718">
        <f t="shared" si="290"/>
        <v>95</v>
      </c>
      <c r="M1718">
        <f t="shared" si="291"/>
        <v>1</v>
      </c>
      <c r="N1718">
        <f t="shared" si="292"/>
        <v>0</v>
      </c>
    </row>
    <row r="1719" spans="4:14" x14ac:dyDescent="0.2">
      <c r="D1719">
        <f t="shared" si="294"/>
        <v>1696</v>
      </c>
      <c r="E1719" s="1">
        <f t="shared" si="295"/>
        <v>-15.392200960801642</v>
      </c>
      <c r="F1719" s="1">
        <f t="shared" si="296"/>
        <v>-17.727910675331373</v>
      </c>
      <c r="G1719" s="1">
        <f t="shared" si="293"/>
        <v>1.9992459183176343E-8</v>
      </c>
      <c r="H1719" s="1">
        <f t="shared" si="286"/>
        <v>2.0560425994531173E-10</v>
      </c>
      <c r="I1719">
        <f t="shared" si="287"/>
        <v>10</v>
      </c>
      <c r="J1719">
        <f t="shared" si="288"/>
        <v>1682</v>
      </c>
      <c r="K1719" s="5">
        <f t="shared" si="289"/>
        <v>0</v>
      </c>
      <c r="L1719">
        <f t="shared" si="290"/>
        <v>95</v>
      </c>
      <c r="M1719">
        <f t="shared" si="291"/>
        <v>1</v>
      </c>
      <c r="N1719">
        <f t="shared" si="292"/>
        <v>0</v>
      </c>
    </row>
    <row r="1720" spans="4:14" x14ac:dyDescent="0.2">
      <c r="D1720">
        <f t="shared" si="294"/>
        <v>1697</v>
      </c>
      <c r="E1720" s="1">
        <f t="shared" si="295"/>
        <v>-15.402672260668936</v>
      </c>
      <c r="F1720" s="1">
        <f t="shared" si="296"/>
        <v>-17.738381975198667</v>
      </c>
      <c r="G1720" s="1">
        <f t="shared" si="293"/>
        <v>1.9784204400018277E-8</v>
      </c>
      <c r="H1720" s="1">
        <f t="shared" si="286"/>
        <v>2.0346254890421495E-10</v>
      </c>
      <c r="I1720">
        <f t="shared" si="287"/>
        <v>10</v>
      </c>
      <c r="J1720">
        <f t="shared" si="288"/>
        <v>1683</v>
      </c>
      <c r="K1720" s="5">
        <f t="shared" si="289"/>
        <v>0</v>
      </c>
      <c r="L1720">
        <f t="shared" si="290"/>
        <v>95</v>
      </c>
      <c r="M1720">
        <f t="shared" si="291"/>
        <v>1</v>
      </c>
      <c r="N1720">
        <f t="shared" si="292"/>
        <v>0</v>
      </c>
    </row>
    <row r="1721" spans="4:14" x14ac:dyDescent="0.2">
      <c r="D1721">
        <f t="shared" si="294"/>
        <v>1698</v>
      </c>
      <c r="E1721" s="1">
        <f t="shared" si="295"/>
        <v>-15.413143560536231</v>
      </c>
      <c r="F1721" s="1">
        <f t="shared" si="296"/>
        <v>-17.748853275065962</v>
      </c>
      <c r="G1721" s="1">
        <f t="shared" si="293"/>
        <v>1.9578118937518105E-8</v>
      </c>
      <c r="H1721" s="1">
        <f t="shared" si="286"/>
        <v>2.0134314735312957E-10</v>
      </c>
      <c r="I1721">
        <f t="shared" si="287"/>
        <v>10</v>
      </c>
      <c r="J1721">
        <f t="shared" si="288"/>
        <v>1684</v>
      </c>
      <c r="K1721" s="5">
        <f t="shared" si="289"/>
        <v>0</v>
      </c>
      <c r="L1721">
        <f t="shared" si="290"/>
        <v>95</v>
      </c>
      <c r="M1721">
        <f t="shared" si="291"/>
        <v>1</v>
      </c>
      <c r="N1721">
        <f t="shared" si="292"/>
        <v>0</v>
      </c>
    </row>
    <row r="1722" spans="4:14" x14ac:dyDescent="0.2">
      <c r="D1722">
        <f t="shared" si="294"/>
        <v>1699</v>
      </c>
      <c r="E1722" s="1">
        <f t="shared" si="295"/>
        <v>-15.423614860403525</v>
      </c>
      <c r="F1722" s="1">
        <f t="shared" si="296"/>
        <v>-17.759324574933256</v>
      </c>
      <c r="G1722" s="1">
        <f t="shared" si="293"/>
        <v>1.9374180198585643E-8</v>
      </c>
      <c r="H1722" s="1">
        <f t="shared" si="286"/>
        <v>1.9924582290153465E-10</v>
      </c>
      <c r="I1722">
        <f t="shared" si="287"/>
        <v>10</v>
      </c>
      <c r="J1722">
        <f t="shared" si="288"/>
        <v>1685</v>
      </c>
      <c r="K1722" s="5">
        <f t="shared" si="289"/>
        <v>0</v>
      </c>
      <c r="L1722">
        <f t="shared" si="290"/>
        <v>95</v>
      </c>
      <c r="M1722">
        <f t="shared" si="291"/>
        <v>1</v>
      </c>
      <c r="N1722">
        <f t="shared" si="292"/>
        <v>0</v>
      </c>
    </row>
    <row r="1723" spans="4:14" x14ac:dyDescent="0.2">
      <c r="D1723">
        <f t="shared" si="294"/>
        <v>1700</v>
      </c>
      <c r="E1723" s="1">
        <f t="shared" si="295"/>
        <v>-15.434086160270819</v>
      </c>
      <c r="F1723" s="1">
        <f t="shared" si="296"/>
        <v>-17.76979587480055</v>
      </c>
      <c r="G1723" s="1">
        <f t="shared" si="293"/>
        <v>1.9172365821517061E-8</v>
      </c>
      <c r="H1723" s="1">
        <f t="shared" si="286"/>
        <v>1.9717034557964386E-10</v>
      </c>
      <c r="I1723">
        <f t="shared" si="287"/>
        <v>10</v>
      </c>
      <c r="J1723">
        <f t="shared" si="288"/>
        <v>1686</v>
      </c>
      <c r="K1723" s="5">
        <f t="shared" si="289"/>
        <v>0</v>
      </c>
      <c r="L1723">
        <f t="shared" si="290"/>
        <v>95</v>
      </c>
      <c r="M1723">
        <f t="shared" si="291"/>
        <v>1</v>
      </c>
      <c r="N1723">
        <f t="shared" si="292"/>
        <v>0</v>
      </c>
    </row>
    <row r="1724" spans="4:14" x14ac:dyDescent="0.2">
      <c r="D1724">
        <f t="shared" si="294"/>
        <v>1701</v>
      </c>
      <c r="E1724" s="1">
        <f t="shared" si="295"/>
        <v>-15.444557460138114</v>
      </c>
      <c r="F1724" s="1">
        <f t="shared" si="296"/>
        <v>-17.780267174667845</v>
      </c>
      <c r="G1724" s="1">
        <f t="shared" si="293"/>
        <v>1.8972653677542944E-8</v>
      </c>
      <c r="H1724" s="1">
        <f t="shared" si="286"/>
        <v>1.9511648781318944E-10</v>
      </c>
      <c r="I1724">
        <f t="shared" si="287"/>
        <v>10</v>
      </c>
      <c r="J1724">
        <f t="shared" si="288"/>
        <v>1687</v>
      </c>
      <c r="K1724" s="5">
        <f t="shared" si="289"/>
        <v>0</v>
      </c>
      <c r="L1724">
        <f t="shared" si="290"/>
        <v>95</v>
      </c>
      <c r="M1724">
        <f t="shared" si="291"/>
        <v>1</v>
      </c>
      <c r="N1724">
        <f t="shared" si="292"/>
        <v>0</v>
      </c>
    </row>
    <row r="1725" spans="4:14" x14ac:dyDescent="0.2">
      <c r="D1725">
        <f t="shared" si="294"/>
        <v>1702</v>
      </c>
      <c r="E1725" s="1">
        <f t="shared" si="295"/>
        <v>-15.455028760005408</v>
      </c>
      <c r="F1725" s="1">
        <f t="shared" si="296"/>
        <v>-17.790738474535139</v>
      </c>
      <c r="G1725" s="1">
        <f t="shared" si="293"/>
        <v>1.8775021868401889E-8</v>
      </c>
      <c r="H1725" s="1">
        <f t="shared" si="286"/>
        <v>1.9308402439846889E-10</v>
      </c>
      <c r="I1725">
        <f t="shared" si="287"/>
        <v>10</v>
      </c>
      <c r="J1725">
        <f t="shared" si="288"/>
        <v>1688</v>
      </c>
      <c r="K1725" s="5">
        <f t="shared" si="289"/>
        <v>0</v>
      </c>
      <c r="L1725">
        <f t="shared" si="290"/>
        <v>95</v>
      </c>
      <c r="M1725">
        <f t="shared" si="291"/>
        <v>1</v>
      </c>
      <c r="N1725">
        <f t="shared" si="292"/>
        <v>0</v>
      </c>
    </row>
    <row r="1726" spans="4:14" x14ac:dyDescent="0.2">
      <c r="D1726">
        <f t="shared" si="294"/>
        <v>1703</v>
      </c>
      <c r="E1726" s="1">
        <f t="shared" si="295"/>
        <v>-15.465500059872703</v>
      </c>
      <c r="F1726" s="1">
        <f t="shared" si="296"/>
        <v>-17.801209774402434</v>
      </c>
      <c r="G1726" s="1">
        <f t="shared" si="293"/>
        <v>1.8579448723939387E-8</v>
      </c>
      <c r="H1726" s="1">
        <f t="shared" si="286"/>
        <v>1.9107273247765169E-10</v>
      </c>
      <c r="I1726">
        <f t="shared" si="287"/>
        <v>10</v>
      </c>
      <c r="J1726">
        <f t="shared" si="288"/>
        <v>1689</v>
      </c>
      <c r="K1726" s="5">
        <f t="shared" si="289"/>
        <v>0</v>
      </c>
      <c r="L1726">
        <f t="shared" si="290"/>
        <v>95</v>
      </c>
      <c r="M1726">
        <f t="shared" si="291"/>
        <v>1</v>
      </c>
      <c r="N1726">
        <f t="shared" si="292"/>
        <v>0</v>
      </c>
    </row>
    <row r="1727" spans="4:14" x14ac:dyDescent="0.2">
      <c r="D1727">
        <f t="shared" si="294"/>
        <v>1704</v>
      </c>
      <c r="E1727" s="1">
        <f t="shared" si="295"/>
        <v>-15.475971359739997</v>
      </c>
      <c r="F1727" s="1">
        <f t="shared" si="296"/>
        <v>-17.811681074269728</v>
      </c>
      <c r="G1727" s="1">
        <f t="shared" si="293"/>
        <v>1.8385912799731701E-8</v>
      </c>
      <c r="H1727" s="1">
        <f t="shared" si="286"/>
        <v>1.8908239151434297E-10</v>
      </c>
      <c r="I1727">
        <f t="shared" si="287"/>
        <v>10</v>
      </c>
      <c r="J1727">
        <f t="shared" si="288"/>
        <v>1690</v>
      </c>
      <c r="K1727" s="5">
        <f t="shared" si="289"/>
        <v>0</v>
      </c>
      <c r="L1727">
        <f t="shared" si="290"/>
        <v>95</v>
      </c>
      <c r="M1727">
        <f t="shared" si="291"/>
        <v>1</v>
      </c>
      <c r="N1727">
        <f t="shared" si="292"/>
        <v>0</v>
      </c>
    </row>
    <row r="1728" spans="4:14" x14ac:dyDescent="0.2">
      <c r="D1728">
        <f t="shared" si="294"/>
        <v>1705</v>
      </c>
      <c r="E1728" s="1">
        <f t="shared" si="295"/>
        <v>-15.486442659607292</v>
      </c>
      <c r="F1728" s="1">
        <f t="shared" si="296"/>
        <v>-17.822152374137023</v>
      </c>
      <c r="G1728" s="1">
        <f t="shared" si="293"/>
        <v>1.8194392874734514E-8</v>
      </c>
      <c r="H1728" s="1">
        <f t="shared" si="286"/>
        <v>1.871127832694021E-10</v>
      </c>
      <c r="I1728">
        <f t="shared" si="287"/>
        <v>10</v>
      </c>
      <c r="J1728">
        <f t="shared" si="288"/>
        <v>1691</v>
      </c>
      <c r="K1728" s="5">
        <f t="shared" si="289"/>
        <v>0</v>
      </c>
      <c r="L1728">
        <f t="shared" si="290"/>
        <v>95</v>
      </c>
      <c r="M1728">
        <f t="shared" si="291"/>
        <v>1</v>
      </c>
      <c r="N1728">
        <f t="shared" si="292"/>
        <v>0</v>
      </c>
    </row>
    <row r="1729" spans="4:14" x14ac:dyDescent="0.2">
      <c r="D1729">
        <f t="shared" si="294"/>
        <v>1706</v>
      </c>
      <c r="E1729" s="1">
        <f t="shared" si="295"/>
        <v>-15.496913959474586</v>
      </c>
      <c r="F1729" s="1">
        <f t="shared" si="296"/>
        <v>-17.832623674004317</v>
      </c>
      <c r="G1729" s="1">
        <f t="shared" si="293"/>
        <v>1.8004867948956047E-8</v>
      </c>
      <c r="H1729" s="1">
        <f t="shared" si="286"/>
        <v>1.8516369177701265E-10</v>
      </c>
      <c r="I1729">
        <f t="shared" si="287"/>
        <v>10</v>
      </c>
      <c r="J1729">
        <f t="shared" si="288"/>
        <v>1692</v>
      </c>
      <c r="K1729" s="5">
        <f t="shared" si="289"/>
        <v>0</v>
      </c>
      <c r="L1729">
        <f t="shared" si="290"/>
        <v>95</v>
      </c>
      <c r="M1729">
        <f t="shared" si="291"/>
        <v>1</v>
      </c>
      <c r="N1729">
        <f t="shared" si="292"/>
        <v>0</v>
      </c>
    </row>
    <row r="1730" spans="4:14" x14ac:dyDescent="0.2">
      <c r="D1730">
        <f t="shared" si="294"/>
        <v>1707</v>
      </c>
      <c r="E1730" s="1">
        <f t="shared" si="295"/>
        <v>-15.507385259341881</v>
      </c>
      <c r="F1730" s="1">
        <f t="shared" si="296"/>
        <v>-17.843094973871612</v>
      </c>
      <c r="G1730" s="1">
        <f t="shared" si="293"/>
        <v>1.7817317241154438E-8</v>
      </c>
      <c r="H1730" s="1">
        <f t="shared" si="286"/>
        <v>1.8323490332100229E-10</v>
      </c>
      <c r="I1730">
        <f t="shared" si="287"/>
        <v>10</v>
      </c>
      <c r="J1730">
        <f t="shared" si="288"/>
        <v>1693</v>
      </c>
      <c r="K1730" s="5">
        <f t="shared" si="289"/>
        <v>0</v>
      </c>
      <c r="L1730">
        <f t="shared" si="290"/>
        <v>95</v>
      </c>
      <c r="M1730">
        <f t="shared" si="291"/>
        <v>1</v>
      </c>
      <c r="N1730">
        <f t="shared" si="292"/>
        <v>0</v>
      </c>
    </row>
    <row r="1731" spans="4:14" x14ac:dyDescent="0.2">
      <c r="D1731">
        <f t="shared" si="294"/>
        <v>1708</v>
      </c>
      <c r="E1731" s="1">
        <f t="shared" si="295"/>
        <v>-15.517856559209175</v>
      </c>
      <c r="F1731" s="1">
        <f t="shared" si="296"/>
        <v>-17.853566273738906</v>
      </c>
      <c r="G1731" s="1">
        <f t="shared" si="293"/>
        <v>1.7631720186559098E-8</v>
      </c>
      <c r="H1731" s="1">
        <f t="shared" si="286"/>
        <v>1.813262064114087E-10</v>
      </c>
      <c r="I1731">
        <f t="shared" si="287"/>
        <v>10</v>
      </c>
      <c r="J1731">
        <f t="shared" si="288"/>
        <v>1694</v>
      </c>
      <c r="K1731" s="5">
        <f t="shared" si="289"/>
        <v>0</v>
      </c>
      <c r="L1731">
        <f t="shared" si="290"/>
        <v>95</v>
      </c>
      <c r="M1731">
        <f t="shared" si="291"/>
        <v>1</v>
      </c>
      <c r="N1731">
        <f t="shared" si="292"/>
        <v>0</v>
      </c>
    </row>
    <row r="1732" spans="4:14" x14ac:dyDescent="0.2">
      <c r="D1732">
        <f t="shared" si="294"/>
        <v>1709</v>
      </c>
      <c r="E1732" s="1">
        <f t="shared" si="295"/>
        <v>-15.52832785907647</v>
      </c>
      <c r="F1732" s="1">
        <f t="shared" si="296"/>
        <v>-17.8640375736062</v>
      </c>
      <c r="G1732" s="1">
        <f t="shared" si="293"/>
        <v>1.7448056434615788E-8</v>
      </c>
      <c r="H1732" s="1">
        <f t="shared" si="286"/>
        <v>1.7943739176128999E-10</v>
      </c>
      <c r="I1732">
        <f t="shared" si="287"/>
        <v>10</v>
      </c>
      <c r="J1732">
        <f t="shared" si="288"/>
        <v>1695</v>
      </c>
      <c r="K1732" s="5">
        <f t="shared" si="289"/>
        <v>0</v>
      </c>
      <c r="L1732">
        <f t="shared" si="290"/>
        <v>95</v>
      </c>
      <c r="M1732">
        <f t="shared" si="291"/>
        <v>1</v>
      </c>
      <c r="N1732">
        <f t="shared" si="292"/>
        <v>0</v>
      </c>
    </row>
    <row r="1733" spans="4:14" x14ac:dyDescent="0.2">
      <c r="D1733">
        <f t="shared" si="294"/>
        <v>1710</v>
      </c>
      <c r="E1733" s="1">
        <f t="shared" si="295"/>
        <v>-15.538799158943764</v>
      </c>
      <c r="F1733" s="1">
        <f t="shared" si="296"/>
        <v>-17.874508873473495</v>
      </c>
      <c r="G1733" s="1">
        <f t="shared" si="293"/>
        <v>1.7266305846755225E-8</v>
      </c>
      <c r="H1733" s="1">
        <f t="shared" si="286"/>
        <v>1.7756825226377674E-10</v>
      </c>
      <c r="I1733">
        <f t="shared" si="287"/>
        <v>10</v>
      </c>
      <c r="J1733">
        <f t="shared" si="288"/>
        <v>1696</v>
      </c>
      <c r="K1733" s="5">
        <f t="shared" si="289"/>
        <v>0</v>
      </c>
      <c r="L1733">
        <f t="shared" si="290"/>
        <v>95</v>
      </c>
      <c r="M1733">
        <f t="shared" si="291"/>
        <v>1</v>
      </c>
      <c r="N1733">
        <f t="shared" si="292"/>
        <v>0</v>
      </c>
    </row>
    <row r="1734" spans="4:14" x14ac:dyDescent="0.2">
      <c r="D1734">
        <f t="shared" si="294"/>
        <v>1711</v>
      </c>
      <c r="E1734" s="1">
        <f t="shared" si="295"/>
        <v>-15.549270458811058</v>
      </c>
      <c r="F1734" s="1">
        <f t="shared" si="296"/>
        <v>-17.884980173340789</v>
      </c>
      <c r="G1734" s="1">
        <f t="shared" si="293"/>
        <v>1.7086448494184875E-8</v>
      </c>
      <c r="H1734" s="1">
        <f t="shared" si="286"/>
        <v>1.7571858296936258E-10</v>
      </c>
      <c r="I1734">
        <f t="shared" si="287"/>
        <v>10</v>
      </c>
      <c r="J1734">
        <f t="shared" si="288"/>
        <v>1697</v>
      </c>
      <c r="K1734" s="5">
        <f t="shared" si="289"/>
        <v>0</v>
      </c>
      <c r="L1734">
        <f t="shared" si="290"/>
        <v>95</v>
      </c>
      <c r="M1734">
        <f t="shared" si="291"/>
        <v>1</v>
      </c>
      <c r="N1734">
        <f t="shared" si="292"/>
        <v>0</v>
      </c>
    </row>
    <row r="1735" spans="4:14" x14ac:dyDescent="0.2">
      <c r="D1735">
        <f t="shared" si="294"/>
        <v>1712</v>
      </c>
      <c r="E1735" s="1">
        <f t="shared" si="295"/>
        <v>-15.559741758678353</v>
      </c>
      <c r="F1735" s="1">
        <f t="shared" si="296"/>
        <v>-17.895451473208084</v>
      </c>
      <c r="G1735" s="1">
        <f t="shared" si="293"/>
        <v>1.6908464655703799E-8</v>
      </c>
      <c r="H1735" s="1">
        <f t="shared" si="286"/>
        <v>1.7388818106343189E-10</v>
      </c>
      <c r="I1735">
        <f t="shared" si="287"/>
        <v>10</v>
      </c>
      <c r="J1735">
        <f t="shared" si="288"/>
        <v>1698</v>
      </c>
      <c r="K1735" s="5">
        <f t="shared" si="289"/>
        <v>0</v>
      </c>
      <c r="L1735">
        <f t="shared" si="290"/>
        <v>95</v>
      </c>
      <c r="M1735">
        <f t="shared" si="291"/>
        <v>1</v>
      </c>
      <c r="N1735">
        <f t="shared" si="292"/>
        <v>0</v>
      </c>
    </row>
    <row r="1736" spans="4:14" x14ac:dyDescent="0.2">
      <c r="D1736">
        <f t="shared" si="294"/>
        <v>1713</v>
      </c>
      <c r="E1736" s="1">
        <f t="shared" si="295"/>
        <v>-15.570213058545647</v>
      </c>
      <c r="F1736" s="1">
        <f t="shared" si="296"/>
        <v>-17.905922773075378</v>
      </c>
      <c r="G1736" s="1">
        <f t="shared" si="293"/>
        <v>1.6732334815540234E-8</v>
      </c>
      <c r="H1736" s="1">
        <f t="shared" si="286"/>
        <v>1.7207684584402131E-10</v>
      </c>
      <c r="I1736">
        <f t="shared" si="287"/>
        <v>10</v>
      </c>
      <c r="J1736">
        <f t="shared" si="288"/>
        <v>1699</v>
      </c>
      <c r="K1736" s="5">
        <f t="shared" si="289"/>
        <v>0</v>
      </c>
      <c r="L1736">
        <f t="shared" si="290"/>
        <v>95</v>
      </c>
      <c r="M1736">
        <f t="shared" si="291"/>
        <v>1</v>
      </c>
      <c r="N1736">
        <f t="shared" si="292"/>
        <v>0</v>
      </c>
    </row>
    <row r="1737" spans="4:14" x14ac:dyDescent="0.2">
      <c r="D1737">
        <f t="shared" si="294"/>
        <v>1714</v>
      </c>
      <c r="E1737" s="1">
        <f t="shared" si="295"/>
        <v>-15.580684358412942</v>
      </c>
      <c r="F1737" s="1">
        <f t="shared" si="296"/>
        <v>-17.916394072942673</v>
      </c>
      <c r="G1737" s="1">
        <f t="shared" si="293"/>
        <v>1.6558039661211704E-8</v>
      </c>
      <c r="H1737" s="1">
        <f t="shared" si="286"/>
        <v>1.7028437869981291E-10</v>
      </c>
      <c r="I1737">
        <f t="shared" si="287"/>
        <v>10</v>
      </c>
      <c r="J1737">
        <f t="shared" si="288"/>
        <v>1700</v>
      </c>
      <c r="K1737" s="5">
        <f t="shared" si="289"/>
        <v>0</v>
      </c>
      <c r="L1737">
        <f t="shared" si="290"/>
        <v>95</v>
      </c>
      <c r="M1737">
        <f t="shared" si="291"/>
        <v>1</v>
      </c>
      <c r="N1737">
        <f t="shared" si="292"/>
        <v>0</v>
      </c>
    </row>
    <row r="1738" spans="4:14" x14ac:dyDescent="0.2">
      <c r="D1738">
        <f t="shared" si="294"/>
        <v>1715</v>
      </c>
      <c r="E1738" s="1">
        <f t="shared" si="295"/>
        <v>-15.591155658280236</v>
      </c>
      <c r="F1738" s="1">
        <f t="shared" si="296"/>
        <v>-17.926865372809967</v>
      </c>
      <c r="G1738" s="1">
        <f t="shared" si="293"/>
        <v>1.6385560081407431E-8</v>
      </c>
      <c r="H1738" s="1">
        <f t="shared" si="286"/>
        <v>1.6851058308835667E-10</v>
      </c>
      <c r="I1738">
        <f t="shared" si="287"/>
        <v>10</v>
      </c>
      <c r="J1738">
        <f t="shared" si="288"/>
        <v>1701</v>
      </c>
      <c r="K1738" s="5">
        <f t="shared" si="289"/>
        <v>0</v>
      </c>
      <c r="L1738">
        <f t="shared" si="290"/>
        <v>95</v>
      </c>
      <c r="M1738">
        <f t="shared" si="291"/>
        <v>1</v>
      </c>
      <c r="N1738">
        <f t="shared" si="292"/>
        <v>0</v>
      </c>
    </row>
    <row r="1739" spans="4:14" x14ac:dyDescent="0.2">
      <c r="D1739">
        <f t="shared" si="294"/>
        <v>1716</v>
      </c>
      <c r="E1739" s="1">
        <f t="shared" si="295"/>
        <v>-15.601626958147531</v>
      </c>
      <c r="F1739" s="1">
        <f t="shared" si="296"/>
        <v>-17.937336672677262</v>
      </c>
      <c r="G1739" s="1">
        <f t="shared" si="293"/>
        <v>1.6214877163892786E-8</v>
      </c>
      <c r="H1739" s="1">
        <f t="shared" si="286"/>
        <v>1.6675526451451979E-10</v>
      </c>
      <c r="I1739">
        <f t="shared" si="287"/>
        <v>10</v>
      </c>
      <c r="J1739">
        <f t="shared" si="288"/>
        <v>1702</v>
      </c>
      <c r="K1739" s="5">
        <f t="shared" si="289"/>
        <v>0</v>
      </c>
      <c r="L1739">
        <f t="shared" si="290"/>
        <v>95</v>
      </c>
      <c r="M1739">
        <f t="shared" si="291"/>
        <v>1</v>
      </c>
      <c r="N1739">
        <f t="shared" si="292"/>
        <v>0</v>
      </c>
    </row>
    <row r="1740" spans="4:14" x14ac:dyDescent="0.2">
      <c r="D1740">
        <f t="shared" si="294"/>
        <v>1717</v>
      </c>
      <c r="E1740" s="1">
        <f t="shared" si="295"/>
        <v>-15.612098258014825</v>
      </c>
      <c r="F1740" s="1">
        <f t="shared" si="296"/>
        <v>-17.947807972544556</v>
      </c>
      <c r="G1740" s="1">
        <f t="shared" si="293"/>
        <v>1.6045972193435585E-8</v>
      </c>
      <c r="H1740" s="1">
        <f t="shared" si="286"/>
        <v>1.6501823050916036E-10</v>
      </c>
      <c r="I1740">
        <f t="shared" si="287"/>
        <v>10</v>
      </c>
      <c r="J1740">
        <f t="shared" si="288"/>
        <v>1703</v>
      </c>
      <c r="K1740" s="5">
        <f t="shared" si="289"/>
        <v>0</v>
      </c>
      <c r="L1740">
        <f t="shared" si="290"/>
        <v>95</v>
      </c>
      <c r="M1740">
        <f t="shared" si="291"/>
        <v>1</v>
      </c>
      <c r="N1740">
        <f t="shared" si="292"/>
        <v>0</v>
      </c>
    </row>
    <row r="1741" spans="4:14" x14ac:dyDescent="0.2">
      <c r="D1741">
        <f t="shared" si="294"/>
        <v>1718</v>
      </c>
      <c r="E1741" s="1">
        <f t="shared" si="295"/>
        <v>-15.62256955788212</v>
      </c>
      <c r="F1741" s="1">
        <f t="shared" si="296"/>
        <v>-17.958279272411851</v>
      </c>
      <c r="G1741" s="1">
        <f t="shared" si="293"/>
        <v>1.5878826649753978E-8</v>
      </c>
      <c r="H1741" s="1">
        <f t="shared" si="286"/>
        <v>1.6329929060802341E-10</v>
      </c>
      <c r="I1741">
        <f t="shared" si="287"/>
        <v>10</v>
      </c>
      <c r="J1741">
        <f t="shared" si="288"/>
        <v>1704</v>
      </c>
      <c r="K1741" s="5">
        <f t="shared" si="289"/>
        <v>0</v>
      </c>
      <c r="L1741">
        <f t="shared" si="290"/>
        <v>95</v>
      </c>
      <c r="M1741">
        <f t="shared" si="291"/>
        <v>1</v>
      </c>
      <c r="N1741">
        <f t="shared" si="292"/>
        <v>0</v>
      </c>
    </row>
    <row r="1742" spans="4:14" x14ac:dyDescent="0.2">
      <c r="D1742">
        <f t="shared" si="294"/>
        <v>1719</v>
      </c>
      <c r="E1742" s="1">
        <f t="shared" si="295"/>
        <v>-15.633040857749414</v>
      </c>
      <c r="F1742" s="1">
        <f t="shared" si="296"/>
        <v>-17.968750572279145</v>
      </c>
      <c r="G1742" s="1">
        <f t="shared" si="293"/>
        <v>1.5713422205485725E-8</v>
      </c>
      <c r="H1742" s="1">
        <f t="shared" si="286"/>
        <v>1.615982563308567E-10</v>
      </c>
      <c r="I1742">
        <f t="shared" si="287"/>
        <v>10</v>
      </c>
      <c r="J1742">
        <f t="shared" si="288"/>
        <v>1705</v>
      </c>
      <c r="K1742" s="5">
        <f t="shared" si="289"/>
        <v>0</v>
      </c>
      <c r="L1742">
        <f t="shared" si="290"/>
        <v>95</v>
      </c>
      <c r="M1742">
        <f t="shared" si="291"/>
        <v>1</v>
      </c>
      <c r="N1742">
        <f t="shared" si="292"/>
        <v>0</v>
      </c>
    </row>
    <row r="1743" spans="4:14" x14ac:dyDescent="0.2">
      <c r="D1743">
        <f t="shared" si="294"/>
        <v>1720</v>
      </c>
      <c r="E1743" s="1">
        <f t="shared" si="295"/>
        <v>-15.643512157616708</v>
      </c>
      <c r="F1743" s="1">
        <f t="shared" si="296"/>
        <v>-17.979221872146439</v>
      </c>
      <c r="G1743" s="1">
        <f t="shared" si="293"/>
        <v>1.5549740724178597E-8</v>
      </c>
      <c r="H1743" s="1">
        <f t="shared" si="286"/>
        <v>1.5991494116074376E-10</v>
      </c>
      <c r="I1743">
        <f t="shared" si="287"/>
        <v>10</v>
      </c>
      <c r="J1743">
        <f t="shared" si="288"/>
        <v>1706</v>
      </c>
      <c r="K1743" s="5">
        <f t="shared" si="289"/>
        <v>0</v>
      </c>
      <c r="L1743">
        <f t="shared" si="290"/>
        <v>95</v>
      </c>
      <c r="M1743">
        <f t="shared" si="291"/>
        <v>1</v>
      </c>
      <c r="N1743">
        <f t="shared" si="292"/>
        <v>0</v>
      </c>
    </row>
    <row r="1744" spans="4:14" x14ac:dyDescent="0.2">
      <c r="D1744">
        <f t="shared" si="294"/>
        <v>1721</v>
      </c>
      <c r="E1744" s="1">
        <f t="shared" si="295"/>
        <v>-15.653983457484003</v>
      </c>
      <c r="F1744" s="1">
        <f t="shared" si="296"/>
        <v>-17.989693172013734</v>
      </c>
      <c r="G1744" s="1">
        <f t="shared" si="293"/>
        <v>1.538776425830175E-8</v>
      </c>
      <c r="H1744" s="1">
        <f t="shared" si="286"/>
        <v>1.5824916052365282E-10</v>
      </c>
      <c r="I1744">
        <f t="shared" si="287"/>
        <v>10</v>
      </c>
      <c r="J1744">
        <f t="shared" si="288"/>
        <v>1707</v>
      </c>
      <c r="K1744" s="5">
        <f t="shared" si="289"/>
        <v>0</v>
      </c>
      <c r="L1744">
        <f t="shared" si="290"/>
        <v>95</v>
      </c>
      <c r="M1744">
        <f t="shared" si="291"/>
        <v>1</v>
      </c>
      <c r="N1744">
        <f t="shared" si="292"/>
        <v>0</v>
      </c>
    </row>
    <row r="1745" spans="4:14" x14ac:dyDescent="0.2">
      <c r="D1745">
        <f t="shared" si="294"/>
        <v>1722</v>
      </c>
      <c r="E1745" s="1">
        <f t="shared" si="295"/>
        <v>-15.664454757351297</v>
      </c>
      <c r="F1745" s="1">
        <f t="shared" si="296"/>
        <v>-18.000164471881028</v>
      </c>
      <c r="G1745" s="1">
        <f t="shared" si="293"/>
        <v>1.522747504727779E-8</v>
      </c>
      <c r="H1745" s="1">
        <f t="shared" si="286"/>
        <v>1.5660073176819826E-10</v>
      </c>
      <c r="I1745">
        <f t="shared" si="287"/>
        <v>10</v>
      </c>
      <c r="J1745">
        <f t="shared" si="288"/>
        <v>1708</v>
      </c>
      <c r="K1745" s="5">
        <f t="shared" si="289"/>
        <v>0</v>
      </c>
      <c r="L1745">
        <f t="shared" si="290"/>
        <v>95</v>
      </c>
      <c r="M1745">
        <f t="shared" si="291"/>
        <v>1</v>
      </c>
      <c r="N1745">
        <f t="shared" si="292"/>
        <v>0</v>
      </c>
    </row>
    <row r="1746" spans="4:14" x14ac:dyDescent="0.2">
      <c r="D1746">
        <f t="shared" si="294"/>
        <v>1723</v>
      </c>
      <c r="E1746" s="1">
        <f t="shared" si="295"/>
        <v>-15.674926057218592</v>
      </c>
      <c r="F1746" s="1">
        <f t="shared" si="296"/>
        <v>-18.010635771748323</v>
      </c>
      <c r="G1746" s="1">
        <f t="shared" si="293"/>
        <v>1.5068855515535325E-8</v>
      </c>
      <c r="H1746" s="1">
        <f t="shared" si="286"/>
        <v>1.54969474145613E-10</v>
      </c>
      <c r="I1746">
        <f t="shared" si="287"/>
        <v>10</v>
      </c>
      <c r="J1746">
        <f t="shared" si="288"/>
        <v>1709</v>
      </c>
      <c r="K1746" s="5">
        <f t="shared" si="289"/>
        <v>0</v>
      </c>
      <c r="L1746">
        <f t="shared" si="290"/>
        <v>95</v>
      </c>
      <c r="M1746">
        <f t="shared" si="291"/>
        <v>1</v>
      </c>
      <c r="N1746">
        <f t="shared" si="292"/>
        <v>0</v>
      </c>
    </row>
    <row r="1747" spans="4:14" x14ac:dyDescent="0.2">
      <c r="D1747">
        <f t="shared" si="294"/>
        <v>1724</v>
      </c>
      <c r="E1747" s="1">
        <f t="shared" si="295"/>
        <v>-15.685397357085886</v>
      </c>
      <c r="F1747" s="1">
        <f t="shared" si="296"/>
        <v>-18.021107071615617</v>
      </c>
      <c r="G1747" s="1">
        <f t="shared" si="293"/>
        <v>1.4911888270581848E-8</v>
      </c>
      <c r="H1747" s="1">
        <f t="shared" si="286"/>
        <v>1.533552087899297E-10</v>
      </c>
      <c r="I1747">
        <f t="shared" si="287"/>
        <v>10</v>
      </c>
      <c r="J1747">
        <f t="shared" si="288"/>
        <v>1710</v>
      </c>
      <c r="K1747" s="5">
        <f t="shared" si="289"/>
        <v>0</v>
      </c>
      <c r="L1747">
        <f t="shared" si="290"/>
        <v>95</v>
      </c>
      <c r="M1747">
        <f t="shared" si="291"/>
        <v>1</v>
      </c>
      <c r="N1747">
        <f t="shared" si="292"/>
        <v>0</v>
      </c>
    </row>
    <row r="1748" spans="4:14" x14ac:dyDescent="0.2">
      <c r="D1748">
        <f t="shared" si="294"/>
        <v>1725</v>
      </c>
      <c r="E1748" s="1">
        <f t="shared" si="295"/>
        <v>-15.695868656953181</v>
      </c>
      <c r="F1748" s="1">
        <f t="shared" si="296"/>
        <v>-18.031578371482912</v>
      </c>
      <c r="G1748" s="1">
        <f t="shared" si="293"/>
        <v>1.4756556101096633E-8</v>
      </c>
      <c r="H1748" s="1">
        <f t="shared" si="286"/>
        <v>1.5175775869836805E-10</v>
      </c>
      <c r="I1748">
        <f t="shared" si="287"/>
        <v>10</v>
      </c>
      <c r="J1748">
        <f t="shared" si="288"/>
        <v>1711</v>
      </c>
      <c r="K1748" s="5">
        <f t="shared" si="289"/>
        <v>0</v>
      </c>
      <c r="L1748">
        <f t="shared" si="290"/>
        <v>95</v>
      </c>
      <c r="M1748">
        <f t="shared" si="291"/>
        <v>1</v>
      </c>
      <c r="N1748">
        <f t="shared" si="292"/>
        <v>0</v>
      </c>
    </row>
    <row r="1749" spans="4:14" x14ac:dyDescent="0.2">
      <c r="D1749">
        <f t="shared" si="294"/>
        <v>1726</v>
      </c>
      <c r="E1749" s="1">
        <f t="shared" si="295"/>
        <v>-15.706339956820475</v>
      </c>
      <c r="F1749" s="1">
        <f t="shared" si="296"/>
        <v>-18.042049671350206</v>
      </c>
      <c r="G1749" s="1">
        <f t="shared" si="293"/>
        <v>1.4602841975043557E-8</v>
      </c>
      <c r="H1749" s="1">
        <f t="shared" si="286"/>
        <v>1.5017694871192686E-10</v>
      </c>
      <c r="I1749">
        <f t="shared" si="287"/>
        <v>10</v>
      </c>
      <c r="J1749">
        <f t="shared" si="288"/>
        <v>1712</v>
      </c>
      <c r="K1749" s="5">
        <f t="shared" si="289"/>
        <v>0</v>
      </c>
      <c r="L1749">
        <f t="shared" si="290"/>
        <v>95</v>
      </c>
      <c r="M1749">
        <f t="shared" si="291"/>
        <v>1</v>
      </c>
      <c r="N1749">
        <f t="shared" si="292"/>
        <v>0</v>
      </c>
    </row>
    <row r="1750" spans="4:14" x14ac:dyDescent="0.2">
      <c r="D1750">
        <f t="shared" si="294"/>
        <v>1727</v>
      </c>
      <c r="E1750" s="1">
        <f t="shared" si="295"/>
        <v>-15.71681125668777</v>
      </c>
      <c r="F1750" s="1">
        <f t="shared" si="296"/>
        <v>-18.052520971217501</v>
      </c>
      <c r="G1750" s="1">
        <f t="shared" si="293"/>
        <v>1.4450729037803535E-8</v>
      </c>
      <c r="H1750" s="1">
        <f t="shared" si="286"/>
        <v>1.4861260549617777E-10</v>
      </c>
      <c r="I1750">
        <f t="shared" si="287"/>
        <v>10</v>
      </c>
      <c r="J1750">
        <f t="shared" si="288"/>
        <v>1713</v>
      </c>
      <c r="K1750" s="5">
        <f t="shared" si="289"/>
        <v>0</v>
      </c>
      <c r="L1750">
        <f t="shared" si="290"/>
        <v>95</v>
      </c>
      <c r="M1750">
        <f t="shared" si="291"/>
        <v>1</v>
      </c>
      <c r="N1750">
        <f t="shared" si="292"/>
        <v>0</v>
      </c>
    </row>
    <row r="1751" spans="4:14" x14ac:dyDescent="0.2">
      <c r="D1751">
        <f t="shared" si="294"/>
        <v>1728</v>
      </c>
      <c r="E1751" s="1">
        <f t="shared" si="295"/>
        <v>-15.727282556555064</v>
      </c>
      <c r="F1751" s="1">
        <f t="shared" si="296"/>
        <v>-18.062992271084795</v>
      </c>
      <c r="G1751" s="1">
        <f t="shared" si="293"/>
        <v>1.4300200610326427E-8</v>
      </c>
      <c r="H1751" s="1">
        <f t="shared" ref="H1751:H1814" si="297">G1751/$G$21</f>
        <v>1.4706455752225937E-10</v>
      </c>
      <c r="I1751">
        <f t="shared" ref="I1751:I1814" si="298">IF($F$11&lt;=D1751, IF(D1751&lt;=$A$15,D1751-$F$11,$C$11),0)</f>
        <v>10</v>
      </c>
      <c r="J1751">
        <f t="shared" ref="J1751:J1814" si="299">IF(D1751&lt;=$A$15,0,D1751-$A$15)</f>
        <v>1714</v>
      </c>
      <c r="K1751" s="5">
        <f t="shared" ref="K1751:K1814" si="300">IF(D1751&lt;$F$11,H1751,0)</f>
        <v>0</v>
      </c>
      <c r="L1751">
        <f t="shared" ref="L1751:L1814" si="301">IF(D1751&lt;$A$15,$D$11,$D$11*(1-$H$11))</f>
        <v>95</v>
      </c>
      <c r="M1751">
        <f t="shared" ref="M1751:M1814" si="302">IF(D1751&lt;$A$15,0,1)</f>
        <v>1</v>
      </c>
      <c r="N1751">
        <f t="shared" ref="N1751:N1814" si="303">IF(SUM(I1751:J1751)&lt;=($G$11/60*$F$11/($E$11/60)),1,0)</f>
        <v>0</v>
      </c>
    </row>
    <row r="1752" spans="4:14" x14ac:dyDescent="0.2">
      <c r="D1752">
        <f t="shared" si="294"/>
        <v>1729</v>
      </c>
      <c r="E1752" s="1">
        <f t="shared" si="295"/>
        <v>-15.737753856422358</v>
      </c>
      <c r="F1752" s="1">
        <f t="shared" si="296"/>
        <v>-18.073463570952089</v>
      </c>
      <c r="G1752" s="1">
        <f t="shared" ref="G1752:G1815" si="304">EXP(F1752)</f>
        <v>1.4151240187302208E-8</v>
      </c>
      <c r="H1752" s="1">
        <f t="shared" si="297"/>
        <v>1.4553263504806932E-10</v>
      </c>
      <c r="I1752">
        <f t="shared" si="298"/>
        <v>10</v>
      </c>
      <c r="J1752">
        <f t="shared" si="299"/>
        <v>1715</v>
      </c>
      <c r="K1752" s="5">
        <f t="shared" si="300"/>
        <v>0</v>
      </c>
      <c r="L1752">
        <f t="shared" si="301"/>
        <v>95</v>
      </c>
      <c r="M1752">
        <f t="shared" si="302"/>
        <v>1</v>
      </c>
      <c r="N1752">
        <f t="shared" si="303"/>
        <v>0</v>
      </c>
    </row>
    <row r="1753" spans="4:14" x14ac:dyDescent="0.2">
      <c r="D1753">
        <f t="shared" ref="D1753:D1816" si="305">1+D1752</f>
        <v>1730</v>
      </c>
      <c r="E1753" s="1">
        <f t="shared" ref="E1753:E1816" si="306">IF($H$11=1,IF(D1753&lt;=$A$15, E1752+LN($D$11)-LN(60/$E$11)-LN(MIN(D1753,$F$11)), E1752-LN(60/$E$11)-LN(MIN(D1753,$F$11))), IF(D1753&lt;=$A$15, E1752+LN($D$11)-LN(60/$E$11)-LN(MIN(D1753,$F$11)), E1752+LN($D$11)+LN(1-$H$11)-LN(60/$E$11)-LN(MIN(D1753,$F$11))))</f>
        <v>-15.748225156289653</v>
      </c>
      <c r="F1753" s="1">
        <f t="shared" ref="F1753:F1816" si="307">E1753-$E$21</f>
        <v>-18.083934870819384</v>
      </c>
      <c r="G1753" s="1">
        <f t="shared" si="304"/>
        <v>1.4003831435351157E-8</v>
      </c>
      <c r="H1753" s="1">
        <f t="shared" si="297"/>
        <v>1.4401667009965209E-10</v>
      </c>
      <c r="I1753">
        <f t="shared" si="298"/>
        <v>10</v>
      </c>
      <c r="J1753">
        <f t="shared" si="299"/>
        <v>1716</v>
      </c>
      <c r="K1753" s="5">
        <f t="shared" si="300"/>
        <v>0</v>
      </c>
      <c r="L1753">
        <f t="shared" si="301"/>
        <v>95</v>
      </c>
      <c r="M1753">
        <f t="shared" si="302"/>
        <v>1</v>
      </c>
      <c r="N1753">
        <f t="shared" si="303"/>
        <v>0</v>
      </c>
    </row>
    <row r="1754" spans="4:14" x14ac:dyDescent="0.2">
      <c r="D1754">
        <f t="shared" si="305"/>
        <v>1731</v>
      </c>
      <c r="E1754" s="1">
        <f t="shared" si="306"/>
        <v>-15.758696456156947</v>
      </c>
      <c r="F1754" s="1">
        <f t="shared" si="307"/>
        <v>-18.094406170686678</v>
      </c>
      <c r="G1754" s="1">
        <f t="shared" si="304"/>
        <v>1.3857958191232928E-8</v>
      </c>
      <c r="H1754" s="1">
        <f t="shared" si="297"/>
        <v>1.4251649645278084E-10</v>
      </c>
      <c r="I1754">
        <f t="shared" si="298"/>
        <v>10</v>
      </c>
      <c r="J1754">
        <f t="shared" si="299"/>
        <v>1717</v>
      </c>
      <c r="K1754" s="5">
        <f t="shared" si="300"/>
        <v>0</v>
      </c>
      <c r="L1754">
        <f t="shared" si="301"/>
        <v>95</v>
      </c>
      <c r="M1754">
        <f t="shared" si="302"/>
        <v>1</v>
      </c>
      <c r="N1754">
        <f t="shared" si="303"/>
        <v>0</v>
      </c>
    </row>
    <row r="1755" spans="4:14" x14ac:dyDescent="0.2">
      <c r="D1755">
        <f t="shared" si="305"/>
        <v>1732</v>
      </c>
      <c r="E1755" s="1">
        <f t="shared" si="306"/>
        <v>-15.769167756024242</v>
      </c>
      <c r="F1755" s="1">
        <f t="shared" si="307"/>
        <v>-18.104877470553973</v>
      </c>
      <c r="G1755" s="1">
        <f t="shared" si="304"/>
        <v>1.3713604460074266E-8</v>
      </c>
      <c r="H1755" s="1">
        <f t="shared" si="297"/>
        <v>1.4103194961473117E-10</v>
      </c>
      <c r="I1755">
        <f t="shared" si="298"/>
        <v>10</v>
      </c>
      <c r="J1755">
        <f t="shared" si="299"/>
        <v>1718</v>
      </c>
      <c r="K1755" s="5">
        <f t="shared" si="300"/>
        <v>0</v>
      </c>
      <c r="L1755">
        <f t="shared" si="301"/>
        <v>95</v>
      </c>
      <c r="M1755">
        <f t="shared" si="302"/>
        <v>1</v>
      </c>
      <c r="N1755">
        <f t="shared" si="303"/>
        <v>0</v>
      </c>
    </row>
    <row r="1756" spans="4:14" x14ac:dyDescent="0.2">
      <c r="D1756">
        <f t="shared" si="305"/>
        <v>1733</v>
      </c>
      <c r="E1756" s="1">
        <f t="shared" si="306"/>
        <v>-15.779639055891536</v>
      </c>
      <c r="F1756" s="1">
        <f t="shared" si="307"/>
        <v>-18.115348770421267</v>
      </c>
      <c r="G1756" s="1">
        <f t="shared" si="304"/>
        <v>1.3570754413615172E-8</v>
      </c>
      <c r="H1756" s="1">
        <f t="shared" si="297"/>
        <v>1.3956286680624454E-10</v>
      </c>
      <c r="I1756">
        <f t="shared" si="298"/>
        <v>10</v>
      </c>
      <c r="J1756">
        <f t="shared" si="299"/>
        <v>1719</v>
      </c>
      <c r="K1756" s="5">
        <f t="shared" si="300"/>
        <v>0</v>
      </c>
      <c r="L1756">
        <f t="shared" si="301"/>
        <v>95</v>
      </c>
      <c r="M1756">
        <f t="shared" si="302"/>
        <v>1</v>
      </c>
      <c r="N1756">
        <f t="shared" si="303"/>
        <v>0</v>
      </c>
    </row>
    <row r="1757" spans="4:14" x14ac:dyDescent="0.2">
      <c r="D1757">
        <f t="shared" si="305"/>
        <v>1734</v>
      </c>
      <c r="E1757" s="1">
        <f t="shared" si="306"/>
        <v>-15.790110355758831</v>
      </c>
      <c r="F1757" s="1">
        <f t="shared" si="307"/>
        <v>-18.125820070288562</v>
      </c>
      <c r="G1757" s="1">
        <f t="shared" si="304"/>
        <v>1.3429392388473359E-8</v>
      </c>
      <c r="H1757" s="1">
        <f t="shared" si="297"/>
        <v>1.381090869436796E-10</v>
      </c>
      <c r="I1757">
        <f t="shared" si="298"/>
        <v>10</v>
      </c>
      <c r="J1757">
        <f t="shared" si="299"/>
        <v>1720</v>
      </c>
      <c r="K1757" s="5">
        <f t="shared" si="300"/>
        <v>0</v>
      </c>
      <c r="L1757">
        <f t="shared" si="301"/>
        <v>95</v>
      </c>
      <c r="M1757">
        <f t="shared" si="302"/>
        <v>1</v>
      </c>
      <c r="N1757">
        <f t="shared" si="303"/>
        <v>0</v>
      </c>
    </row>
    <row r="1758" spans="4:14" x14ac:dyDescent="0.2">
      <c r="D1758">
        <f t="shared" si="305"/>
        <v>1735</v>
      </c>
      <c r="E1758" s="1">
        <f t="shared" si="306"/>
        <v>-15.800581655626125</v>
      </c>
      <c r="F1758" s="1">
        <f t="shared" si="307"/>
        <v>-18.136291370155856</v>
      </c>
      <c r="G1758" s="1">
        <f t="shared" si="304"/>
        <v>1.3289502884426774E-8</v>
      </c>
      <c r="H1758" s="1">
        <f t="shared" si="297"/>
        <v>1.3667045062134974E-10</v>
      </c>
      <c r="I1758">
        <f t="shared" si="298"/>
        <v>10</v>
      </c>
      <c r="J1758">
        <f t="shared" si="299"/>
        <v>1721</v>
      </c>
      <c r="K1758" s="5">
        <f t="shared" si="300"/>
        <v>0</v>
      </c>
      <c r="L1758">
        <f t="shared" si="301"/>
        <v>95</v>
      </c>
      <c r="M1758">
        <f t="shared" si="302"/>
        <v>1</v>
      </c>
      <c r="N1758">
        <f t="shared" si="303"/>
        <v>0</v>
      </c>
    </row>
    <row r="1759" spans="4:14" x14ac:dyDescent="0.2">
      <c r="D1759">
        <f t="shared" si="305"/>
        <v>1736</v>
      </c>
      <c r="E1759" s="1">
        <f t="shared" si="306"/>
        <v>-15.81105295549342</v>
      </c>
      <c r="F1759" s="1">
        <f t="shared" si="307"/>
        <v>-18.146762670023151</v>
      </c>
      <c r="G1759" s="1">
        <f t="shared" si="304"/>
        <v>1.3151070562714007E-8</v>
      </c>
      <c r="H1759" s="1">
        <f t="shared" si="297"/>
        <v>1.3524680009404414E-10</v>
      </c>
      <c r="I1759">
        <f t="shared" si="298"/>
        <v>10</v>
      </c>
      <c r="J1759">
        <f t="shared" si="299"/>
        <v>1722</v>
      </c>
      <c r="K1759" s="5">
        <f t="shared" si="300"/>
        <v>0</v>
      </c>
      <c r="L1759">
        <f t="shared" si="301"/>
        <v>95</v>
      </c>
      <c r="M1759">
        <f t="shared" si="302"/>
        <v>1</v>
      </c>
      <c r="N1759">
        <f t="shared" si="303"/>
        <v>0</v>
      </c>
    </row>
    <row r="1760" spans="4:14" x14ac:dyDescent="0.2">
      <c r="D1760">
        <f t="shared" si="305"/>
        <v>1737</v>
      </c>
      <c r="E1760" s="1">
        <f t="shared" si="306"/>
        <v>-15.821524255360714</v>
      </c>
      <c r="F1760" s="1">
        <f t="shared" si="307"/>
        <v>-18.157233969890445</v>
      </c>
      <c r="G1760" s="1">
        <f t="shared" si="304"/>
        <v>1.3014080244352416E-8</v>
      </c>
      <c r="H1760" s="1">
        <f t="shared" si="297"/>
        <v>1.338379792597313E-10</v>
      </c>
      <c r="I1760">
        <f t="shared" si="298"/>
        <v>10</v>
      </c>
      <c r="J1760">
        <f t="shared" si="299"/>
        <v>1723</v>
      </c>
      <c r="K1760" s="5">
        <f t="shared" si="300"/>
        <v>0</v>
      </c>
      <c r="L1760">
        <f t="shared" si="301"/>
        <v>95</v>
      </c>
      <c r="M1760">
        <f t="shared" si="302"/>
        <v>1</v>
      </c>
      <c r="N1760">
        <f t="shared" si="303"/>
        <v>0</v>
      </c>
    </row>
    <row r="1761" spans="4:14" x14ac:dyDescent="0.2">
      <c r="D1761">
        <f t="shared" si="305"/>
        <v>1738</v>
      </c>
      <c r="E1761" s="1">
        <f t="shared" si="306"/>
        <v>-15.831995555228008</v>
      </c>
      <c r="F1761" s="1">
        <f t="shared" si="307"/>
        <v>-18.167705269757739</v>
      </c>
      <c r="G1761" s="1">
        <f t="shared" si="304"/>
        <v>1.2878516908473758E-8</v>
      </c>
      <c r="H1761" s="1">
        <f t="shared" si="297"/>
        <v>1.3244383364244256E-10</v>
      </c>
      <c r="I1761">
        <f t="shared" si="298"/>
        <v>10</v>
      </c>
      <c r="J1761">
        <f t="shared" si="299"/>
        <v>1724</v>
      </c>
      <c r="K1761" s="5">
        <f t="shared" si="300"/>
        <v>0</v>
      </c>
      <c r="L1761">
        <f t="shared" si="301"/>
        <v>95</v>
      </c>
      <c r="M1761">
        <f t="shared" si="302"/>
        <v>1</v>
      </c>
      <c r="N1761">
        <f t="shared" si="303"/>
        <v>0</v>
      </c>
    </row>
    <row r="1762" spans="4:14" x14ac:dyDescent="0.2">
      <c r="D1762">
        <f t="shared" si="305"/>
        <v>1739</v>
      </c>
      <c r="E1762" s="1">
        <f t="shared" si="306"/>
        <v>-15.842466855095303</v>
      </c>
      <c r="F1762" s="1">
        <f t="shared" si="307"/>
        <v>-18.178176569625034</v>
      </c>
      <c r="G1762" s="1">
        <f t="shared" si="304"/>
        <v>1.2744365690677169E-8</v>
      </c>
      <c r="H1762" s="1">
        <f t="shared" si="297"/>
        <v>1.3106421037533392E-10</v>
      </c>
      <c r="I1762">
        <f t="shared" si="298"/>
        <v>10</v>
      </c>
      <c r="J1762">
        <f t="shared" si="299"/>
        <v>1725</v>
      </c>
      <c r="K1762" s="5">
        <f t="shared" si="300"/>
        <v>0</v>
      </c>
      <c r="L1762">
        <f t="shared" si="301"/>
        <v>95</v>
      </c>
      <c r="M1762">
        <f t="shared" si="302"/>
        <v>1</v>
      </c>
      <c r="N1762">
        <f t="shared" si="303"/>
        <v>0</v>
      </c>
    </row>
    <row r="1763" spans="4:14" x14ac:dyDescent="0.2">
      <c r="D1763">
        <f t="shared" si="305"/>
        <v>1740</v>
      </c>
      <c r="E1763" s="1">
        <f t="shared" si="306"/>
        <v>-15.852938154962597</v>
      </c>
      <c r="F1763" s="1">
        <f t="shared" si="307"/>
        <v>-18.188647869492328</v>
      </c>
      <c r="G1763" s="1">
        <f t="shared" si="304"/>
        <v>1.2611611881399293E-8</v>
      </c>
      <c r="H1763" s="1">
        <f t="shared" si="297"/>
        <v>1.2969895818392431E-10</v>
      </c>
      <c r="I1763">
        <f t="shared" si="298"/>
        <v>10</v>
      </c>
      <c r="J1763">
        <f t="shared" si="299"/>
        <v>1726</v>
      </c>
      <c r="K1763" s="5">
        <f t="shared" si="300"/>
        <v>0</v>
      </c>
      <c r="L1763">
        <f t="shared" si="301"/>
        <v>95</v>
      </c>
      <c r="M1763">
        <f t="shared" si="302"/>
        <v>1</v>
      </c>
      <c r="N1763">
        <f t="shared" si="303"/>
        <v>0</v>
      </c>
    </row>
    <row r="1764" spans="4:14" x14ac:dyDescent="0.2">
      <c r="D1764">
        <f t="shared" si="305"/>
        <v>1741</v>
      </c>
      <c r="E1764" s="1">
        <f t="shared" si="306"/>
        <v>-15.863409454829892</v>
      </c>
      <c r="F1764" s="1">
        <f t="shared" si="307"/>
        <v>-18.199119169359623</v>
      </c>
      <c r="G1764" s="1">
        <f t="shared" si="304"/>
        <v>1.2480240924301396E-8</v>
      </c>
      <c r="H1764" s="1">
        <f t="shared" si="297"/>
        <v>1.2834792736950856E-10</v>
      </c>
      <c r="I1764">
        <f t="shared" si="298"/>
        <v>10</v>
      </c>
      <c r="J1764">
        <f t="shared" si="299"/>
        <v>1727</v>
      </c>
      <c r="K1764" s="5">
        <f t="shared" si="300"/>
        <v>0</v>
      </c>
      <c r="L1764">
        <f t="shared" si="301"/>
        <v>95</v>
      </c>
      <c r="M1764">
        <f t="shared" si="302"/>
        <v>1</v>
      </c>
      <c r="N1764">
        <f t="shared" si="303"/>
        <v>0</v>
      </c>
    </row>
    <row r="1765" spans="4:14" x14ac:dyDescent="0.2">
      <c r="D1765">
        <f t="shared" si="305"/>
        <v>1742</v>
      </c>
      <c r="E1765" s="1">
        <f t="shared" si="306"/>
        <v>-15.873880754697186</v>
      </c>
      <c r="F1765" s="1">
        <f t="shared" si="307"/>
        <v>-18.209590469226917</v>
      </c>
      <c r="G1765" s="1">
        <f t="shared" si="304"/>
        <v>1.2350238414673267E-8</v>
      </c>
      <c r="H1765" s="1">
        <f t="shared" si="297"/>
        <v>1.2701096979274296E-10</v>
      </c>
      <c r="I1765">
        <f t="shared" si="298"/>
        <v>10</v>
      </c>
      <c r="J1765">
        <f t="shared" si="299"/>
        <v>1728</v>
      </c>
      <c r="K1765" s="5">
        <f t="shared" si="300"/>
        <v>0</v>
      </c>
      <c r="L1765">
        <f t="shared" si="301"/>
        <v>95</v>
      </c>
      <c r="M1765">
        <f t="shared" si="302"/>
        <v>1</v>
      </c>
      <c r="N1765">
        <f t="shared" si="303"/>
        <v>0</v>
      </c>
    </row>
    <row r="1766" spans="4:14" x14ac:dyDescent="0.2">
      <c r="D1766">
        <f t="shared" si="305"/>
        <v>1743</v>
      </c>
      <c r="E1766" s="1">
        <f t="shared" si="306"/>
        <v>-15.884352054564481</v>
      </c>
      <c r="F1766" s="1">
        <f t="shared" si="307"/>
        <v>-18.220061769094212</v>
      </c>
      <c r="G1766" s="1">
        <f t="shared" si="304"/>
        <v>1.2221590097853766E-8</v>
      </c>
      <c r="H1766" s="1">
        <f t="shared" si="297"/>
        <v>1.2568793885740201E-10</v>
      </c>
      <c r="I1766">
        <f t="shared" si="298"/>
        <v>10</v>
      </c>
      <c r="J1766">
        <f t="shared" si="299"/>
        <v>1729</v>
      </c>
      <c r="K1766" s="5">
        <f t="shared" si="300"/>
        <v>0</v>
      </c>
      <c r="L1766">
        <f t="shared" si="301"/>
        <v>95</v>
      </c>
      <c r="M1766">
        <f t="shared" si="302"/>
        <v>1</v>
      </c>
      <c r="N1766">
        <f t="shared" si="303"/>
        <v>0</v>
      </c>
    </row>
    <row r="1767" spans="4:14" x14ac:dyDescent="0.2">
      <c r="D1767">
        <f t="shared" si="305"/>
        <v>1744</v>
      </c>
      <c r="E1767" s="1">
        <f t="shared" si="306"/>
        <v>-15.894823354431775</v>
      </c>
      <c r="F1767" s="1">
        <f t="shared" si="307"/>
        <v>-18.230533068961506</v>
      </c>
      <c r="G1767" s="1">
        <f t="shared" si="304"/>
        <v>1.2094281867667801E-8</v>
      </c>
      <c r="H1767" s="1">
        <f t="shared" si="297"/>
        <v>1.2437868949430419E-10</v>
      </c>
      <c r="I1767">
        <f t="shared" si="298"/>
        <v>10</v>
      </c>
      <c r="J1767">
        <f t="shared" si="299"/>
        <v>1730</v>
      </c>
      <c r="K1767" s="5">
        <f t="shared" si="300"/>
        <v>0</v>
      </c>
      <c r="L1767">
        <f t="shared" si="301"/>
        <v>95</v>
      </c>
      <c r="M1767">
        <f t="shared" si="302"/>
        <v>1</v>
      </c>
      <c r="N1767">
        <f t="shared" si="303"/>
        <v>0</v>
      </c>
    </row>
    <row r="1768" spans="4:14" x14ac:dyDescent="0.2">
      <c r="D1768">
        <f t="shared" si="305"/>
        <v>1745</v>
      </c>
      <c r="E1768" s="1">
        <f t="shared" si="306"/>
        <v>-15.90529465429907</v>
      </c>
      <c r="F1768" s="1">
        <f t="shared" si="307"/>
        <v>-18.241004368828801</v>
      </c>
      <c r="G1768" s="1">
        <f t="shared" si="304"/>
        <v>1.1968299764879607E-8</v>
      </c>
      <c r="H1768" s="1">
        <f t="shared" si="297"/>
        <v>1.2308307814540531E-10</v>
      </c>
      <c r="I1768">
        <f t="shared" si="298"/>
        <v>10</v>
      </c>
      <c r="J1768">
        <f t="shared" si="299"/>
        <v>1731</v>
      </c>
      <c r="K1768" s="5">
        <f t="shared" si="300"/>
        <v>0</v>
      </c>
      <c r="L1768">
        <f t="shared" si="301"/>
        <v>95</v>
      </c>
      <c r="M1768">
        <f t="shared" si="302"/>
        <v>1</v>
      </c>
      <c r="N1768">
        <f t="shared" si="303"/>
        <v>0</v>
      </c>
    </row>
    <row r="1769" spans="4:14" x14ac:dyDescent="0.2">
      <c r="D1769">
        <f t="shared" si="305"/>
        <v>1746</v>
      </c>
      <c r="E1769" s="1">
        <f t="shared" si="306"/>
        <v>-15.915765954166364</v>
      </c>
      <c r="F1769" s="1">
        <f t="shared" si="307"/>
        <v>-18.251475668696095</v>
      </c>
      <c r="G1769" s="1">
        <f t="shared" si="304"/>
        <v>1.1843629975662122E-8</v>
      </c>
      <c r="H1769" s="1">
        <f t="shared" si="297"/>
        <v>1.2180096274805746E-10</v>
      </c>
      <c r="I1769">
        <f t="shared" si="298"/>
        <v>10</v>
      </c>
      <c r="J1769">
        <f t="shared" si="299"/>
        <v>1732</v>
      </c>
      <c r="K1769" s="5">
        <f t="shared" si="300"/>
        <v>0</v>
      </c>
      <c r="L1769">
        <f t="shared" si="301"/>
        <v>95</v>
      </c>
      <c r="M1769">
        <f t="shared" si="302"/>
        <v>1</v>
      </c>
      <c r="N1769">
        <f t="shared" si="303"/>
        <v>0</v>
      </c>
    </row>
    <row r="1770" spans="4:14" x14ac:dyDescent="0.2">
      <c r="D1770">
        <f t="shared" si="305"/>
        <v>1747</v>
      </c>
      <c r="E1770" s="1">
        <f t="shared" si="306"/>
        <v>-15.926237254033659</v>
      </c>
      <c r="F1770" s="1">
        <f t="shared" si="307"/>
        <v>-18.26194696856339</v>
      </c>
      <c r="G1770" s="1">
        <f t="shared" si="304"/>
        <v>1.1720258830082319E-8</v>
      </c>
      <c r="H1770" s="1">
        <f t="shared" si="297"/>
        <v>1.2053220271943198E-10</v>
      </c>
      <c r="I1770">
        <f t="shared" si="298"/>
        <v>10</v>
      </c>
      <c r="J1770">
        <f t="shared" si="299"/>
        <v>1733</v>
      </c>
      <c r="K1770" s="5">
        <f t="shared" si="300"/>
        <v>0</v>
      </c>
      <c r="L1770">
        <f t="shared" si="301"/>
        <v>95</v>
      </c>
      <c r="M1770">
        <f t="shared" si="302"/>
        <v>1</v>
      </c>
      <c r="N1770">
        <f t="shared" si="303"/>
        <v>0</v>
      </c>
    </row>
    <row r="1771" spans="4:14" x14ac:dyDescent="0.2">
      <c r="D1771">
        <f t="shared" si="305"/>
        <v>1748</v>
      </c>
      <c r="E1771" s="1">
        <f t="shared" si="306"/>
        <v>-15.936708553900953</v>
      </c>
      <c r="F1771" s="1">
        <f t="shared" si="307"/>
        <v>-18.272418268430684</v>
      </c>
      <c r="G1771" s="1">
        <f t="shared" si="304"/>
        <v>1.1598172800602306E-8</v>
      </c>
      <c r="H1771" s="1">
        <f t="shared" si="297"/>
        <v>1.1927665894110468E-10</v>
      </c>
      <c r="I1771">
        <f t="shared" si="298"/>
        <v>10</v>
      </c>
      <c r="J1771">
        <f t="shared" si="299"/>
        <v>1734</v>
      </c>
      <c r="K1771" s="5">
        <f t="shared" si="300"/>
        <v>0</v>
      </c>
      <c r="L1771">
        <f t="shared" si="301"/>
        <v>95</v>
      </c>
      <c r="M1771">
        <f t="shared" si="302"/>
        <v>1</v>
      </c>
      <c r="N1771">
        <f t="shared" si="303"/>
        <v>0</v>
      </c>
    </row>
    <row r="1772" spans="4:14" x14ac:dyDescent="0.2">
      <c r="D1772">
        <f t="shared" si="305"/>
        <v>1749</v>
      </c>
      <c r="E1772" s="1">
        <f t="shared" si="306"/>
        <v>-15.947179853768247</v>
      </c>
      <c r="F1772" s="1">
        <f t="shared" si="307"/>
        <v>-18.282889568297978</v>
      </c>
      <c r="G1772" s="1">
        <f t="shared" si="304"/>
        <v>1.1477358500596042E-8</v>
      </c>
      <c r="H1772" s="1">
        <f t="shared" si="297"/>
        <v>1.180341937438016E-10</v>
      </c>
      <c r="I1772">
        <f t="shared" si="298"/>
        <v>10</v>
      </c>
      <c r="J1772">
        <f t="shared" si="299"/>
        <v>1735</v>
      </c>
      <c r="K1772" s="5">
        <f t="shared" si="300"/>
        <v>0</v>
      </c>
      <c r="L1772">
        <f t="shared" si="301"/>
        <v>95</v>
      </c>
      <c r="M1772">
        <f t="shared" si="302"/>
        <v>1</v>
      </c>
      <c r="N1772">
        <f t="shared" si="303"/>
        <v>0</v>
      </c>
    </row>
    <row r="1773" spans="4:14" x14ac:dyDescent="0.2">
      <c r="D1773">
        <f t="shared" si="305"/>
        <v>1750</v>
      </c>
      <c r="E1773" s="1">
        <f t="shared" si="306"/>
        <v>-15.957651153635542</v>
      </c>
      <c r="F1773" s="1">
        <f t="shared" si="307"/>
        <v>-18.293360868165273</v>
      </c>
      <c r="G1773" s="1">
        <f t="shared" si="304"/>
        <v>1.1357802682881512E-8</v>
      </c>
      <c r="H1773" s="1">
        <f t="shared" si="297"/>
        <v>1.1680467089230379E-10</v>
      </c>
      <c r="I1773">
        <f t="shared" si="298"/>
        <v>10</v>
      </c>
      <c r="J1773">
        <f t="shared" si="299"/>
        <v>1736</v>
      </c>
      <c r="K1773" s="5">
        <f t="shared" si="300"/>
        <v>0</v>
      </c>
      <c r="L1773">
        <f t="shared" si="301"/>
        <v>95</v>
      </c>
      <c r="M1773">
        <f t="shared" si="302"/>
        <v>1</v>
      </c>
      <c r="N1773">
        <f t="shared" si="303"/>
        <v>0</v>
      </c>
    </row>
    <row r="1774" spans="4:14" x14ac:dyDescent="0.2">
      <c r="D1774">
        <f t="shared" si="305"/>
        <v>1751</v>
      </c>
      <c r="E1774" s="1">
        <f t="shared" si="306"/>
        <v>-15.968122453502836</v>
      </c>
      <c r="F1774" s="1">
        <f t="shared" si="307"/>
        <v>-18.303832168032567</v>
      </c>
      <c r="G1774" s="1">
        <f t="shared" si="304"/>
        <v>1.1239492238268173E-8</v>
      </c>
      <c r="H1774" s="1">
        <f t="shared" si="297"/>
        <v>1.1558795557050905E-10</v>
      </c>
      <c r="I1774">
        <f t="shared" si="298"/>
        <v>10</v>
      </c>
      <c r="J1774">
        <f t="shared" si="299"/>
        <v>1737</v>
      </c>
      <c r="K1774" s="5">
        <f t="shared" si="300"/>
        <v>0</v>
      </c>
      <c r="L1774">
        <f t="shared" si="301"/>
        <v>95</v>
      </c>
      <c r="M1774">
        <f t="shared" si="302"/>
        <v>1</v>
      </c>
      <c r="N1774">
        <f t="shared" si="303"/>
        <v>0</v>
      </c>
    </row>
    <row r="1775" spans="4:14" x14ac:dyDescent="0.2">
      <c r="D1775">
        <f t="shared" si="305"/>
        <v>1752</v>
      </c>
      <c r="E1775" s="1">
        <f t="shared" si="306"/>
        <v>-15.978593753370131</v>
      </c>
      <c r="F1775" s="1">
        <f t="shared" si="307"/>
        <v>-18.314303467899862</v>
      </c>
      <c r="G1775" s="1">
        <f t="shared" si="304"/>
        <v>1.1122414194119558E-8</v>
      </c>
      <c r="H1775" s="1">
        <f t="shared" si="297"/>
        <v>1.1438391436664971E-10</v>
      </c>
      <c r="I1775">
        <f t="shared" si="298"/>
        <v>10</v>
      </c>
      <c r="J1775">
        <f t="shared" si="299"/>
        <v>1738</v>
      </c>
      <c r="K1775" s="5">
        <f t="shared" si="300"/>
        <v>0</v>
      </c>
      <c r="L1775">
        <f t="shared" si="301"/>
        <v>95</v>
      </c>
      <c r="M1775">
        <f t="shared" si="302"/>
        <v>1</v>
      </c>
      <c r="N1775">
        <f t="shared" si="303"/>
        <v>0</v>
      </c>
    </row>
    <row r="1776" spans="4:14" x14ac:dyDescent="0.2">
      <c r="D1776">
        <f t="shared" si="305"/>
        <v>1753</v>
      </c>
      <c r="E1776" s="1">
        <f t="shared" si="306"/>
        <v>-15.989065053237425</v>
      </c>
      <c r="F1776" s="1">
        <f t="shared" si="307"/>
        <v>-18.324774767767156</v>
      </c>
      <c r="G1776" s="1">
        <f t="shared" si="304"/>
        <v>1.1006555712930823E-8</v>
      </c>
      <c r="H1776" s="1">
        <f t="shared" si="297"/>
        <v>1.1319241525866388E-10</v>
      </c>
      <c r="I1776">
        <f t="shared" si="298"/>
        <v>10</v>
      </c>
      <c r="J1776">
        <f t="shared" si="299"/>
        <v>1739</v>
      </c>
      <c r="K1776" s="5">
        <f t="shared" si="300"/>
        <v>0</v>
      </c>
      <c r="L1776">
        <f t="shared" si="301"/>
        <v>95</v>
      </c>
      <c r="M1776">
        <f t="shared" si="302"/>
        <v>1</v>
      </c>
      <c r="N1776">
        <f t="shared" si="303"/>
        <v>0</v>
      </c>
    </row>
    <row r="1777" spans="4:14" x14ac:dyDescent="0.2">
      <c r="D1777">
        <f t="shared" si="305"/>
        <v>1754</v>
      </c>
      <c r="E1777" s="1">
        <f t="shared" si="306"/>
        <v>-15.99953635310472</v>
      </c>
      <c r="F1777" s="1">
        <f t="shared" si="307"/>
        <v>-18.335246067634451</v>
      </c>
      <c r="G1777" s="1">
        <f t="shared" si="304"/>
        <v>1.0891904090921137E-8</v>
      </c>
      <c r="H1777" s="1">
        <f t="shared" si="297"/>
        <v>1.1201332759971958E-10</v>
      </c>
      <c r="I1777">
        <f t="shared" si="298"/>
        <v>10</v>
      </c>
      <c r="J1777">
        <f t="shared" si="299"/>
        <v>1740</v>
      </c>
      <c r="K1777" s="5">
        <f t="shared" si="300"/>
        <v>0</v>
      </c>
      <c r="L1777">
        <f t="shared" si="301"/>
        <v>95</v>
      </c>
      <c r="M1777">
        <f t="shared" si="302"/>
        <v>1</v>
      </c>
      <c r="N1777">
        <f t="shared" si="303"/>
        <v>0</v>
      </c>
    </row>
    <row r="1778" spans="4:14" x14ac:dyDescent="0.2">
      <c r="D1778">
        <f t="shared" si="305"/>
        <v>1755</v>
      </c>
      <c r="E1778" s="1">
        <f t="shared" si="306"/>
        <v>-16.010007652972014</v>
      </c>
      <c r="F1778" s="1">
        <f t="shared" si="307"/>
        <v>-18.345717367501745</v>
      </c>
      <c r="G1778" s="1">
        <f t="shared" si="304"/>
        <v>1.0778446756640718E-8</v>
      </c>
      <c r="H1778" s="1">
        <f t="shared" si="297"/>
        <v>1.1084652210388926E-10</v>
      </c>
      <c r="I1778">
        <f t="shared" si="298"/>
        <v>10</v>
      </c>
      <c r="J1778">
        <f t="shared" si="299"/>
        <v>1741</v>
      </c>
      <c r="K1778" s="5">
        <f t="shared" si="300"/>
        <v>0</v>
      </c>
      <c r="L1778">
        <f t="shared" si="301"/>
        <v>95</v>
      </c>
      <c r="M1778">
        <f t="shared" si="302"/>
        <v>1</v>
      </c>
      <c r="N1778">
        <f t="shared" si="303"/>
        <v>0</v>
      </c>
    </row>
    <row r="1779" spans="4:14" x14ac:dyDescent="0.2">
      <c r="D1779">
        <f t="shared" si="305"/>
        <v>1756</v>
      </c>
      <c r="E1779" s="1">
        <f t="shared" si="306"/>
        <v>-16.020478952839309</v>
      </c>
      <c r="F1779" s="1">
        <f t="shared" si="307"/>
        <v>-18.35618866736904</v>
      </c>
      <c r="G1779" s="1">
        <f t="shared" si="304"/>
        <v>1.0666171269592388E-8</v>
      </c>
      <c r="H1779" s="1">
        <f t="shared" si="297"/>
        <v>1.0969187083197386E-10</v>
      </c>
      <c r="I1779">
        <f t="shared" si="298"/>
        <v>10</v>
      </c>
      <c r="J1779">
        <f t="shared" si="299"/>
        <v>1742</v>
      </c>
      <c r="K1779" s="5">
        <f t="shared" si="300"/>
        <v>0</v>
      </c>
      <c r="L1779">
        <f t="shared" si="301"/>
        <v>95</v>
      </c>
      <c r="M1779">
        <f t="shared" si="302"/>
        <v>1</v>
      </c>
      <c r="N1779">
        <f t="shared" si="303"/>
        <v>0</v>
      </c>
    </row>
    <row r="1780" spans="4:14" x14ac:dyDescent="0.2">
      <c r="D1780">
        <f t="shared" si="305"/>
        <v>1757</v>
      </c>
      <c r="E1780" s="1">
        <f t="shared" si="306"/>
        <v>-16.030950252706603</v>
      </c>
      <c r="F1780" s="1">
        <f t="shared" si="307"/>
        <v>-18.366659967236334</v>
      </c>
      <c r="G1780" s="1">
        <f t="shared" si="304"/>
        <v>1.0555065318867477E-8</v>
      </c>
      <c r="H1780" s="1">
        <f t="shared" si="297"/>
        <v>1.0854924717747422E-10</v>
      </c>
      <c r="I1780">
        <f t="shared" si="298"/>
        <v>10</v>
      </c>
      <c r="J1780">
        <f t="shared" si="299"/>
        <v>1743</v>
      </c>
      <c r="K1780" s="5">
        <f t="shared" si="300"/>
        <v>0</v>
      </c>
      <c r="L1780">
        <f t="shared" si="301"/>
        <v>95</v>
      </c>
      <c r="M1780">
        <f t="shared" si="302"/>
        <v>1</v>
      </c>
      <c r="N1780">
        <f t="shared" si="303"/>
        <v>0</v>
      </c>
    </row>
    <row r="1781" spans="4:14" x14ac:dyDescent="0.2">
      <c r="D1781">
        <f t="shared" si="305"/>
        <v>1758</v>
      </c>
      <c r="E1781" s="1">
        <f t="shared" si="306"/>
        <v>-16.041421552573897</v>
      </c>
      <c r="F1781" s="1">
        <f t="shared" si="307"/>
        <v>-18.377131267103628</v>
      </c>
      <c r="G1781" s="1">
        <f t="shared" si="304"/>
        <v>1.044511672179595E-8</v>
      </c>
      <c r="H1781" s="1">
        <f t="shared" si="297"/>
        <v>1.0741852585270897E-10</v>
      </c>
      <c r="I1781">
        <f t="shared" si="298"/>
        <v>10</v>
      </c>
      <c r="J1781">
        <f t="shared" si="299"/>
        <v>1744</v>
      </c>
      <c r="K1781" s="5">
        <f t="shared" si="300"/>
        <v>0</v>
      </c>
      <c r="L1781">
        <f t="shared" si="301"/>
        <v>95</v>
      </c>
      <c r="M1781">
        <f t="shared" si="302"/>
        <v>1</v>
      </c>
      <c r="N1781">
        <f t="shared" si="303"/>
        <v>0</v>
      </c>
    </row>
    <row r="1782" spans="4:14" x14ac:dyDescent="0.2">
      <c r="D1782">
        <f t="shared" si="305"/>
        <v>1759</v>
      </c>
      <c r="E1782" s="1">
        <f t="shared" si="306"/>
        <v>-16.051892852441192</v>
      </c>
      <c r="F1782" s="1">
        <f t="shared" si="307"/>
        <v>-18.387602566970923</v>
      </c>
      <c r="G1782" s="1">
        <f t="shared" si="304"/>
        <v>1.0336313422610586E-8</v>
      </c>
      <c r="H1782" s="1">
        <f t="shared" si="297"/>
        <v>1.062995828750767E-10</v>
      </c>
      <c r="I1782">
        <f t="shared" si="298"/>
        <v>10</v>
      </c>
      <c r="J1782">
        <f t="shared" si="299"/>
        <v>1745</v>
      </c>
      <c r="K1782" s="5">
        <f t="shared" si="300"/>
        <v>0</v>
      </c>
      <c r="L1782">
        <f t="shared" si="301"/>
        <v>95</v>
      </c>
      <c r="M1782">
        <f t="shared" si="302"/>
        <v>1</v>
      </c>
      <c r="N1782">
        <f t="shared" si="303"/>
        <v>0</v>
      </c>
    </row>
    <row r="1783" spans="4:14" x14ac:dyDescent="0.2">
      <c r="D1783">
        <f t="shared" si="305"/>
        <v>1760</v>
      </c>
      <c r="E1783" s="1">
        <f t="shared" si="306"/>
        <v>-16.062364152308486</v>
      </c>
      <c r="F1783" s="1">
        <f t="shared" si="307"/>
        <v>-18.398073866838217</v>
      </c>
      <c r="G1783" s="1">
        <f t="shared" si="304"/>
        <v>1.0228643491125069E-8</v>
      </c>
      <c r="H1783" s="1">
        <f t="shared" si="297"/>
        <v>1.051922955534614E-10</v>
      </c>
      <c r="I1783">
        <f t="shared" si="298"/>
        <v>10</v>
      </c>
      <c r="J1783">
        <f t="shared" si="299"/>
        <v>1746</v>
      </c>
      <c r="K1783" s="5">
        <f t="shared" si="300"/>
        <v>0</v>
      </c>
      <c r="L1783">
        <f t="shared" si="301"/>
        <v>95</v>
      </c>
      <c r="M1783">
        <f t="shared" si="302"/>
        <v>1</v>
      </c>
      <c r="N1783">
        <f t="shared" si="303"/>
        <v>0</v>
      </c>
    </row>
    <row r="1784" spans="4:14" x14ac:dyDescent="0.2">
      <c r="D1784">
        <f t="shared" si="305"/>
        <v>1761</v>
      </c>
      <c r="E1784" s="1">
        <f t="shared" si="306"/>
        <v>-16.072835452175781</v>
      </c>
      <c r="F1784" s="1">
        <f t="shared" si="307"/>
        <v>-18.408545166705512</v>
      </c>
      <c r="G1784" s="1">
        <f t="shared" si="304"/>
        <v>1.0122095121425859E-8</v>
      </c>
      <c r="H1784" s="1">
        <f t="shared" si="297"/>
        <v>1.0409654247477961E-10</v>
      </c>
      <c r="I1784">
        <f t="shared" si="298"/>
        <v>10</v>
      </c>
      <c r="J1784">
        <f t="shared" si="299"/>
        <v>1747</v>
      </c>
      <c r="K1784" s="5">
        <f t="shared" si="300"/>
        <v>0</v>
      </c>
      <c r="L1784">
        <f t="shared" si="301"/>
        <v>95</v>
      </c>
      <c r="M1784">
        <f t="shared" si="302"/>
        <v>1</v>
      </c>
      <c r="N1784">
        <f t="shared" si="303"/>
        <v>0</v>
      </c>
    </row>
    <row r="1785" spans="4:14" x14ac:dyDescent="0.2">
      <c r="D1785">
        <f t="shared" si="305"/>
        <v>1762</v>
      </c>
      <c r="E1785" s="1">
        <f t="shared" si="306"/>
        <v>-16.083306752043075</v>
      </c>
      <c r="F1785" s="1">
        <f t="shared" si="307"/>
        <v>-18.419016466572806</v>
      </c>
      <c r="G1785" s="1">
        <f t="shared" si="304"/>
        <v>1.0016656630577684E-8</v>
      </c>
      <c r="H1785" s="1">
        <f t="shared" si="297"/>
        <v>1.0301220349066744E-10</v>
      </c>
      <c r="I1785">
        <f t="shared" si="298"/>
        <v>10</v>
      </c>
      <c r="J1785">
        <f t="shared" si="299"/>
        <v>1748</v>
      </c>
      <c r="K1785" s="5">
        <f t="shared" si="300"/>
        <v>0</v>
      </c>
      <c r="L1785">
        <f t="shared" si="301"/>
        <v>95</v>
      </c>
      <c r="M1785">
        <f t="shared" si="302"/>
        <v>1</v>
      </c>
      <c r="N1785">
        <f t="shared" si="303"/>
        <v>0</v>
      </c>
    </row>
    <row r="1786" spans="4:14" x14ac:dyDescent="0.2">
      <c r="D1786">
        <f t="shared" si="305"/>
        <v>1763</v>
      </c>
      <c r="E1786" s="1">
        <f t="shared" si="306"/>
        <v>-16.09377805191037</v>
      </c>
      <c r="F1786" s="1">
        <f t="shared" si="307"/>
        <v>-18.429487766440101</v>
      </c>
      <c r="G1786" s="1">
        <f t="shared" si="304"/>
        <v>9.9123164573425089E-9</v>
      </c>
      <c r="H1786" s="1">
        <f t="shared" si="297"/>
        <v>1.0193915970430642E-10</v>
      </c>
      <c r="I1786">
        <f t="shared" si="298"/>
        <v>10</v>
      </c>
      <c r="J1786">
        <f t="shared" si="299"/>
        <v>1749</v>
      </c>
      <c r="K1786" s="5">
        <f t="shared" si="300"/>
        <v>0</v>
      </c>
      <c r="L1786">
        <f t="shared" si="301"/>
        <v>95</v>
      </c>
      <c r="M1786">
        <f t="shared" si="302"/>
        <v>1</v>
      </c>
      <c r="N1786">
        <f t="shared" si="303"/>
        <v>0</v>
      </c>
    </row>
    <row r="1787" spans="4:14" x14ac:dyDescent="0.2">
      <c r="D1787">
        <f t="shared" si="305"/>
        <v>1764</v>
      </c>
      <c r="E1787" s="1">
        <f t="shared" si="306"/>
        <v>-16.104249351777664</v>
      </c>
      <c r="F1787" s="1">
        <f t="shared" si="307"/>
        <v>-18.439959066307395</v>
      </c>
      <c r="G1787" s="1">
        <f t="shared" si="304"/>
        <v>9.809063160911867E-9</v>
      </c>
      <c r="H1787" s="1">
        <f t="shared" si="297"/>
        <v>1.0087729345738665E-10</v>
      </c>
      <c r="I1787">
        <f t="shared" si="298"/>
        <v>10</v>
      </c>
      <c r="J1787">
        <f t="shared" si="299"/>
        <v>1750</v>
      </c>
      <c r="K1787" s="5">
        <f t="shared" si="300"/>
        <v>0</v>
      </c>
      <c r="L1787">
        <f t="shared" si="301"/>
        <v>95</v>
      </c>
      <c r="M1787">
        <f t="shared" si="302"/>
        <v>1</v>
      </c>
      <c r="N1787">
        <f t="shared" si="303"/>
        <v>0</v>
      </c>
    </row>
    <row r="1788" spans="4:14" x14ac:dyDescent="0.2">
      <c r="D1788">
        <f t="shared" si="305"/>
        <v>1765</v>
      </c>
      <c r="E1788" s="1">
        <f t="shared" si="306"/>
        <v>-16.114720651644959</v>
      </c>
      <c r="F1788" s="1">
        <f t="shared" si="307"/>
        <v>-18.45043036617469</v>
      </c>
      <c r="G1788" s="1">
        <f t="shared" si="304"/>
        <v>9.7068854196523774E-9</v>
      </c>
      <c r="H1788" s="1">
        <f t="shared" si="297"/>
        <v>9.9826488317205639E-11</v>
      </c>
      <c r="I1788">
        <f t="shared" si="298"/>
        <v>10</v>
      </c>
      <c r="J1788">
        <f t="shared" si="299"/>
        <v>1751</v>
      </c>
      <c r="K1788" s="5">
        <f t="shared" si="300"/>
        <v>0</v>
      </c>
      <c r="L1788">
        <f t="shared" si="301"/>
        <v>95</v>
      </c>
      <c r="M1788">
        <f t="shared" si="302"/>
        <v>1</v>
      </c>
      <c r="N1788">
        <f t="shared" si="303"/>
        <v>0</v>
      </c>
    </row>
    <row r="1789" spans="4:14" x14ac:dyDescent="0.2">
      <c r="D1789">
        <f t="shared" si="305"/>
        <v>1766</v>
      </c>
      <c r="E1789" s="1">
        <f t="shared" si="306"/>
        <v>-16.125191951512253</v>
      </c>
      <c r="F1789" s="1">
        <f t="shared" si="307"/>
        <v>-18.460901666041984</v>
      </c>
      <c r="G1789" s="1">
        <f t="shared" si="304"/>
        <v>9.6057720298643405E-9</v>
      </c>
      <c r="H1789" s="1">
        <f t="shared" si="297"/>
        <v>9.87866290639015E-11</v>
      </c>
      <c r="I1789">
        <f t="shared" si="298"/>
        <v>10</v>
      </c>
      <c r="J1789">
        <f t="shared" si="299"/>
        <v>1752</v>
      </c>
      <c r="K1789" s="5">
        <f t="shared" si="300"/>
        <v>0</v>
      </c>
      <c r="L1789">
        <f t="shared" si="301"/>
        <v>95</v>
      </c>
      <c r="M1789">
        <f t="shared" si="302"/>
        <v>1</v>
      </c>
      <c r="N1789">
        <f t="shared" si="303"/>
        <v>0</v>
      </c>
    </row>
    <row r="1790" spans="4:14" x14ac:dyDescent="0.2">
      <c r="D1790">
        <f t="shared" si="305"/>
        <v>1767</v>
      </c>
      <c r="E1790" s="1">
        <f t="shared" si="306"/>
        <v>-16.135663251379547</v>
      </c>
      <c r="F1790" s="1">
        <f t="shared" si="307"/>
        <v>-18.471372965909278</v>
      </c>
      <c r="G1790" s="1">
        <f t="shared" si="304"/>
        <v>9.5057119045532637E-9</v>
      </c>
      <c r="H1790" s="1">
        <f t="shared" si="297"/>
        <v>9.7757601677819296E-11</v>
      </c>
      <c r="I1790">
        <f t="shared" si="298"/>
        <v>10</v>
      </c>
      <c r="J1790">
        <f t="shared" si="299"/>
        <v>1753</v>
      </c>
      <c r="K1790" s="5">
        <f t="shared" si="300"/>
        <v>0</v>
      </c>
      <c r="L1790">
        <f t="shared" si="301"/>
        <v>95</v>
      </c>
      <c r="M1790">
        <f t="shared" si="302"/>
        <v>1</v>
      </c>
      <c r="N1790">
        <f t="shared" si="303"/>
        <v>0</v>
      </c>
    </row>
    <row r="1791" spans="4:14" x14ac:dyDescent="0.2">
      <c r="D1791">
        <f t="shared" si="305"/>
        <v>1768</v>
      </c>
      <c r="E1791" s="1">
        <f t="shared" si="306"/>
        <v>-16.146134551246842</v>
      </c>
      <c r="F1791" s="1">
        <f t="shared" si="307"/>
        <v>-18.481844265776573</v>
      </c>
      <c r="G1791" s="1">
        <f t="shared" si="304"/>
        <v>9.4066940722141756E-9</v>
      </c>
      <c r="H1791" s="1">
        <f t="shared" si="297"/>
        <v>9.6739293327008761E-11</v>
      </c>
      <c r="I1791">
        <f t="shared" si="298"/>
        <v>10</v>
      </c>
      <c r="J1791">
        <f t="shared" si="299"/>
        <v>1754</v>
      </c>
      <c r="K1791" s="5">
        <f t="shared" si="300"/>
        <v>0</v>
      </c>
      <c r="L1791">
        <f t="shared" si="301"/>
        <v>95</v>
      </c>
      <c r="M1791">
        <f t="shared" si="302"/>
        <v>1</v>
      </c>
      <c r="N1791">
        <f t="shared" si="303"/>
        <v>0</v>
      </c>
    </row>
    <row r="1792" spans="4:14" x14ac:dyDescent="0.2">
      <c r="D1792">
        <f t="shared" si="305"/>
        <v>1769</v>
      </c>
      <c r="E1792" s="1">
        <f t="shared" si="306"/>
        <v>-16.156605851114136</v>
      </c>
      <c r="F1792" s="1">
        <f t="shared" si="307"/>
        <v>-18.492315565643867</v>
      </c>
      <c r="G1792" s="1">
        <f t="shared" si="304"/>
        <v>9.3087076756286208E-9</v>
      </c>
      <c r="H1792" s="1">
        <f t="shared" si="297"/>
        <v>9.5731592354852524E-11</v>
      </c>
      <c r="I1792">
        <f t="shared" si="298"/>
        <v>10</v>
      </c>
      <c r="J1792">
        <f t="shared" si="299"/>
        <v>1755</v>
      </c>
      <c r="K1792" s="5">
        <f t="shared" si="300"/>
        <v>0</v>
      </c>
      <c r="L1792">
        <f t="shared" si="301"/>
        <v>95</v>
      </c>
      <c r="M1792">
        <f t="shared" si="302"/>
        <v>1</v>
      </c>
      <c r="N1792">
        <f t="shared" si="303"/>
        <v>0</v>
      </c>
    </row>
    <row r="1793" spans="4:14" x14ac:dyDescent="0.2">
      <c r="D1793">
        <f t="shared" si="305"/>
        <v>1770</v>
      </c>
      <c r="E1793" s="1">
        <f t="shared" si="306"/>
        <v>-16.167077150981431</v>
      </c>
      <c r="F1793" s="1">
        <f t="shared" si="307"/>
        <v>-18.502786865511162</v>
      </c>
      <c r="G1793" s="1">
        <f t="shared" si="304"/>
        <v>9.2117419706741648E-9</v>
      </c>
      <c r="H1793" s="1">
        <f t="shared" si="297"/>
        <v>9.4734388267822902E-11</v>
      </c>
      <c r="I1793">
        <f t="shared" si="298"/>
        <v>10</v>
      </c>
      <c r="J1793">
        <f t="shared" si="299"/>
        <v>1756</v>
      </c>
      <c r="K1793" s="5">
        <f t="shared" si="300"/>
        <v>0</v>
      </c>
      <c r="L1793">
        <f t="shared" si="301"/>
        <v>95</v>
      </c>
      <c r="M1793">
        <f t="shared" si="302"/>
        <v>1</v>
      </c>
      <c r="N1793">
        <f t="shared" si="303"/>
        <v>0</v>
      </c>
    </row>
    <row r="1794" spans="4:14" x14ac:dyDescent="0.2">
      <c r="D1794">
        <f t="shared" si="305"/>
        <v>1771</v>
      </c>
      <c r="E1794" s="1">
        <f t="shared" si="306"/>
        <v>-16.177548450848725</v>
      </c>
      <c r="F1794" s="1">
        <f t="shared" si="307"/>
        <v>-18.513258165378456</v>
      </c>
      <c r="G1794" s="1">
        <f t="shared" si="304"/>
        <v>9.1157863251463172E-9</v>
      </c>
      <c r="H1794" s="1">
        <f t="shared" si="297"/>
        <v>9.3747571723366498E-11</v>
      </c>
      <c r="I1794">
        <f t="shared" si="298"/>
        <v>10</v>
      </c>
      <c r="J1794">
        <f t="shared" si="299"/>
        <v>1757</v>
      </c>
      <c r="K1794" s="5">
        <f t="shared" si="300"/>
        <v>0</v>
      </c>
      <c r="L1794">
        <f t="shared" si="301"/>
        <v>95</v>
      </c>
      <c r="M1794">
        <f t="shared" si="302"/>
        <v>1</v>
      </c>
      <c r="N1794">
        <f t="shared" si="303"/>
        <v>0</v>
      </c>
    </row>
    <row r="1795" spans="4:14" x14ac:dyDescent="0.2">
      <c r="D1795">
        <f t="shared" si="305"/>
        <v>1772</v>
      </c>
      <c r="E1795" s="1">
        <f t="shared" si="306"/>
        <v>-16.18801975071602</v>
      </c>
      <c r="F1795" s="1">
        <f t="shared" si="307"/>
        <v>-18.523729465245751</v>
      </c>
      <c r="G1795" s="1">
        <f t="shared" si="304"/>
        <v>9.0208302175927178E-9</v>
      </c>
      <c r="H1795" s="1">
        <f t="shared" si="297"/>
        <v>9.2771034517914838E-11</v>
      </c>
      <c r="I1795">
        <f t="shared" si="298"/>
        <v>10</v>
      </c>
      <c r="J1795">
        <f t="shared" si="299"/>
        <v>1758</v>
      </c>
      <c r="K1795" s="5">
        <f t="shared" si="300"/>
        <v>0</v>
      </c>
      <c r="L1795">
        <f t="shared" si="301"/>
        <v>95</v>
      </c>
      <c r="M1795">
        <f t="shared" si="302"/>
        <v>1</v>
      </c>
      <c r="N1795">
        <f t="shared" si="303"/>
        <v>0</v>
      </c>
    </row>
    <row r="1796" spans="4:14" x14ac:dyDescent="0.2">
      <c r="D1796">
        <f t="shared" si="305"/>
        <v>1773</v>
      </c>
      <c r="E1796" s="1">
        <f t="shared" si="306"/>
        <v>-16.198491050583314</v>
      </c>
      <c r="F1796" s="1">
        <f t="shared" si="307"/>
        <v>-18.534200765113045</v>
      </c>
      <c r="G1796" s="1">
        <f t="shared" si="304"/>
        <v>8.9268632361594698E-9</v>
      </c>
      <c r="H1796" s="1">
        <f t="shared" si="297"/>
        <v>9.1804669575019989E-11</v>
      </c>
      <c r="I1796">
        <f t="shared" si="298"/>
        <v>10</v>
      </c>
      <c r="J1796">
        <f t="shared" si="299"/>
        <v>1759</v>
      </c>
      <c r="K1796" s="5">
        <f t="shared" si="300"/>
        <v>0</v>
      </c>
      <c r="L1796">
        <f t="shared" si="301"/>
        <v>95</v>
      </c>
      <c r="M1796">
        <f t="shared" si="302"/>
        <v>1</v>
      </c>
      <c r="N1796">
        <f t="shared" si="303"/>
        <v>0</v>
      </c>
    </row>
    <row r="1797" spans="4:14" x14ac:dyDescent="0.2">
      <c r="D1797">
        <f t="shared" si="305"/>
        <v>1774</v>
      </c>
      <c r="E1797" s="1">
        <f t="shared" si="306"/>
        <v>-16.208962350450609</v>
      </c>
      <c r="F1797" s="1">
        <f t="shared" si="307"/>
        <v>-18.54467206498034</v>
      </c>
      <c r="G1797" s="1">
        <f t="shared" si="304"/>
        <v>8.833875077449483E-9</v>
      </c>
      <c r="H1797" s="1">
        <f t="shared" si="297"/>
        <v>9.084837093361361E-11</v>
      </c>
      <c r="I1797">
        <f t="shared" si="298"/>
        <v>10</v>
      </c>
      <c r="J1797">
        <f t="shared" si="299"/>
        <v>1760</v>
      </c>
      <c r="K1797" s="5">
        <f t="shared" si="300"/>
        <v>0</v>
      </c>
      <c r="L1797">
        <f t="shared" si="301"/>
        <v>95</v>
      </c>
      <c r="M1797">
        <f t="shared" si="302"/>
        <v>1</v>
      </c>
      <c r="N1797">
        <f t="shared" si="303"/>
        <v>0</v>
      </c>
    </row>
    <row r="1798" spans="4:14" x14ac:dyDescent="0.2">
      <c r="D1798">
        <f t="shared" si="305"/>
        <v>1775</v>
      </c>
      <c r="E1798" s="1">
        <f t="shared" si="306"/>
        <v>-16.219433650317903</v>
      </c>
      <c r="F1798" s="1">
        <f t="shared" si="307"/>
        <v>-18.555143364847634</v>
      </c>
      <c r="G1798" s="1">
        <f t="shared" si="304"/>
        <v>8.7418555453927257E-9</v>
      </c>
      <c r="H1798" s="1">
        <f t="shared" si="297"/>
        <v>8.9902033736388556E-11</v>
      </c>
      <c r="I1798">
        <f t="shared" si="298"/>
        <v>10</v>
      </c>
      <c r="J1798">
        <f t="shared" si="299"/>
        <v>1761</v>
      </c>
      <c r="K1798" s="5">
        <f t="shared" si="300"/>
        <v>0</v>
      </c>
      <c r="L1798">
        <f t="shared" si="301"/>
        <v>95</v>
      </c>
      <c r="M1798">
        <f t="shared" si="302"/>
        <v>1</v>
      </c>
      <c r="N1798">
        <f t="shared" si="303"/>
        <v>0</v>
      </c>
    </row>
    <row r="1799" spans="4:14" x14ac:dyDescent="0.2">
      <c r="D1799">
        <f t="shared" si="305"/>
        <v>1776</v>
      </c>
      <c r="E1799" s="1">
        <f t="shared" si="306"/>
        <v>-16.229904950185198</v>
      </c>
      <c r="F1799" s="1">
        <f t="shared" si="307"/>
        <v>-18.565614664714928</v>
      </c>
      <c r="G1799" s="1">
        <f t="shared" si="304"/>
        <v>8.6507945501282269E-9</v>
      </c>
      <c r="H1799" s="1">
        <f t="shared" si="297"/>
        <v>8.8965554218301271E-11</v>
      </c>
      <c r="I1799">
        <f t="shared" si="298"/>
        <v>10</v>
      </c>
      <c r="J1799">
        <f t="shared" si="299"/>
        <v>1762</v>
      </c>
      <c r="K1799" s="5">
        <f t="shared" si="300"/>
        <v>0</v>
      </c>
      <c r="L1799">
        <f t="shared" si="301"/>
        <v>95</v>
      </c>
      <c r="M1799">
        <f t="shared" si="302"/>
        <v>1</v>
      </c>
      <c r="N1799">
        <f t="shared" si="303"/>
        <v>0</v>
      </c>
    </row>
    <row r="1800" spans="4:14" x14ac:dyDescent="0.2">
      <c r="D1800">
        <f t="shared" si="305"/>
        <v>1777</v>
      </c>
      <c r="E1800" s="1">
        <f t="shared" si="306"/>
        <v>-16.240376250052492</v>
      </c>
      <c r="F1800" s="1">
        <f t="shared" si="307"/>
        <v>-18.576085964582223</v>
      </c>
      <c r="G1800" s="1">
        <f t="shared" si="304"/>
        <v>8.5606821068977327E-9</v>
      </c>
      <c r="H1800" s="1">
        <f t="shared" si="297"/>
        <v>8.8038829695194049E-11</v>
      </c>
      <c r="I1800">
        <f t="shared" si="298"/>
        <v>10</v>
      </c>
      <c r="J1800">
        <f t="shared" si="299"/>
        <v>1763</v>
      </c>
      <c r="K1800" s="5">
        <f t="shared" si="300"/>
        <v>0</v>
      </c>
      <c r="L1800">
        <f t="shared" si="301"/>
        <v>95</v>
      </c>
      <c r="M1800">
        <f t="shared" si="302"/>
        <v>1</v>
      </c>
      <c r="N1800">
        <f t="shared" si="303"/>
        <v>0</v>
      </c>
    </row>
    <row r="1801" spans="4:14" x14ac:dyDescent="0.2">
      <c r="D1801">
        <f t="shared" si="305"/>
        <v>1778</v>
      </c>
      <c r="E1801" s="1">
        <f t="shared" si="306"/>
        <v>-16.250847549919786</v>
      </c>
      <c r="F1801" s="1">
        <f t="shared" si="307"/>
        <v>-18.586557264449517</v>
      </c>
      <c r="G1801" s="1">
        <f t="shared" si="304"/>
        <v>8.471508334950889E-9</v>
      </c>
      <c r="H1801" s="1">
        <f t="shared" si="297"/>
        <v>8.7121758552535852E-11</v>
      </c>
      <c r="I1801">
        <f t="shared" si="298"/>
        <v>10</v>
      </c>
      <c r="J1801">
        <f t="shared" si="299"/>
        <v>1764</v>
      </c>
      <c r="K1801" s="5">
        <f t="shared" si="300"/>
        <v>0</v>
      </c>
      <c r="L1801">
        <f t="shared" si="301"/>
        <v>95</v>
      </c>
      <c r="M1801">
        <f t="shared" si="302"/>
        <v>1</v>
      </c>
      <c r="N1801">
        <f t="shared" si="303"/>
        <v>0</v>
      </c>
    </row>
    <row r="1802" spans="4:14" x14ac:dyDescent="0.2">
      <c r="D1802">
        <f t="shared" si="305"/>
        <v>1779</v>
      </c>
      <c r="E1802" s="1">
        <f t="shared" si="306"/>
        <v>-16.261318849787081</v>
      </c>
      <c r="F1802" s="1">
        <f t="shared" si="307"/>
        <v>-18.597028564316812</v>
      </c>
      <c r="G1802" s="1">
        <f t="shared" si="304"/>
        <v>8.3832634564618259E-9</v>
      </c>
      <c r="H1802" s="1">
        <f t="shared" si="297"/>
        <v>8.6214240234280359E-11</v>
      </c>
      <c r="I1802">
        <f t="shared" si="298"/>
        <v>10</v>
      </c>
      <c r="J1802">
        <f t="shared" si="299"/>
        <v>1765</v>
      </c>
      <c r="K1802" s="5">
        <f t="shared" si="300"/>
        <v>0</v>
      </c>
      <c r="L1802">
        <f t="shared" si="301"/>
        <v>95</v>
      </c>
      <c r="M1802">
        <f t="shared" si="302"/>
        <v>1</v>
      </c>
      <c r="N1802">
        <f t="shared" si="303"/>
        <v>0</v>
      </c>
    </row>
    <row r="1803" spans="4:14" x14ac:dyDescent="0.2">
      <c r="D1803">
        <f t="shared" si="305"/>
        <v>1780</v>
      </c>
      <c r="E1803" s="1">
        <f t="shared" si="306"/>
        <v>-16.271790149654375</v>
      </c>
      <c r="F1803" s="1">
        <f t="shared" si="307"/>
        <v>-18.607499864184106</v>
      </c>
      <c r="G1803" s="1">
        <f t="shared" si="304"/>
        <v>8.2959377954570235E-9</v>
      </c>
      <c r="H1803" s="1">
        <f t="shared" si="297"/>
        <v>8.5316175231840028E-11</v>
      </c>
      <c r="I1803">
        <f t="shared" si="298"/>
        <v>10</v>
      </c>
      <c r="J1803">
        <f t="shared" si="299"/>
        <v>1766</v>
      </c>
      <c r="K1803" s="5">
        <f t="shared" si="300"/>
        <v>0</v>
      </c>
      <c r="L1803">
        <f t="shared" si="301"/>
        <v>95</v>
      </c>
      <c r="M1803">
        <f t="shared" si="302"/>
        <v>1</v>
      </c>
      <c r="N1803">
        <f t="shared" si="303"/>
        <v>0</v>
      </c>
    </row>
    <row r="1804" spans="4:14" x14ac:dyDescent="0.2">
      <c r="D1804">
        <f t="shared" si="305"/>
        <v>1781</v>
      </c>
      <c r="E1804" s="1">
        <f t="shared" si="306"/>
        <v>-16.28226144952167</v>
      </c>
      <c r="F1804" s="1">
        <f t="shared" si="307"/>
        <v>-18.617971164051401</v>
      </c>
      <c r="G1804" s="1">
        <f t="shared" si="304"/>
        <v>8.2095217767543539E-9</v>
      </c>
      <c r="H1804" s="1">
        <f t="shared" si="297"/>
        <v>8.4427465073175101E-11</v>
      </c>
      <c r="I1804">
        <f t="shared" si="298"/>
        <v>10</v>
      </c>
      <c r="J1804">
        <f t="shared" si="299"/>
        <v>1767</v>
      </c>
      <c r="K1804" s="5">
        <f t="shared" si="300"/>
        <v>0</v>
      </c>
      <c r="L1804">
        <f t="shared" si="301"/>
        <v>95</v>
      </c>
      <c r="M1804">
        <f t="shared" si="302"/>
        <v>1</v>
      </c>
      <c r="N1804">
        <f t="shared" si="303"/>
        <v>0</v>
      </c>
    </row>
    <row r="1805" spans="4:14" x14ac:dyDescent="0.2">
      <c r="D1805">
        <f t="shared" si="305"/>
        <v>1782</v>
      </c>
      <c r="E1805" s="1">
        <f t="shared" si="306"/>
        <v>-16.292732749388964</v>
      </c>
      <c r="F1805" s="1">
        <f t="shared" si="307"/>
        <v>-18.628442463918695</v>
      </c>
      <c r="G1805" s="1">
        <f t="shared" si="304"/>
        <v>8.1240059249131703E-9</v>
      </c>
      <c r="H1805" s="1">
        <f t="shared" si="297"/>
        <v>8.3548012311996269E-11</v>
      </c>
      <c r="I1805">
        <f t="shared" si="298"/>
        <v>10</v>
      </c>
      <c r="J1805">
        <f t="shared" si="299"/>
        <v>1768</v>
      </c>
      <c r="K1805" s="5">
        <f t="shared" si="300"/>
        <v>0</v>
      </c>
      <c r="L1805">
        <f t="shared" si="301"/>
        <v>95</v>
      </c>
      <c r="M1805">
        <f t="shared" si="302"/>
        <v>1</v>
      </c>
      <c r="N1805">
        <f t="shared" si="303"/>
        <v>0</v>
      </c>
    </row>
    <row r="1806" spans="4:14" x14ac:dyDescent="0.2">
      <c r="D1806">
        <f t="shared" si="305"/>
        <v>1783</v>
      </c>
      <c r="E1806" s="1">
        <f t="shared" si="306"/>
        <v>-16.303204049256259</v>
      </c>
      <c r="F1806" s="1">
        <f t="shared" si="307"/>
        <v>-18.63891376378599</v>
      </c>
      <c r="G1806" s="1">
        <f t="shared" si="304"/>
        <v>8.0393808631953322E-9</v>
      </c>
      <c r="H1806" s="1">
        <f t="shared" si="297"/>
        <v>8.2677720517079721E-11</v>
      </c>
      <c r="I1806">
        <f t="shared" si="298"/>
        <v>10</v>
      </c>
      <c r="J1806">
        <f t="shared" si="299"/>
        <v>1769</v>
      </c>
      <c r="K1806" s="5">
        <f t="shared" si="300"/>
        <v>0</v>
      </c>
      <c r="L1806">
        <f t="shared" si="301"/>
        <v>95</v>
      </c>
      <c r="M1806">
        <f t="shared" si="302"/>
        <v>1</v>
      </c>
      <c r="N1806">
        <f t="shared" si="303"/>
        <v>0</v>
      </c>
    </row>
    <row r="1807" spans="4:14" x14ac:dyDescent="0.2">
      <c r="D1807">
        <f t="shared" si="305"/>
        <v>1784</v>
      </c>
      <c r="E1807" s="1">
        <f t="shared" si="306"/>
        <v>-16.313675349123553</v>
      </c>
      <c r="F1807" s="1">
        <f t="shared" si="307"/>
        <v>-18.649385063653284</v>
      </c>
      <c r="G1807" s="1">
        <f t="shared" si="304"/>
        <v>7.9556373125370558E-9</v>
      </c>
      <c r="H1807" s="1">
        <f t="shared" si="297"/>
        <v>8.1816494261693567E-11</v>
      </c>
      <c r="I1807">
        <f t="shared" si="298"/>
        <v>10</v>
      </c>
      <c r="J1807">
        <f t="shared" si="299"/>
        <v>1770</v>
      </c>
      <c r="K1807" s="5">
        <f t="shared" si="300"/>
        <v>0</v>
      </c>
      <c r="L1807">
        <f t="shared" si="301"/>
        <v>95</v>
      </c>
      <c r="M1807">
        <f t="shared" si="302"/>
        <v>1</v>
      </c>
      <c r="N1807">
        <f t="shared" si="303"/>
        <v>0</v>
      </c>
    </row>
    <row r="1808" spans="4:14" x14ac:dyDescent="0.2">
      <c r="D1808">
        <f t="shared" si="305"/>
        <v>1785</v>
      </c>
      <c r="E1808" s="1">
        <f t="shared" si="306"/>
        <v>-16.324146648990848</v>
      </c>
      <c r="F1808" s="1">
        <f t="shared" si="307"/>
        <v>-18.659856363520579</v>
      </c>
      <c r="G1808" s="1">
        <f t="shared" si="304"/>
        <v>7.872766090531469E-9</v>
      </c>
      <c r="H1808" s="1">
        <f t="shared" si="297"/>
        <v>8.0964239113134328E-11</v>
      </c>
      <c r="I1808">
        <f t="shared" si="298"/>
        <v>10</v>
      </c>
      <c r="J1808">
        <f t="shared" si="299"/>
        <v>1771</v>
      </c>
      <c r="K1808" s="5">
        <f t="shared" si="300"/>
        <v>0</v>
      </c>
      <c r="L1808">
        <f t="shared" si="301"/>
        <v>95</v>
      </c>
      <c r="M1808">
        <f t="shared" si="302"/>
        <v>1</v>
      </c>
      <c r="N1808">
        <f t="shared" si="303"/>
        <v>0</v>
      </c>
    </row>
    <row r="1809" spans="4:14" x14ac:dyDescent="0.2">
      <c r="D1809">
        <f t="shared" si="305"/>
        <v>1786</v>
      </c>
      <c r="E1809" s="1">
        <f t="shared" si="306"/>
        <v>-16.334617948858142</v>
      </c>
      <c r="F1809" s="1">
        <f t="shared" si="307"/>
        <v>-18.670327663387873</v>
      </c>
      <c r="G1809" s="1">
        <f t="shared" si="304"/>
        <v>7.7907581104217733E-9</v>
      </c>
      <c r="H1809" s="1">
        <f t="shared" si="297"/>
        <v>8.0120861622372583E-11</v>
      </c>
      <c r="I1809">
        <f t="shared" si="298"/>
        <v>10</v>
      </c>
      <c r="J1809">
        <f t="shared" si="299"/>
        <v>1772</v>
      </c>
      <c r="K1809" s="5">
        <f t="shared" si="300"/>
        <v>0</v>
      </c>
      <c r="L1809">
        <f t="shared" si="301"/>
        <v>95</v>
      </c>
      <c r="M1809">
        <f t="shared" si="302"/>
        <v>1</v>
      </c>
      <c r="N1809">
        <f t="shared" si="303"/>
        <v>0</v>
      </c>
    </row>
    <row r="1810" spans="4:14" x14ac:dyDescent="0.2">
      <c r="D1810">
        <f t="shared" si="305"/>
        <v>1787</v>
      </c>
      <c r="E1810" s="1">
        <f t="shared" si="306"/>
        <v>-16.345089248725436</v>
      </c>
      <c r="F1810" s="1">
        <f t="shared" si="307"/>
        <v>-18.680798963255167</v>
      </c>
      <c r="G1810" s="1">
        <f t="shared" si="304"/>
        <v>7.7096043801048873E-9</v>
      </c>
      <c r="H1810" s="1">
        <f t="shared" si="297"/>
        <v>7.9286269313806284E-11</v>
      </c>
      <c r="I1810">
        <f t="shared" si="298"/>
        <v>10</v>
      </c>
      <c r="J1810">
        <f t="shared" si="299"/>
        <v>1773</v>
      </c>
      <c r="K1810" s="5">
        <f t="shared" si="300"/>
        <v>0</v>
      </c>
      <c r="L1810">
        <f t="shared" si="301"/>
        <v>95</v>
      </c>
      <c r="M1810">
        <f t="shared" si="302"/>
        <v>1</v>
      </c>
      <c r="N1810">
        <f t="shared" si="303"/>
        <v>0</v>
      </c>
    </row>
    <row r="1811" spans="4:14" x14ac:dyDescent="0.2">
      <c r="D1811">
        <f t="shared" si="305"/>
        <v>1788</v>
      </c>
      <c r="E1811" s="1">
        <f t="shared" si="306"/>
        <v>-16.355560548592731</v>
      </c>
      <c r="F1811" s="1">
        <f t="shared" si="307"/>
        <v>-18.691270263122462</v>
      </c>
      <c r="G1811" s="1">
        <f t="shared" si="304"/>
        <v>7.6292960011454682E-9</v>
      </c>
      <c r="H1811" s="1">
        <f t="shared" si="297"/>
        <v>7.8460370675120867E-11</v>
      </c>
      <c r="I1811">
        <f t="shared" si="298"/>
        <v>10</v>
      </c>
      <c r="J1811">
        <f t="shared" si="299"/>
        <v>1774</v>
      </c>
      <c r="K1811" s="5">
        <f t="shared" si="300"/>
        <v>0</v>
      </c>
      <c r="L1811">
        <f t="shared" si="301"/>
        <v>95</v>
      </c>
      <c r="M1811">
        <f t="shared" si="302"/>
        <v>1</v>
      </c>
      <c r="N1811">
        <f t="shared" si="303"/>
        <v>0</v>
      </c>
    </row>
    <row r="1812" spans="4:14" x14ac:dyDescent="0.2">
      <c r="D1812">
        <f t="shared" si="305"/>
        <v>1789</v>
      </c>
      <c r="E1812" s="1">
        <f t="shared" si="306"/>
        <v>-16.366031848460025</v>
      </c>
      <c r="F1812" s="1">
        <f t="shared" si="307"/>
        <v>-18.701741562989756</v>
      </c>
      <c r="G1812" s="1">
        <f t="shared" si="304"/>
        <v>7.5498241678002096E-9</v>
      </c>
      <c r="H1812" s="1">
        <f t="shared" si="297"/>
        <v>7.7643075147255094E-11</v>
      </c>
      <c r="I1812">
        <f t="shared" si="298"/>
        <v>10</v>
      </c>
      <c r="J1812">
        <f t="shared" si="299"/>
        <v>1775</v>
      </c>
      <c r="K1812" s="5">
        <f t="shared" si="300"/>
        <v>0</v>
      </c>
      <c r="L1812">
        <f t="shared" si="301"/>
        <v>95</v>
      </c>
      <c r="M1812">
        <f t="shared" si="302"/>
        <v>1</v>
      </c>
      <c r="N1812">
        <f t="shared" si="303"/>
        <v>0</v>
      </c>
    </row>
    <row r="1813" spans="4:14" x14ac:dyDescent="0.2">
      <c r="D1813">
        <f t="shared" si="305"/>
        <v>1790</v>
      </c>
      <c r="E1813" s="1">
        <f t="shared" si="306"/>
        <v>-16.37650314832732</v>
      </c>
      <c r="F1813" s="1">
        <f t="shared" si="307"/>
        <v>-18.712212862857051</v>
      </c>
      <c r="G1813" s="1">
        <f t="shared" si="304"/>
        <v>7.4711801660522983E-9</v>
      </c>
      <c r="H1813" s="1">
        <f t="shared" si="297"/>
        <v>7.6834293114471274E-11</v>
      </c>
      <c r="I1813">
        <f t="shared" si="298"/>
        <v>10</v>
      </c>
      <c r="J1813">
        <f t="shared" si="299"/>
        <v>1776</v>
      </c>
      <c r="K1813" s="5">
        <f t="shared" si="300"/>
        <v>0</v>
      </c>
      <c r="L1813">
        <f t="shared" si="301"/>
        <v>95</v>
      </c>
      <c r="M1813">
        <f t="shared" si="302"/>
        <v>1</v>
      </c>
      <c r="N1813">
        <f t="shared" si="303"/>
        <v>0</v>
      </c>
    </row>
    <row r="1814" spans="4:14" x14ac:dyDescent="0.2">
      <c r="D1814">
        <f t="shared" si="305"/>
        <v>1791</v>
      </c>
      <c r="E1814" s="1">
        <f t="shared" si="306"/>
        <v>-16.386974448194614</v>
      </c>
      <c r="F1814" s="1">
        <f t="shared" si="307"/>
        <v>-18.722684162724345</v>
      </c>
      <c r="G1814" s="1">
        <f t="shared" si="304"/>
        <v>7.3933553726559273E-9</v>
      </c>
      <c r="H1814" s="1">
        <f t="shared" si="297"/>
        <v>7.6033935894528932E-11</v>
      </c>
      <c r="I1814">
        <f t="shared" si="298"/>
        <v>10</v>
      </c>
      <c r="J1814">
        <f t="shared" si="299"/>
        <v>1777</v>
      </c>
      <c r="K1814" s="5">
        <f t="shared" si="300"/>
        <v>0</v>
      </c>
      <c r="L1814">
        <f t="shared" si="301"/>
        <v>95</v>
      </c>
      <c r="M1814">
        <f t="shared" si="302"/>
        <v>1</v>
      </c>
      <c r="N1814">
        <f t="shared" si="303"/>
        <v>0</v>
      </c>
    </row>
    <row r="1815" spans="4:14" x14ac:dyDescent="0.2">
      <c r="D1815">
        <f t="shared" si="305"/>
        <v>1792</v>
      </c>
      <c r="E1815" s="1">
        <f t="shared" si="306"/>
        <v>-16.397445748061909</v>
      </c>
      <c r="F1815" s="1">
        <f t="shared" si="307"/>
        <v>-18.73315546259164</v>
      </c>
      <c r="G1815" s="1">
        <f t="shared" si="304"/>
        <v>7.3163412541907687E-9</v>
      </c>
      <c r="H1815" s="1">
        <f t="shared" ref="H1815:H1878" si="308">G1815/$G$21</f>
        <v>7.5241915728960996E-11</v>
      </c>
      <c r="I1815">
        <f t="shared" ref="I1815:I1878" si="309">IF($F$11&lt;=D1815, IF(D1815&lt;=$A$15,D1815-$F$11,$C$11),0)</f>
        <v>10</v>
      </c>
      <c r="J1815">
        <f t="shared" ref="J1815:J1878" si="310">IF(D1815&lt;=$A$15,0,D1815-$A$15)</f>
        <v>1778</v>
      </c>
      <c r="K1815" s="5">
        <f t="shared" ref="K1815:K1878" si="311">IF(D1815&lt;$F$11,H1815,0)</f>
        <v>0</v>
      </c>
      <c r="L1815">
        <f t="shared" ref="L1815:L1878" si="312">IF(D1815&lt;$A$15,$D$11,$D$11*(1-$H$11))</f>
        <v>95</v>
      </c>
      <c r="M1815">
        <f t="shared" ref="M1815:M1878" si="313">IF(D1815&lt;$A$15,0,1)</f>
        <v>1</v>
      </c>
      <c r="N1815">
        <f t="shared" ref="N1815:N1878" si="314">IF(SUM(I1815:J1815)&lt;=($G$11/60*$F$11/($E$11/60)),1,0)</f>
        <v>0</v>
      </c>
    </row>
    <row r="1816" spans="4:14" x14ac:dyDescent="0.2">
      <c r="D1816">
        <f t="shared" si="305"/>
        <v>1793</v>
      </c>
      <c r="E1816" s="1">
        <f t="shared" si="306"/>
        <v>-16.407917047929203</v>
      </c>
      <c r="F1816" s="1">
        <f t="shared" si="307"/>
        <v>-18.743626762458934</v>
      </c>
      <c r="G1816" s="1">
        <f t="shared" ref="G1816:G1879" si="315">EXP(F1816)</f>
        <v>7.2401293661262886E-9</v>
      </c>
      <c r="H1816" s="1">
        <f t="shared" si="308"/>
        <v>7.445814577345106E-11</v>
      </c>
      <c r="I1816">
        <f t="shared" si="309"/>
        <v>10</v>
      </c>
      <c r="J1816">
        <f t="shared" si="310"/>
        <v>1779</v>
      </c>
      <c r="K1816" s="5">
        <f t="shared" si="311"/>
        <v>0</v>
      </c>
      <c r="L1816">
        <f t="shared" si="312"/>
        <v>95</v>
      </c>
      <c r="M1816">
        <f t="shared" si="313"/>
        <v>1</v>
      </c>
      <c r="N1816">
        <f t="shared" si="314"/>
        <v>0</v>
      </c>
    </row>
    <row r="1817" spans="4:14" x14ac:dyDescent="0.2">
      <c r="D1817">
        <f t="shared" ref="D1817:D1880" si="316">1+D1816</f>
        <v>1794</v>
      </c>
      <c r="E1817" s="1">
        <f t="shared" ref="E1817:E1880" si="317">IF($H$11=1,IF(D1817&lt;=$A$15, E1816+LN($D$11)-LN(60/$E$11)-LN(MIN(D1817,$F$11)), E1816-LN(60/$E$11)-LN(MIN(D1817,$F$11))), IF(D1817&lt;=$A$15, E1816+LN($D$11)-LN(60/$E$11)-LN(MIN(D1817,$F$11)), E1816+LN($D$11)+LN(1-$H$11)-LN(60/$E$11)-LN(MIN(D1817,$F$11))))</f>
        <v>-16.418388347796498</v>
      </c>
      <c r="F1817" s="1">
        <f t="shared" ref="F1817:F1880" si="318">E1817-$E$21</f>
        <v>-18.754098062326229</v>
      </c>
      <c r="G1817" s="1">
        <f t="shared" si="315"/>
        <v>7.1647113518958125E-9</v>
      </c>
      <c r="H1817" s="1">
        <f t="shared" si="308"/>
        <v>7.3682540088311008E-11</v>
      </c>
      <c r="I1817">
        <f t="shared" si="309"/>
        <v>10</v>
      </c>
      <c r="J1817">
        <f t="shared" si="310"/>
        <v>1780</v>
      </c>
      <c r="K1817" s="5">
        <f t="shared" si="311"/>
        <v>0</v>
      </c>
      <c r="L1817">
        <f t="shared" si="312"/>
        <v>95</v>
      </c>
      <c r="M1817">
        <f t="shared" si="313"/>
        <v>1</v>
      </c>
      <c r="N1817">
        <f t="shared" si="314"/>
        <v>0</v>
      </c>
    </row>
    <row r="1818" spans="4:14" x14ac:dyDescent="0.2">
      <c r="D1818">
        <f t="shared" si="316"/>
        <v>1795</v>
      </c>
      <c r="E1818" s="1">
        <f t="shared" si="317"/>
        <v>-16.428859647663792</v>
      </c>
      <c r="F1818" s="1">
        <f t="shared" si="318"/>
        <v>-18.764569362193523</v>
      </c>
      <c r="G1818" s="1">
        <f t="shared" si="315"/>
        <v>7.0900789419802379E-9</v>
      </c>
      <c r="H1818" s="1">
        <f t="shared" si="308"/>
        <v>7.2915013629057843E-11</v>
      </c>
      <c r="I1818">
        <f t="shared" si="309"/>
        <v>10</v>
      </c>
      <c r="J1818">
        <f t="shared" si="310"/>
        <v>1781</v>
      </c>
      <c r="K1818" s="5">
        <f t="shared" si="311"/>
        <v>0</v>
      </c>
      <c r="L1818">
        <f t="shared" si="312"/>
        <v>95</v>
      </c>
      <c r="M1818">
        <f t="shared" si="313"/>
        <v>1</v>
      </c>
      <c r="N1818">
        <f t="shared" si="314"/>
        <v>0</v>
      </c>
    </row>
    <row r="1819" spans="4:14" x14ac:dyDescent="0.2">
      <c r="D1819">
        <f t="shared" si="316"/>
        <v>1796</v>
      </c>
      <c r="E1819" s="1">
        <f t="shared" si="317"/>
        <v>-16.439330947531086</v>
      </c>
      <c r="F1819" s="1">
        <f t="shared" si="318"/>
        <v>-18.775040662060817</v>
      </c>
      <c r="G1819" s="1">
        <f t="shared" si="315"/>
        <v>7.0162239530012842E-9</v>
      </c>
      <c r="H1819" s="1">
        <f t="shared" si="308"/>
        <v>7.2155482237088564E-11</v>
      </c>
      <c r="I1819">
        <f t="shared" si="309"/>
        <v>10</v>
      </c>
      <c r="J1819">
        <f t="shared" si="310"/>
        <v>1782</v>
      </c>
      <c r="K1819" s="5">
        <f t="shared" si="311"/>
        <v>0</v>
      </c>
      <c r="L1819">
        <f t="shared" si="312"/>
        <v>95</v>
      </c>
      <c r="M1819">
        <f t="shared" si="313"/>
        <v>1</v>
      </c>
      <c r="N1819">
        <f t="shared" si="314"/>
        <v>0</v>
      </c>
    </row>
    <row r="1820" spans="4:14" x14ac:dyDescent="0.2">
      <c r="D1820">
        <f t="shared" si="316"/>
        <v>1797</v>
      </c>
      <c r="E1820" s="1">
        <f t="shared" si="317"/>
        <v>-16.449802247398381</v>
      </c>
      <c r="F1820" s="1">
        <f t="shared" si="318"/>
        <v>-18.785511961928112</v>
      </c>
      <c r="G1820" s="1">
        <f t="shared" si="315"/>
        <v>6.943138286824194E-9</v>
      </c>
      <c r="H1820" s="1">
        <f t="shared" si="308"/>
        <v>7.1403862630452286E-11</v>
      </c>
      <c r="I1820">
        <f t="shared" si="309"/>
        <v>10</v>
      </c>
      <c r="J1820">
        <f t="shared" si="310"/>
        <v>1783</v>
      </c>
      <c r="K1820" s="5">
        <f t="shared" si="311"/>
        <v>0</v>
      </c>
      <c r="L1820">
        <f t="shared" si="312"/>
        <v>95</v>
      </c>
      <c r="M1820">
        <f t="shared" si="313"/>
        <v>1</v>
      </c>
      <c r="N1820">
        <f t="shared" si="314"/>
        <v>0</v>
      </c>
    </row>
    <row r="1821" spans="4:14" x14ac:dyDescent="0.2">
      <c r="D1821">
        <f t="shared" si="316"/>
        <v>1798</v>
      </c>
      <c r="E1821" s="1">
        <f t="shared" si="317"/>
        <v>-16.460273547265675</v>
      </c>
      <c r="F1821" s="1">
        <f t="shared" si="318"/>
        <v>-18.795983261795406</v>
      </c>
      <c r="G1821" s="1">
        <f t="shared" si="315"/>
        <v>6.8708139296697818E-9</v>
      </c>
      <c r="H1821" s="1">
        <f t="shared" si="308"/>
        <v>7.0660072394718472E-11</v>
      </c>
      <c r="I1821">
        <f t="shared" si="309"/>
        <v>10</v>
      </c>
      <c r="J1821">
        <f t="shared" si="310"/>
        <v>1784</v>
      </c>
      <c r="K1821" s="5">
        <f t="shared" si="311"/>
        <v>0</v>
      </c>
      <c r="L1821">
        <f t="shared" si="312"/>
        <v>95</v>
      </c>
      <c r="M1821">
        <f t="shared" si="313"/>
        <v>1</v>
      </c>
      <c r="N1821">
        <f t="shared" si="314"/>
        <v>0</v>
      </c>
    </row>
    <row r="1822" spans="4:14" x14ac:dyDescent="0.2">
      <c r="D1822">
        <f t="shared" si="316"/>
        <v>1799</v>
      </c>
      <c r="E1822" s="1">
        <f t="shared" si="317"/>
        <v>-16.47074484713297</v>
      </c>
      <c r="F1822" s="1">
        <f t="shared" si="318"/>
        <v>-18.806454561662701</v>
      </c>
      <c r="G1822" s="1">
        <f t="shared" si="315"/>
        <v>6.7992429512357283E-9</v>
      </c>
      <c r="H1822" s="1">
        <f t="shared" si="308"/>
        <v>6.9924029973940233E-11</v>
      </c>
      <c r="I1822">
        <f t="shared" si="309"/>
        <v>10</v>
      </c>
      <c r="J1822">
        <f t="shared" si="310"/>
        <v>1785</v>
      </c>
      <c r="K1822" s="5">
        <f t="shared" si="311"/>
        <v>0</v>
      </c>
      <c r="L1822">
        <f t="shared" si="312"/>
        <v>95</v>
      </c>
      <c r="M1822">
        <f t="shared" si="313"/>
        <v>1</v>
      </c>
      <c r="N1822">
        <f t="shared" si="314"/>
        <v>0</v>
      </c>
    </row>
    <row r="1823" spans="4:14" x14ac:dyDescent="0.2">
      <c r="D1823">
        <f t="shared" si="316"/>
        <v>1800</v>
      </c>
      <c r="E1823" s="1">
        <f t="shared" si="317"/>
        <v>-16.481216147000264</v>
      </c>
      <c r="F1823" s="1">
        <f t="shared" si="318"/>
        <v>-18.816925861529995</v>
      </c>
      <c r="G1823" s="1">
        <f t="shared" si="315"/>
        <v>6.7284175038270295E-9</v>
      </c>
      <c r="H1823" s="1">
        <f t="shared" si="308"/>
        <v>6.9195654661711754E-11</v>
      </c>
      <c r="I1823">
        <f t="shared" si="309"/>
        <v>10</v>
      </c>
      <c r="J1823">
        <f t="shared" si="310"/>
        <v>1786</v>
      </c>
      <c r="K1823" s="5">
        <f t="shared" si="311"/>
        <v>0</v>
      </c>
      <c r="L1823">
        <f t="shared" si="312"/>
        <v>95</v>
      </c>
      <c r="M1823">
        <f t="shared" si="313"/>
        <v>1</v>
      </c>
      <c r="N1823">
        <f t="shared" si="314"/>
        <v>0</v>
      </c>
    </row>
    <row r="1824" spans="4:14" x14ac:dyDescent="0.2">
      <c r="D1824">
        <f t="shared" si="316"/>
        <v>1801</v>
      </c>
      <c r="E1824" s="1">
        <f t="shared" si="317"/>
        <v>-16.491687446867559</v>
      </c>
      <c r="F1824" s="1">
        <f t="shared" si="318"/>
        <v>-18.82739716139729</v>
      </c>
      <c r="G1824" s="1">
        <f t="shared" si="315"/>
        <v>6.6583298214955042E-9</v>
      </c>
      <c r="H1824" s="1">
        <f t="shared" si="308"/>
        <v>6.847486659231899E-11</v>
      </c>
      <c r="I1824">
        <f t="shared" si="309"/>
        <v>10</v>
      </c>
      <c r="J1824">
        <f t="shared" si="310"/>
        <v>1787</v>
      </c>
      <c r="K1824" s="5">
        <f t="shared" si="311"/>
        <v>0</v>
      </c>
      <c r="L1824">
        <f t="shared" si="312"/>
        <v>95</v>
      </c>
      <c r="M1824">
        <f t="shared" si="313"/>
        <v>1</v>
      </c>
      <c r="N1824">
        <f t="shared" si="314"/>
        <v>0</v>
      </c>
    </row>
    <row r="1825" spans="4:14" x14ac:dyDescent="0.2">
      <c r="D1825">
        <f t="shared" si="316"/>
        <v>1802</v>
      </c>
      <c r="E1825" s="1">
        <f t="shared" si="317"/>
        <v>-16.502158746734853</v>
      </c>
      <c r="F1825" s="1">
        <f t="shared" si="318"/>
        <v>-18.837868461264584</v>
      </c>
      <c r="G1825" s="1">
        <f t="shared" si="315"/>
        <v>6.5889722191882655E-9</v>
      </c>
      <c r="H1825" s="1">
        <f t="shared" si="308"/>
        <v>6.7761586731982391E-11</v>
      </c>
      <c r="I1825">
        <f t="shared" si="309"/>
        <v>10</v>
      </c>
      <c r="J1825">
        <f t="shared" si="310"/>
        <v>1788</v>
      </c>
      <c r="K1825" s="5">
        <f t="shared" si="311"/>
        <v>0</v>
      </c>
      <c r="L1825">
        <f t="shared" si="312"/>
        <v>95</v>
      </c>
      <c r="M1825">
        <f t="shared" si="313"/>
        <v>1</v>
      </c>
      <c r="N1825">
        <f t="shared" si="314"/>
        <v>0</v>
      </c>
    </row>
    <row r="1826" spans="4:14" x14ac:dyDescent="0.2">
      <c r="D1826">
        <f t="shared" si="316"/>
        <v>1803</v>
      </c>
      <c r="E1826" s="1">
        <f t="shared" si="317"/>
        <v>-16.512630046602148</v>
      </c>
      <c r="F1826" s="1">
        <f t="shared" si="318"/>
        <v>-18.848339761131879</v>
      </c>
      <c r="G1826" s="1">
        <f t="shared" si="315"/>
        <v>6.5203370919050605E-9</v>
      </c>
      <c r="H1826" s="1">
        <f t="shared" si="308"/>
        <v>6.7055736870190973E-11</v>
      </c>
      <c r="I1826">
        <f t="shared" si="309"/>
        <v>10</v>
      </c>
      <c r="J1826">
        <f t="shared" si="310"/>
        <v>1789</v>
      </c>
      <c r="K1826" s="5">
        <f t="shared" si="311"/>
        <v>0</v>
      </c>
      <c r="L1826">
        <f t="shared" si="312"/>
        <v>95</v>
      </c>
      <c r="M1826">
        <f t="shared" si="313"/>
        <v>1</v>
      </c>
      <c r="N1826">
        <f t="shared" si="314"/>
        <v>0</v>
      </c>
    </row>
    <row r="1827" spans="4:14" x14ac:dyDescent="0.2">
      <c r="D1827">
        <f t="shared" si="316"/>
        <v>1804</v>
      </c>
      <c r="E1827" s="1">
        <f t="shared" si="317"/>
        <v>-16.523101346469442</v>
      </c>
      <c r="F1827" s="1">
        <f t="shared" si="318"/>
        <v>-18.858811060999173</v>
      </c>
      <c r="G1827" s="1">
        <f t="shared" si="315"/>
        <v>6.4524169138643893E-9</v>
      </c>
      <c r="H1827" s="1">
        <f t="shared" si="308"/>
        <v>6.6357239611126549E-11</v>
      </c>
      <c r="I1827">
        <f t="shared" si="309"/>
        <v>10</v>
      </c>
      <c r="J1827">
        <f t="shared" si="310"/>
        <v>1790</v>
      </c>
      <c r="K1827" s="5">
        <f t="shared" si="311"/>
        <v>0</v>
      </c>
      <c r="L1827">
        <f t="shared" si="312"/>
        <v>95</v>
      </c>
      <c r="M1827">
        <f t="shared" si="313"/>
        <v>1</v>
      </c>
      <c r="N1827">
        <f t="shared" si="314"/>
        <v>0</v>
      </c>
    </row>
    <row r="1828" spans="4:14" x14ac:dyDescent="0.2">
      <c r="D1828">
        <f t="shared" si="316"/>
        <v>1805</v>
      </c>
      <c r="E1828" s="1">
        <f t="shared" si="317"/>
        <v>-16.533572646336737</v>
      </c>
      <c r="F1828" s="1">
        <f t="shared" si="318"/>
        <v>-18.869282360866467</v>
      </c>
      <c r="G1828" s="1">
        <f t="shared" si="315"/>
        <v>6.385204237678308E-9</v>
      </c>
      <c r="H1828" s="1">
        <f t="shared" si="308"/>
        <v>6.5666018365177383E-11</v>
      </c>
      <c r="I1828">
        <f t="shared" si="309"/>
        <v>10</v>
      </c>
      <c r="J1828">
        <f t="shared" si="310"/>
        <v>1791</v>
      </c>
      <c r="K1828" s="5">
        <f t="shared" si="311"/>
        <v>0</v>
      </c>
      <c r="L1828">
        <f t="shared" si="312"/>
        <v>95</v>
      </c>
      <c r="M1828">
        <f t="shared" si="313"/>
        <v>1</v>
      </c>
      <c r="N1828">
        <f t="shared" si="314"/>
        <v>0</v>
      </c>
    </row>
    <row r="1829" spans="4:14" x14ac:dyDescent="0.2">
      <c r="D1829">
        <f t="shared" si="316"/>
        <v>1806</v>
      </c>
      <c r="E1829" s="1">
        <f t="shared" si="317"/>
        <v>-16.544043946204031</v>
      </c>
      <c r="F1829" s="1">
        <f t="shared" si="318"/>
        <v>-18.879753660733762</v>
      </c>
      <c r="G1829" s="1">
        <f t="shared" si="315"/>
        <v>6.3186916935358312E-9</v>
      </c>
      <c r="H1829" s="1">
        <f t="shared" si="308"/>
        <v>6.4981997340540165E-11</v>
      </c>
      <c r="I1829">
        <f t="shared" si="309"/>
        <v>10</v>
      </c>
      <c r="J1829">
        <f t="shared" si="310"/>
        <v>1792</v>
      </c>
      <c r="K1829" s="5">
        <f t="shared" si="311"/>
        <v>0</v>
      </c>
      <c r="L1829">
        <f t="shared" si="312"/>
        <v>95</v>
      </c>
      <c r="M1829">
        <f t="shared" si="313"/>
        <v>1</v>
      </c>
      <c r="N1829">
        <f t="shared" si="314"/>
        <v>0</v>
      </c>
    </row>
    <row r="1830" spans="4:14" x14ac:dyDescent="0.2">
      <c r="D1830">
        <f t="shared" si="316"/>
        <v>1807</v>
      </c>
      <c r="E1830" s="1">
        <f t="shared" si="317"/>
        <v>-16.554515246071325</v>
      </c>
      <c r="F1830" s="1">
        <f t="shared" si="318"/>
        <v>-18.890224960601056</v>
      </c>
      <c r="G1830" s="1">
        <f t="shared" si="315"/>
        <v>6.2528719883948392E-9</v>
      </c>
      <c r="H1830" s="1">
        <f t="shared" si="308"/>
        <v>6.4305101534909608E-11</v>
      </c>
      <c r="I1830">
        <f t="shared" si="309"/>
        <v>10</v>
      </c>
      <c r="J1830">
        <f t="shared" si="310"/>
        <v>1793</v>
      </c>
      <c r="K1830" s="5">
        <f t="shared" si="311"/>
        <v>0</v>
      </c>
      <c r="L1830">
        <f t="shared" si="312"/>
        <v>95</v>
      </c>
      <c r="M1830">
        <f t="shared" si="313"/>
        <v>1</v>
      </c>
      <c r="N1830">
        <f t="shared" si="314"/>
        <v>0</v>
      </c>
    </row>
    <row r="1831" spans="4:14" x14ac:dyDescent="0.2">
      <c r="D1831">
        <f t="shared" si="316"/>
        <v>1808</v>
      </c>
      <c r="E1831" s="1">
        <f t="shared" si="317"/>
        <v>-16.56498654593862</v>
      </c>
      <c r="F1831" s="1">
        <f t="shared" si="318"/>
        <v>-18.900696260468351</v>
      </c>
      <c r="G1831" s="1">
        <f t="shared" si="315"/>
        <v>6.1877379051823988E-9</v>
      </c>
      <c r="H1831" s="1">
        <f t="shared" si="308"/>
        <v>6.3635256727254365E-11</v>
      </c>
      <c r="I1831">
        <f t="shared" si="309"/>
        <v>10</v>
      </c>
      <c r="J1831">
        <f t="shared" si="310"/>
        <v>1794</v>
      </c>
      <c r="K1831" s="5">
        <f t="shared" si="311"/>
        <v>0</v>
      </c>
      <c r="L1831">
        <f t="shared" si="312"/>
        <v>95</v>
      </c>
      <c r="M1831">
        <f t="shared" si="313"/>
        <v>1</v>
      </c>
      <c r="N1831">
        <f t="shared" si="314"/>
        <v>0</v>
      </c>
    </row>
    <row r="1832" spans="4:14" x14ac:dyDescent="0.2">
      <c r="D1832">
        <f t="shared" si="316"/>
        <v>1809</v>
      </c>
      <c r="E1832" s="1">
        <f t="shared" si="317"/>
        <v>-16.575457845805914</v>
      </c>
      <c r="F1832" s="1">
        <f t="shared" si="318"/>
        <v>-18.911167560335645</v>
      </c>
      <c r="G1832" s="1">
        <f t="shared" si="315"/>
        <v>6.123282302003421E-9</v>
      </c>
      <c r="H1832" s="1">
        <f t="shared" si="308"/>
        <v>6.2972389469678845E-11</v>
      </c>
      <c r="I1832">
        <f t="shared" si="309"/>
        <v>10</v>
      </c>
      <c r="J1832">
        <f t="shared" si="310"/>
        <v>1795</v>
      </c>
      <c r="K1832" s="5">
        <f t="shared" si="311"/>
        <v>0</v>
      </c>
      <c r="L1832">
        <f t="shared" si="312"/>
        <v>95</v>
      </c>
      <c r="M1832">
        <f t="shared" si="313"/>
        <v>1</v>
      </c>
      <c r="N1832">
        <f t="shared" si="314"/>
        <v>0</v>
      </c>
    </row>
    <row r="1833" spans="4:14" x14ac:dyDescent="0.2">
      <c r="D1833">
        <f t="shared" si="316"/>
        <v>1810</v>
      </c>
      <c r="E1833" s="1">
        <f t="shared" si="317"/>
        <v>-16.585929145673209</v>
      </c>
      <c r="F1833" s="1">
        <f t="shared" si="318"/>
        <v>-18.92163886020294</v>
      </c>
      <c r="G1833" s="1">
        <f t="shared" si="315"/>
        <v>6.0594981113575586E-9</v>
      </c>
      <c r="H1833" s="1">
        <f t="shared" si="308"/>
        <v>6.231642707936976E-11</v>
      </c>
      <c r="I1833">
        <f t="shared" si="309"/>
        <v>10</v>
      </c>
      <c r="J1833">
        <f t="shared" si="310"/>
        <v>1796</v>
      </c>
      <c r="K1833" s="5">
        <f t="shared" si="311"/>
        <v>0</v>
      </c>
      <c r="L1833">
        <f t="shared" si="312"/>
        <v>95</v>
      </c>
      <c r="M1833">
        <f t="shared" si="313"/>
        <v>1</v>
      </c>
      <c r="N1833">
        <f t="shared" si="314"/>
        <v>0</v>
      </c>
    </row>
    <row r="1834" spans="4:14" x14ac:dyDescent="0.2">
      <c r="D1834">
        <f t="shared" si="316"/>
        <v>1811</v>
      </c>
      <c r="E1834" s="1">
        <f t="shared" si="317"/>
        <v>-16.596400445540503</v>
      </c>
      <c r="F1834" s="1">
        <f t="shared" si="318"/>
        <v>-18.932110160070234</v>
      </c>
      <c r="G1834" s="1">
        <f t="shared" si="315"/>
        <v>5.9963783393642558E-9</v>
      </c>
      <c r="H1834" s="1">
        <f t="shared" si="308"/>
        <v>6.1667297630626384E-11</v>
      </c>
      <c r="I1834">
        <f t="shared" si="309"/>
        <v>10</v>
      </c>
      <c r="J1834">
        <f t="shared" si="310"/>
        <v>1797</v>
      </c>
      <c r="K1834" s="5">
        <f t="shared" si="311"/>
        <v>0</v>
      </c>
      <c r="L1834">
        <f t="shared" si="312"/>
        <v>95</v>
      </c>
      <c r="M1834">
        <f t="shared" si="313"/>
        <v>1</v>
      </c>
      <c r="N1834">
        <f t="shared" si="314"/>
        <v>0</v>
      </c>
    </row>
    <row r="1835" spans="4:14" x14ac:dyDescent="0.2">
      <c r="D1835">
        <f t="shared" si="316"/>
        <v>1812</v>
      </c>
      <c r="E1835" s="1">
        <f t="shared" si="317"/>
        <v>-16.606871745407798</v>
      </c>
      <c r="F1835" s="1">
        <f t="shared" si="318"/>
        <v>-18.942581459937529</v>
      </c>
      <c r="G1835" s="1">
        <f t="shared" si="315"/>
        <v>5.9339160649958838E-9</v>
      </c>
      <c r="H1835" s="1">
        <f t="shared" si="308"/>
        <v>6.102492994697408E-11</v>
      </c>
      <c r="I1835">
        <f t="shared" si="309"/>
        <v>10</v>
      </c>
      <c r="J1835">
        <f t="shared" si="310"/>
        <v>1798</v>
      </c>
      <c r="K1835" s="5">
        <f t="shared" si="311"/>
        <v>0</v>
      </c>
      <c r="L1835">
        <f t="shared" si="312"/>
        <v>95</v>
      </c>
      <c r="M1835">
        <f t="shared" si="313"/>
        <v>1</v>
      </c>
      <c r="N1835">
        <f t="shared" si="314"/>
        <v>0</v>
      </c>
    </row>
    <row r="1836" spans="4:14" x14ac:dyDescent="0.2">
      <c r="D1836">
        <f t="shared" si="316"/>
        <v>1813</v>
      </c>
      <c r="E1836" s="1">
        <f t="shared" si="317"/>
        <v>-16.617343045275092</v>
      </c>
      <c r="F1836" s="1">
        <f t="shared" si="318"/>
        <v>-18.953052759804823</v>
      </c>
      <c r="G1836" s="1">
        <f t="shared" si="315"/>
        <v>5.872104439318849E-9</v>
      </c>
      <c r="H1836" s="1">
        <f t="shared" si="308"/>
        <v>6.0389253593359827E-11</v>
      </c>
      <c r="I1836">
        <f t="shared" si="309"/>
        <v>10</v>
      </c>
      <c r="J1836">
        <f t="shared" si="310"/>
        <v>1799</v>
      </c>
      <c r="K1836" s="5">
        <f t="shared" si="311"/>
        <v>0</v>
      </c>
      <c r="L1836">
        <f t="shared" si="312"/>
        <v>95</v>
      </c>
      <c r="M1836">
        <f t="shared" si="313"/>
        <v>1</v>
      </c>
      <c r="N1836">
        <f t="shared" si="314"/>
        <v>0</v>
      </c>
    </row>
    <row r="1837" spans="4:14" x14ac:dyDescent="0.2">
      <c r="D1837">
        <f t="shared" si="316"/>
        <v>1814</v>
      </c>
      <c r="E1837" s="1">
        <f t="shared" si="317"/>
        <v>-16.627814345142387</v>
      </c>
      <c r="F1837" s="1">
        <f t="shared" si="318"/>
        <v>-18.963524059672118</v>
      </c>
      <c r="G1837" s="1">
        <f t="shared" si="315"/>
        <v>5.8109366847426168E-9</v>
      </c>
      <c r="H1837" s="1">
        <f t="shared" si="308"/>
        <v>5.9760198868429053E-11</v>
      </c>
      <c r="I1837">
        <f t="shared" si="309"/>
        <v>10</v>
      </c>
      <c r="J1837">
        <f t="shared" si="310"/>
        <v>1800</v>
      </c>
      <c r="K1837" s="5">
        <f t="shared" si="311"/>
        <v>0</v>
      </c>
      <c r="L1837">
        <f t="shared" si="312"/>
        <v>95</v>
      </c>
      <c r="M1837">
        <f t="shared" si="313"/>
        <v>1</v>
      </c>
      <c r="N1837">
        <f t="shared" si="314"/>
        <v>0</v>
      </c>
    </row>
    <row r="1838" spans="4:14" x14ac:dyDescent="0.2">
      <c r="D1838">
        <f t="shared" si="316"/>
        <v>1815</v>
      </c>
      <c r="E1838" s="1">
        <f t="shared" si="317"/>
        <v>-16.638285645009681</v>
      </c>
      <c r="F1838" s="1">
        <f t="shared" si="318"/>
        <v>-18.973995359539412</v>
      </c>
      <c r="G1838" s="1">
        <f t="shared" si="315"/>
        <v>5.7504060942765535E-9</v>
      </c>
      <c r="H1838" s="1">
        <f t="shared" si="308"/>
        <v>5.913769679688298E-11</v>
      </c>
      <c r="I1838">
        <f t="shared" si="309"/>
        <v>10</v>
      </c>
      <c r="J1838">
        <f t="shared" si="310"/>
        <v>1801</v>
      </c>
      <c r="K1838" s="5">
        <f t="shared" si="311"/>
        <v>0</v>
      </c>
      <c r="L1838">
        <f t="shared" si="312"/>
        <v>95</v>
      </c>
      <c r="M1838">
        <f t="shared" si="313"/>
        <v>1</v>
      </c>
      <c r="N1838">
        <f t="shared" si="314"/>
        <v>0</v>
      </c>
    </row>
    <row r="1839" spans="4:14" x14ac:dyDescent="0.2">
      <c r="D1839">
        <f t="shared" si="316"/>
        <v>1816</v>
      </c>
      <c r="E1839" s="1">
        <f t="shared" si="317"/>
        <v>-16.648756944876975</v>
      </c>
      <c r="F1839" s="1">
        <f t="shared" si="318"/>
        <v>-18.984466659406706</v>
      </c>
      <c r="G1839" s="1">
        <f t="shared" si="315"/>
        <v>5.6905060307945114E-9</v>
      </c>
      <c r="H1839" s="1">
        <f t="shared" si="308"/>
        <v>5.8521679121915503E-11</v>
      </c>
      <c r="I1839">
        <f t="shared" si="309"/>
        <v>10</v>
      </c>
      <c r="J1839">
        <f t="shared" si="310"/>
        <v>1802</v>
      </c>
      <c r="K1839" s="5">
        <f t="shared" si="311"/>
        <v>0</v>
      </c>
      <c r="L1839">
        <f t="shared" si="312"/>
        <v>95</v>
      </c>
      <c r="M1839">
        <f t="shared" si="313"/>
        <v>1</v>
      </c>
      <c r="N1839">
        <f t="shared" si="314"/>
        <v>0</v>
      </c>
    </row>
    <row r="1840" spans="4:14" x14ac:dyDescent="0.2">
      <c r="D1840">
        <f t="shared" si="316"/>
        <v>1817</v>
      </c>
      <c r="E1840" s="1">
        <f t="shared" si="317"/>
        <v>-16.65922824474427</v>
      </c>
      <c r="F1840" s="1">
        <f t="shared" si="318"/>
        <v>-18.994937959274001</v>
      </c>
      <c r="G1840" s="1">
        <f t="shared" si="315"/>
        <v>5.6312299263070738E-9</v>
      </c>
      <c r="H1840" s="1">
        <f t="shared" si="308"/>
        <v>5.7912078297728935E-11</v>
      </c>
      <c r="I1840">
        <f t="shared" si="309"/>
        <v>10</v>
      </c>
      <c r="J1840">
        <f t="shared" si="310"/>
        <v>1803</v>
      </c>
      <c r="K1840" s="5">
        <f t="shared" si="311"/>
        <v>0</v>
      </c>
      <c r="L1840">
        <f t="shared" si="312"/>
        <v>95</v>
      </c>
      <c r="M1840">
        <f t="shared" si="313"/>
        <v>1</v>
      </c>
      <c r="N1840">
        <f t="shared" si="314"/>
        <v>0</v>
      </c>
    </row>
    <row r="1841" spans="4:14" x14ac:dyDescent="0.2">
      <c r="D1841">
        <f t="shared" si="316"/>
        <v>1818</v>
      </c>
      <c r="E1841" s="1">
        <f t="shared" si="317"/>
        <v>-16.669699544611564</v>
      </c>
      <c r="F1841" s="1">
        <f t="shared" si="318"/>
        <v>-19.005409259141295</v>
      </c>
      <c r="G1841" s="1">
        <f t="shared" si="315"/>
        <v>5.5725712812413804E-9</v>
      </c>
      <c r="H1841" s="1">
        <f t="shared" si="308"/>
        <v>5.7308827482127644E-11</v>
      </c>
      <c r="I1841">
        <f t="shared" si="309"/>
        <v>10</v>
      </c>
      <c r="J1841">
        <f t="shared" si="310"/>
        <v>1804</v>
      </c>
      <c r="K1841" s="5">
        <f t="shared" si="311"/>
        <v>0</v>
      </c>
      <c r="L1841">
        <f t="shared" si="312"/>
        <v>95</v>
      </c>
      <c r="M1841">
        <f t="shared" si="313"/>
        <v>1</v>
      </c>
      <c r="N1841">
        <f t="shared" si="314"/>
        <v>0</v>
      </c>
    </row>
    <row r="1842" spans="4:14" x14ac:dyDescent="0.2">
      <c r="D1842">
        <f t="shared" si="316"/>
        <v>1819</v>
      </c>
      <c r="E1842" s="1">
        <f t="shared" si="317"/>
        <v>-16.680170844478859</v>
      </c>
      <c r="F1842" s="1">
        <f t="shared" si="318"/>
        <v>-19.01588055900859</v>
      </c>
      <c r="G1842" s="1">
        <f t="shared" si="315"/>
        <v>5.5145236637284548E-9</v>
      </c>
      <c r="H1842" s="1">
        <f t="shared" si="308"/>
        <v>5.6711860529188873E-11</v>
      </c>
      <c r="I1842">
        <f t="shared" si="309"/>
        <v>10</v>
      </c>
      <c r="J1842">
        <f t="shared" si="310"/>
        <v>1805</v>
      </c>
      <c r="K1842" s="5">
        <f t="shared" si="311"/>
        <v>0</v>
      </c>
      <c r="L1842">
        <f t="shared" si="312"/>
        <v>95</v>
      </c>
      <c r="M1842">
        <f t="shared" si="313"/>
        <v>1</v>
      </c>
      <c r="N1842">
        <f t="shared" si="314"/>
        <v>0</v>
      </c>
    </row>
    <row r="1843" spans="4:14" x14ac:dyDescent="0.2">
      <c r="D1843">
        <f t="shared" si="316"/>
        <v>1820</v>
      </c>
      <c r="E1843" s="1">
        <f t="shared" si="317"/>
        <v>-16.690642144346153</v>
      </c>
      <c r="F1843" s="1">
        <f t="shared" si="318"/>
        <v>-19.026351858875884</v>
      </c>
      <c r="G1843" s="1">
        <f t="shared" si="315"/>
        <v>5.4570807088979551E-9</v>
      </c>
      <c r="H1843" s="1">
        <f t="shared" si="308"/>
        <v>5.6121111982009873E-11</v>
      </c>
      <c r="I1843">
        <f t="shared" si="309"/>
        <v>10</v>
      </c>
      <c r="J1843">
        <f t="shared" si="310"/>
        <v>1806</v>
      </c>
      <c r="K1843" s="5">
        <f t="shared" si="311"/>
        <v>0</v>
      </c>
      <c r="L1843">
        <f t="shared" si="312"/>
        <v>95</v>
      </c>
      <c r="M1843">
        <f t="shared" si="313"/>
        <v>1</v>
      </c>
      <c r="N1843">
        <f t="shared" si="314"/>
        <v>0</v>
      </c>
    </row>
    <row r="1844" spans="4:14" x14ac:dyDescent="0.2">
      <c r="D1844">
        <f t="shared" si="316"/>
        <v>1821</v>
      </c>
      <c r="E1844" s="1">
        <f t="shared" si="317"/>
        <v>-16.701113444213448</v>
      </c>
      <c r="F1844" s="1">
        <f t="shared" si="318"/>
        <v>-19.036823158743179</v>
      </c>
      <c r="G1844" s="1">
        <f t="shared" si="315"/>
        <v>5.400236118180273E-9</v>
      </c>
      <c r="H1844" s="1">
        <f t="shared" si="308"/>
        <v>5.5536517065530652E-11</v>
      </c>
      <c r="I1844">
        <f t="shared" si="309"/>
        <v>10</v>
      </c>
      <c r="J1844">
        <f t="shared" si="310"/>
        <v>1807</v>
      </c>
      <c r="K1844" s="5">
        <f t="shared" si="311"/>
        <v>0</v>
      </c>
      <c r="L1844">
        <f t="shared" si="312"/>
        <v>95</v>
      </c>
      <c r="M1844">
        <f t="shared" si="313"/>
        <v>1</v>
      </c>
      <c r="N1844">
        <f t="shared" si="314"/>
        <v>0</v>
      </c>
    </row>
    <row r="1845" spans="4:14" x14ac:dyDescent="0.2">
      <c r="D1845">
        <f t="shared" si="316"/>
        <v>1822</v>
      </c>
      <c r="E1845" s="1">
        <f t="shared" si="317"/>
        <v>-16.711584744080742</v>
      </c>
      <c r="F1845" s="1">
        <f t="shared" si="318"/>
        <v>-19.047294458610473</v>
      </c>
      <c r="G1845" s="1">
        <f t="shared" si="315"/>
        <v>5.3439836586159003E-9</v>
      </c>
      <c r="H1845" s="1">
        <f t="shared" si="308"/>
        <v>5.4958011679431426E-11</v>
      </c>
      <c r="I1845">
        <f t="shared" si="309"/>
        <v>10</v>
      </c>
      <c r="J1845">
        <f t="shared" si="310"/>
        <v>1808</v>
      </c>
      <c r="K1845" s="5">
        <f t="shared" si="311"/>
        <v>0</v>
      </c>
      <c r="L1845">
        <f t="shared" si="312"/>
        <v>95</v>
      </c>
      <c r="M1845">
        <f t="shared" si="313"/>
        <v>1</v>
      </c>
      <c r="N1845">
        <f t="shared" si="314"/>
        <v>0</v>
      </c>
    </row>
    <row r="1846" spans="4:14" x14ac:dyDescent="0.2">
      <c r="D1846">
        <f t="shared" si="316"/>
        <v>1823</v>
      </c>
      <c r="E1846" s="1">
        <f t="shared" si="317"/>
        <v>-16.722056043948037</v>
      </c>
      <c r="F1846" s="1">
        <f t="shared" si="318"/>
        <v>-19.057765758477768</v>
      </c>
      <c r="G1846" s="1">
        <f t="shared" si="315"/>
        <v>5.2883171621719901E-9</v>
      </c>
      <c r="H1846" s="1">
        <f t="shared" si="308"/>
        <v>5.4385532391104072E-11</v>
      </c>
      <c r="I1846">
        <f t="shared" si="309"/>
        <v>10</v>
      </c>
      <c r="J1846">
        <f t="shared" si="310"/>
        <v>1809</v>
      </c>
      <c r="K1846" s="5">
        <f t="shared" si="311"/>
        <v>0</v>
      </c>
      <c r="L1846">
        <f t="shared" si="312"/>
        <v>95</v>
      </c>
      <c r="M1846">
        <f t="shared" si="313"/>
        <v>1</v>
      </c>
      <c r="N1846">
        <f t="shared" si="314"/>
        <v>0</v>
      </c>
    </row>
    <row r="1847" spans="4:14" x14ac:dyDescent="0.2">
      <c r="D1847">
        <f t="shared" si="316"/>
        <v>1824</v>
      </c>
      <c r="E1847" s="1">
        <f t="shared" si="317"/>
        <v>-16.732527343815331</v>
      </c>
      <c r="F1847" s="1">
        <f t="shared" si="318"/>
        <v>-19.068237058345062</v>
      </c>
      <c r="G1847" s="1">
        <f t="shared" si="315"/>
        <v>5.233230525066037E-9</v>
      </c>
      <c r="H1847" s="1">
        <f t="shared" si="308"/>
        <v>5.3819016428696791E-11</v>
      </c>
      <c r="I1847">
        <f t="shared" si="309"/>
        <v>10</v>
      </c>
      <c r="J1847">
        <f t="shared" si="310"/>
        <v>1810</v>
      </c>
      <c r="K1847" s="5">
        <f t="shared" si="311"/>
        <v>0</v>
      </c>
      <c r="L1847">
        <f t="shared" si="312"/>
        <v>95</v>
      </c>
      <c r="M1847">
        <f t="shared" si="313"/>
        <v>1</v>
      </c>
      <c r="N1847">
        <f t="shared" si="314"/>
        <v>0</v>
      </c>
    </row>
    <row r="1848" spans="4:14" x14ac:dyDescent="0.2">
      <c r="D1848">
        <f t="shared" si="316"/>
        <v>1825</v>
      </c>
      <c r="E1848" s="1">
        <f t="shared" si="317"/>
        <v>-16.742998643682625</v>
      </c>
      <c r="F1848" s="1">
        <f t="shared" si="318"/>
        <v>-19.078708358212356</v>
      </c>
      <c r="G1848" s="1">
        <f t="shared" si="315"/>
        <v>5.1787177070966039E-9</v>
      </c>
      <c r="H1848" s="1">
        <f t="shared" si="308"/>
        <v>5.3258401674231253E-11</v>
      </c>
      <c r="I1848">
        <f t="shared" si="309"/>
        <v>10</v>
      </c>
      <c r="J1848">
        <f t="shared" si="310"/>
        <v>1811</v>
      </c>
      <c r="K1848" s="5">
        <f t="shared" si="311"/>
        <v>0</v>
      </c>
      <c r="L1848">
        <f t="shared" si="312"/>
        <v>95</v>
      </c>
      <c r="M1848">
        <f t="shared" si="313"/>
        <v>1</v>
      </c>
      <c r="N1848">
        <f t="shared" si="314"/>
        <v>0</v>
      </c>
    </row>
    <row r="1849" spans="4:14" x14ac:dyDescent="0.2">
      <c r="D1849">
        <f t="shared" si="316"/>
        <v>1826</v>
      </c>
      <c r="E1849" s="1">
        <f t="shared" si="317"/>
        <v>-16.75346994354992</v>
      </c>
      <c r="F1849" s="1">
        <f t="shared" si="318"/>
        <v>-19.089179658079651</v>
      </c>
      <c r="G1849" s="1">
        <f t="shared" si="315"/>
        <v>5.1247727309810191E-9</v>
      </c>
      <c r="H1849" s="1">
        <f t="shared" si="308"/>
        <v>5.2703626656791393E-11</v>
      </c>
      <c r="I1849">
        <f t="shared" si="309"/>
        <v>10</v>
      </c>
      <c r="J1849">
        <f t="shared" si="310"/>
        <v>1812</v>
      </c>
      <c r="K1849" s="5">
        <f t="shared" si="311"/>
        <v>0</v>
      </c>
      <c r="L1849">
        <f t="shared" si="312"/>
        <v>95</v>
      </c>
      <c r="M1849">
        <f t="shared" si="313"/>
        <v>1</v>
      </c>
      <c r="N1849">
        <f t="shared" si="314"/>
        <v>0</v>
      </c>
    </row>
    <row r="1850" spans="4:14" x14ac:dyDescent="0.2">
      <c r="D1850">
        <f t="shared" si="316"/>
        <v>1827</v>
      </c>
      <c r="E1850" s="1">
        <f t="shared" si="317"/>
        <v>-16.763941243417214</v>
      </c>
      <c r="F1850" s="1">
        <f t="shared" si="318"/>
        <v>-19.099650957946945</v>
      </c>
      <c r="G1850" s="1">
        <f t="shared" si="315"/>
        <v>5.071389681699972E-9</v>
      </c>
      <c r="H1850" s="1">
        <f t="shared" si="308"/>
        <v>5.2154630545783203E-11</v>
      </c>
      <c r="I1850">
        <f t="shared" si="309"/>
        <v>10</v>
      </c>
      <c r="J1850">
        <f t="shared" si="310"/>
        <v>1813</v>
      </c>
      <c r="K1850" s="5">
        <f t="shared" si="311"/>
        <v>0</v>
      </c>
      <c r="L1850">
        <f t="shared" si="312"/>
        <v>95</v>
      </c>
      <c r="M1850">
        <f t="shared" si="313"/>
        <v>1</v>
      </c>
      <c r="N1850">
        <f t="shared" si="314"/>
        <v>0</v>
      </c>
    </row>
    <row r="1851" spans="4:14" x14ac:dyDescent="0.2">
      <c r="D1851">
        <f t="shared" si="316"/>
        <v>1828</v>
      </c>
      <c r="E1851" s="1">
        <f t="shared" si="317"/>
        <v>-16.774412543284509</v>
      </c>
      <c r="F1851" s="1">
        <f t="shared" si="318"/>
        <v>-19.11012225781424</v>
      </c>
      <c r="G1851" s="1">
        <f t="shared" si="315"/>
        <v>5.0185627058489351E-9</v>
      </c>
      <c r="H1851" s="1">
        <f t="shared" si="308"/>
        <v>5.161135314426467E-11</v>
      </c>
      <c r="I1851">
        <f t="shared" si="309"/>
        <v>10</v>
      </c>
      <c r="J1851">
        <f t="shared" si="310"/>
        <v>1814</v>
      </c>
      <c r="K1851" s="5">
        <f t="shared" si="311"/>
        <v>0</v>
      </c>
      <c r="L1851">
        <f t="shared" si="312"/>
        <v>95</v>
      </c>
      <c r="M1851">
        <f t="shared" si="313"/>
        <v>1</v>
      </c>
      <c r="N1851">
        <f t="shared" si="314"/>
        <v>0</v>
      </c>
    </row>
    <row r="1852" spans="4:14" x14ac:dyDescent="0.2">
      <c r="D1852">
        <f t="shared" si="316"/>
        <v>1829</v>
      </c>
      <c r="E1852" s="1">
        <f t="shared" si="317"/>
        <v>-16.784883843151803</v>
      </c>
      <c r="F1852" s="1">
        <f t="shared" si="318"/>
        <v>-19.120593557681534</v>
      </c>
      <c r="G1852" s="1">
        <f t="shared" si="315"/>
        <v>4.9662860109963469E-9</v>
      </c>
      <c r="H1852" s="1">
        <f t="shared" si="308"/>
        <v>5.1073734882345295E-11</v>
      </c>
      <c r="I1852">
        <f t="shared" si="309"/>
        <v>10</v>
      </c>
      <c r="J1852">
        <f t="shared" si="310"/>
        <v>1815</v>
      </c>
      <c r="K1852" s="5">
        <f t="shared" si="311"/>
        <v>0</v>
      </c>
      <c r="L1852">
        <f t="shared" si="312"/>
        <v>95</v>
      </c>
      <c r="M1852">
        <f t="shared" si="313"/>
        <v>1</v>
      </c>
      <c r="N1852">
        <f t="shared" si="314"/>
        <v>0</v>
      </c>
    </row>
    <row r="1853" spans="4:14" x14ac:dyDescent="0.2">
      <c r="D1853">
        <f t="shared" si="316"/>
        <v>1830</v>
      </c>
      <c r="E1853" s="1">
        <f t="shared" si="317"/>
        <v>-16.795355143019098</v>
      </c>
      <c r="F1853" s="1">
        <f t="shared" si="318"/>
        <v>-19.131064857548829</v>
      </c>
      <c r="G1853" s="1">
        <f t="shared" si="315"/>
        <v>4.9145538650484731E-9</v>
      </c>
      <c r="H1853" s="1">
        <f t="shared" si="308"/>
        <v>5.0541716810654251E-11</v>
      </c>
      <c r="I1853">
        <f t="shared" si="309"/>
        <v>10</v>
      </c>
      <c r="J1853">
        <f t="shared" si="310"/>
        <v>1816</v>
      </c>
      <c r="K1853" s="5">
        <f t="shared" si="311"/>
        <v>0</v>
      </c>
      <c r="L1853">
        <f t="shared" si="312"/>
        <v>95</v>
      </c>
      <c r="M1853">
        <f t="shared" si="313"/>
        <v>1</v>
      </c>
      <c r="N1853">
        <f t="shared" si="314"/>
        <v>0</v>
      </c>
    </row>
    <row r="1854" spans="4:14" x14ac:dyDescent="0.2">
      <c r="D1854">
        <f t="shared" si="316"/>
        <v>1831</v>
      </c>
      <c r="E1854" s="1">
        <f t="shared" si="317"/>
        <v>-16.805826442886392</v>
      </c>
      <c r="F1854" s="1">
        <f t="shared" si="318"/>
        <v>-19.141536157416123</v>
      </c>
      <c r="G1854" s="1">
        <f t="shared" si="315"/>
        <v>4.8633605956208895E-9</v>
      </c>
      <c r="H1854" s="1">
        <f t="shared" si="308"/>
        <v>5.0015240593876651E-11</v>
      </c>
      <c r="I1854">
        <f t="shared" si="309"/>
        <v>10</v>
      </c>
      <c r="J1854">
        <f t="shared" si="310"/>
        <v>1817</v>
      </c>
      <c r="K1854" s="5">
        <f t="shared" si="311"/>
        <v>0</v>
      </c>
      <c r="L1854">
        <f t="shared" si="312"/>
        <v>95</v>
      </c>
      <c r="M1854">
        <f t="shared" si="313"/>
        <v>1</v>
      </c>
      <c r="N1854">
        <f t="shared" si="314"/>
        <v>0</v>
      </c>
    </row>
    <row r="1855" spans="4:14" x14ac:dyDescent="0.2">
      <c r="D1855">
        <f t="shared" si="316"/>
        <v>1832</v>
      </c>
      <c r="E1855" s="1">
        <f t="shared" si="317"/>
        <v>-16.816297742753687</v>
      </c>
      <c r="F1855" s="1">
        <f t="shared" si="318"/>
        <v>-19.152007457283418</v>
      </c>
      <c r="G1855" s="1">
        <f t="shared" si="315"/>
        <v>4.8127005894165098E-9</v>
      </c>
      <c r="H1855" s="1">
        <f t="shared" si="308"/>
        <v>4.949424850435715E-11</v>
      </c>
      <c r="I1855">
        <f t="shared" si="309"/>
        <v>10</v>
      </c>
      <c r="J1855">
        <f t="shared" si="310"/>
        <v>1818</v>
      </c>
      <c r="K1855" s="5">
        <f t="shared" si="311"/>
        <v>0</v>
      </c>
      <c r="L1855">
        <f t="shared" si="312"/>
        <v>95</v>
      </c>
      <c r="M1855">
        <f t="shared" si="313"/>
        <v>1</v>
      </c>
      <c r="N1855">
        <f t="shared" si="314"/>
        <v>0</v>
      </c>
    </row>
    <row r="1856" spans="4:14" x14ac:dyDescent="0.2">
      <c r="D1856">
        <f t="shared" si="316"/>
        <v>1833</v>
      </c>
      <c r="E1856" s="1">
        <f t="shared" si="317"/>
        <v>-16.826769042620981</v>
      </c>
      <c r="F1856" s="1">
        <f t="shared" si="318"/>
        <v>-19.162478757150712</v>
      </c>
      <c r="G1856" s="1">
        <f t="shared" si="315"/>
        <v>4.7625682916100922E-9</v>
      </c>
      <c r="H1856" s="1">
        <f t="shared" si="308"/>
        <v>4.8978683415770138E-11</v>
      </c>
      <c r="I1856">
        <f t="shared" si="309"/>
        <v>10</v>
      </c>
      <c r="J1856">
        <f t="shared" si="310"/>
        <v>1819</v>
      </c>
      <c r="K1856" s="5">
        <f t="shared" si="311"/>
        <v>0</v>
      </c>
      <c r="L1856">
        <f t="shared" si="312"/>
        <v>95</v>
      </c>
      <c r="M1856">
        <f t="shared" si="313"/>
        <v>1</v>
      </c>
      <c r="N1856">
        <f t="shared" si="314"/>
        <v>0</v>
      </c>
    </row>
    <row r="1857" spans="4:14" x14ac:dyDescent="0.2">
      <c r="D1857">
        <f t="shared" si="316"/>
        <v>1834</v>
      </c>
      <c r="E1857" s="1">
        <f t="shared" si="317"/>
        <v>-16.837240342488276</v>
      </c>
      <c r="F1857" s="1">
        <f t="shared" si="318"/>
        <v>-19.172950057018006</v>
      </c>
      <c r="G1857" s="1">
        <f t="shared" si="315"/>
        <v>4.7129582052391582E-9</v>
      </c>
      <c r="H1857" s="1">
        <f t="shared" si="308"/>
        <v>4.8468488796855914E-11</v>
      </c>
      <c r="I1857">
        <f t="shared" si="309"/>
        <v>10</v>
      </c>
      <c r="J1857">
        <f t="shared" si="310"/>
        <v>1820</v>
      </c>
      <c r="K1857" s="5">
        <f t="shared" si="311"/>
        <v>0</v>
      </c>
      <c r="L1857">
        <f t="shared" si="312"/>
        <v>95</v>
      </c>
      <c r="M1857">
        <f t="shared" si="313"/>
        <v>1</v>
      </c>
      <c r="N1857">
        <f t="shared" si="314"/>
        <v>0</v>
      </c>
    </row>
    <row r="1858" spans="4:14" x14ac:dyDescent="0.2">
      <c r="D1858">
        <f t="shared" si="316"/>
        <v>1835</v>
      </c>
      <c r="E1858" s="1">
        <f t="shared" si="317"/>
        <v>-16.84771164235557</v>
      </c>
      <c r="F1858" s="1">
        <f t="shared" si="318"/>
        <v>-19.183421356885301</v>
      </c>
      <c r="G1858" s="1">
        <f t="shared" si="315"/>
        <v>4.663864890601255E-9</v>
      </c>
      <c r="H1858" s="1">
        <f t="shared" si="308"/>
        <v>4.7963608705222044E-11</v>
      </c>
      <c r="I1858">
        <f t="shared" si="309"/>
        <v>10</v>
      </c>
      <c r="J1858">
        <f t="shared" si="310"/>
        <v>1821</v>
      </c>
      <c r="K1858" s="5">
        <f t="shared" si="311"/>
        <v>0</v>
      </c>
      <c r="L1858">
        <f t="shared" si="312"/>
        <v>95</v>
      </c>
      <c r="M1858">
        <f t="shared" si="313"/>
        <v>1</v>
      </c>
      <c r="N1858">
        <f t="shared" si="314"/>
        <v>0</v>
      </c>
    </row>
    <row r="1859" spans="4:14" x14ac:dyDescent="0.2">
      <c r="D1859">
        <f t="shared" si="316"/>
        <v>1836</v>
      </c>
      <c r="E1859" s="1">
        <f t="shared" si="317"/>
        <v>-16.858182942222864</v>
      </c>
      <c r="F1859" s="1">
        <f t="shared" si="318"/>
        <v>-19.193892656752595</v>
      </c>
      <c r="G1859" s="1">
        <f t="shared" si="315"/>
        <v>4.615282964657496E-9</v>
      </c>
      <c r="H1859" s="1">
        <f t="shared" si="308"/>
        <v>4.7463987781209356E-11</v>
      </c>
      <c r="I1859">
        <f t="shared" si="309"/>
        <v>10</v>
      </c>
      <c r="J1859">
        <f t="shared" si="310"/>
        <v>1822</v>
      </c>
      <c r="K1859" s="5">
        <f t="shared" si="311"/>
        <v>0</v>
      </c>
      <c r="L1859">
        <f t="shared" si="312"/>
        <v>95</v>
      </c>
      <c r="M1859">
        <f t="shared" si="313"/>
        <v>1</v>
      </c>
      <c r="N1859">
        <f t="shared" si="314"/>
        <v>0</v>
      </c>
    </row>
    <row r="1860" spans="4:14" x14ac:dyDescent="0.2">
      <c r="D1860">
        <f t="shared" si="316"/>
        <v>1837</v>
      </c>
      <c r="E1860" s="1">
        <f t="shared" si="317"/>
        <v>-16.868654242090159</v>
      </c>
      <c r="F1860" s="1">
        <f t="shared" si="318"/>
        <v>-19.20436395661989</v>
      </c>
      <c r="G1860" s="1">
        <f t="shared" si="315"/>
        <v>4.5672071004423186E-9</v>
      </c>
      <c r="H1860" s="1">
        <f t="shared" si="308"/>
        <v>4.6969571241821811E-11</v>
      </c>
      <c r="I1860">
        <f t="shared" si="309"/>
        <v>10</v>
      </c>
      <c r="J1860">
        <f t="shared" si="310"/>
        <v>1823</v>
      </c>
      <c r="K1860" s="5">
        <f t="shared" si="311"/>
        <v>0</v>
      </c>
      <c r="L1860">
        <f t="shared" si="312"/>
        <v>95</v>
      </c>
      <c r="M1860">
        <f t="shared" si="313"/>
        <v>1</v>
      </c>
      <c r="N1860">
        <f t="shared" si="314"/>
        <v>0</v>
      </c>
    </row>
    <row r="1861" spans="4:14" x14ac:dyDescent="0.2">
      <c r="D1861">
        <f t="shared" si="316"/>
        <v>1838</v>
      </c>
      <c r="E1861" s="1">
        <f t="shared" si="317"/>
        <v>-16.879125541957453</v>
      </c>
      <c r="F1861" s="1">
        <f t="shared" si="318"/>
        <v>-19.214835256487184</v>
      </c>
      <c r="G1861" s="1">
        <f t="shared" si="315"/>
        <v>4.5196320264793818E-9</v>
      </c>
      <c r="H1861" s="1">
        <f t="shared" si="308"/>
        <v>4.648030487471954E-11</v>
      </c>
      <c r="I1861">
        <f t="shared" si="309"/>
        <v>10</v>
      </c>
      <c r="J1861">
        <f t="shared" si="310"/>
        <v>1824</v>
      </c>
      <c r="K1861" s="5">
        <f t="shared" si="311"/>
        <v>0</v>
      </c>
      <c r="L1861">
        <f t="shared" si="312"/>
        <v>95</v>
      </c>
      <c r="M1861">
        <f t="shared" si="313"/>
        <v>1</v>
      </c>
      <c r="N1861">
        <f t="shared" si="314"/>
        <v>0</v>
      </c>
    </row>
    <row r="1862" spans="4:14" x14ac:dyDescent="0.2">
      <c r="D1862">
        <f t="shared" si="316"/>
        <v>1839</v>
      </c>
      <c r="E1862" s="1">
        <f t="shared" si="317"/>
        <v>-16.889596841824748</v>
      </c>
      <c r="F1862" s="1">
        <f t="shared" si="318"/>
        <v>-19.225306556354479</v>
      </c>
      <c r="G1862" s="1">
        <f t="shared" si="315"/>
        <v>4.4725525262035592E-9</v>
      </c>
      <c r="H1862" s="1">
        <f t="shared" si="308"/>
        <v>4.5996135032274592E-11</v>
      </c>
      <c r="I1862">
        <f t="shared" si="309"/>
        <v>10</v>
      </c>
      <c r="J1862">
        <f t="shared" si="310"/>
        <v>1825</v>
      </c>
      <c r="K1862" s="5">
        <f t="shared" si="311"/>
        <v>0</v>
      </c>
      <c r="L1862">
        <f t="shared" si="312"/>
        <v>95</v>
      </c>
      <c r="M1862">
        <f t="shared" si="313"/>
        <v>1</v>
      </c>
      <c r="N1862">
        <f t="shared" si="314"/>
        <v>0</v>
      </c>
    </row>
    <row r="1863" spans="4:14" x14ac:dyDescent="0.2">
      <c r="D1863">
        <f t="shared" si="316"/>
        <v>1840</v>
      </c>
      <c r="E1863" s="1">
        <f t="shared" si="317"/>
        <v>-16.900068141692042</v>
      </c>
      <c r="F1863" s="1">
        <f t="shared" si="318"/>
        <v>-19.235777856221773</v>
      </c>
      <c r="G1863" s="1">
        <f t="shared" si="315"/>
        <v>4.4259634373889427E-9</v>
      </c>
      <c r="H1863" s="1">
        <f t="shared" si="308"/>
        <v>4.5517008625688437E-11</v>
      </c>
      <c r="I1863">
        <f t="shared" si="309"/>
        <v>10</v>
      </c>
      <c r="J1863">
        <f t="shared" si="310"/>
        <v>1826</v>
      </c>
      <c r="K1863" s="5">
        <f t="shared" si="311"/>
        <v>0</v>
      </c>
      <c r="L1863">
        <f t="shared" si="312"/>
        <v>95</v>
      </c>
      <c r="M1863">
        <f t="shared" si="313"/>
        <v>1</v>
      </c>
      <c r="N1863">
        <f t="shared" si="314"/>
        <v>0</v>
      </c>
    </row>
    <row r="1864" spans="4:14" x14ac:dyDescent="0.2">
      <c r="D1864">
        <f t="shared" si="316"/>
        <v>1841</v>
      </c>
      <c r="E1864" s="1">
        <f t="shared" si="317"/>
        <v>-16.910539441559337</v>
      </c>
      <c r="F1864" s="1">
        <f t="shared" si="318"/>
        <v>-19.246249156089068</v>
      </c>
      <c r="G1864" s="1">
        <f t="shared" si="315"/>
        <v>4.3798596515828127E-9</v>
      </c>
      <c r="H1864" s="1">
        <f t="shared" si="308"/>
        <v>4.5042873119170901E-11</v>
      </c>
      <c r="I1864">
        <f t="shared" si="309"/>
        <v>10</v>
      </c>
      <c r="J1864">
        <f t="shared" si="310"/>
        <v>1827</v>
      </c>
      <c r="K1864" s="5">
        <f t="shared" si="311"/>
        <v>0</v>
      </c>
      <c r="L1864">
        <f t="shared" si="312"/>
        <v>95</v>
      </c>
      <c r="M1864">
        <f t="shared" si="313"/>
        <v>1</v>
      </c>
      <c r="N1864">
        <f t="shared" si="314"/>
        <v>0</v>
      </c>
    </row>
    <row r="1865" spans="4:14" x14ac:dyDescent="0.2">
      <c r="D1865">
        <f t="shared" si="316"/>
        <v>1842</v>
      </c>
      <c r="E1865" s="1">
        <f t="shared" si="317"/>
        <v>-16.921010741426631</v>
      </c>
      <c r="F1865" s="1">
        <f t="shared" si="318"/>
        <v>-19.256720455956362</v>
      </c>
      <c r="G1865" s="1">
        <f t="shared" si="315"/>
        <v>4.3342361135454954E-9</v>
      </c>
      <c r="H1865" s="1">
        <f t="shared" si="308"/>
        <v>4.4573676524179575E-11</v>
      </c>
      <c r="I1865">
        <f t="shared" si="309"/>
        <v>10</v>
      </c>
      <c r="J1865">
        <f t="shared" si="310"/>
        <v>1828</v>
      </c>
      <c r="K1865" s="5">
        <f t="shared" si="311"/>
        <v>0</v>
      </c>
      <c r="L1865">
        <f t="shared" si="312"/>
        <v>95</v>
      </c>
      <c r="M1865">
        <f t="shared" si="313"/>
        <v>1</v>
      </c>
      <c r="N1865">
        <f t="shared" si="314"/>
        <v>0</v>
      </c>
    </row>
    <row r="1866" spans="4:14" x14ac:dyDescent="0.2">
      <c r="D1866">
        <f t="shared" si="316"/>
        <v>1843</v>
      </c>
      <c r="E1866" s="1">
        <f t="shared" si="317"/>
        <v>-16.931482041293926</v>
      </c>
      <c r="F1866" s="1">
        <f t="shared" si="318"/>
        <v>-19.267191755823657</v>
      </c>
      <c r="G1866" s="1">
        <f t="shared" si="315"/>
        <v>4.2890878206960675E-9</v>
      </c>
      <c r="H1866" s="1">
        <f t="shared" si="308"/>
        <v>4.4109367393719411E-11</v>
      </c>
      <c r="I1866">
        <f t="shared" si="309"/>
        <v>10</v>
      </c>
      <c r="J1866">
        <f t="shared" si="310"/>
        <v>1829</v>
      </c>
      <c r="K1866" s="5">
        <f t="shared" si="311"/>
        <v>0</v>
      </c>
      <c r="L1866">
        <f t="shared" si="312"/>
        <v>95</v>
      </c>
      <c r="M1866">
        <f t="shared" si="313"/>
        <v>1</v>
      </c>
      <c r="N1866">
        <f t="shared" si="314"/>
        <v>0</v>
      </c>
    </row>
    <row r="1867" spans="4:14" x14ac:dyDescent="0.2">
      <c r="D1867">
        <f t="shared" si="316"/>
        <v>1844</v>
      </c>
      <c r="E1867" s="1">
        <f t="shared" si="317"/>
        <v>-16.94195334116122</v>
      </c>
      <c r="F1867" s="1">
        <f t="shared" si="318"/>
        <v>-19.277663055690951</v>
      </c>
      <c r="G1867" s="1">
        <f t="shared" si="315"/>
        <v>4.2444098225638209E-9</v>
      </c>
      <c r="H1867" s="1">
        <f t="shared" si="308"/>
        <v>4.3649894816701542E-11</v>
      </c>
      <c r="I1867">
        <f t="shared" si="309"/>
        <v>10</v>
      </c>
      <c r="J1867">
        <f t="shared" si="310"/>
        <v>1830</v>
      </c>
      <c r="K1867" s="5">
        <f t="shared" si="311"/>
        <v>0</v>
      </c>
      <c r="L1867">
        <f t="shared" si="312"/>
        <v>95</v>
      </c>
      <c r="M1867">
        <f t="shared" si="313"/>
        <v>1</v>
      </c>
      <c r="N1867">
        <f t="shared" si="314"/>
        <v>0</v>
      </c>
    </row>
    <row r="1868" spans="4:14" x14ac:dyDescent="0.2">
      <c r="D1868">
        <f t="shared" si="316"/>
        <v>1845</v>
      </c>
      <c r="E1868" s="1">
        <f t="shared" si="317"/>
        <v>-16.952424641028514</v>
      </c>
      <c r="F1868" s="1">
        <f t="shared" si="318"/>
        <v>-19.288134355558245</v>
      </c>
      <c r="G1868" s="1">
        <f t="shared" si="315"/>
        <v>4.2001972202454518E-9</v>
      </c>
      <c r="H1868" s="1">
        <f t="shared" si="308"/>
        <v>4.3195208412360944E-11</v>
      </c>
      <c r="I1868">
        <f t="shared" si="309"/>
        <v>10</v>
      </c>
      <c r="J1868">
        <f t="shared" si="310"/>
        <v>1831</v>
      </c>
      <c r="K1868" s="5">
        <f t="shared" si="311"/>
        <v>0</v>
      </c>
      <c r="L1868">
        <f t="shared" si="312"/>
        <v>95</v>
      </c>
      <c r="M1868">
        <f t="shared" si="313"/>
        <v>1</v>
      </c>
      <c r="N1868">
        <f t="shared" si="314"/>
        <v>0</v>
      </c>
    </row>
    <row r="1869" spans="4:14" x14ac:dyDescent="0.2">
      <c r="D1869">
        <f t="shared" si="316"/>
        <v>1846</v>
      </c>
      <c r="E1869" s="1">
        <f t="shared" si="317"/>
        <v>-16.962895940895809</v>
      </c>
      <c r="F1869" s="1">
        <f t="shared" si="318"/>
        <v>-19.29860565542554</v>
      </c>
      <c r="G1869" s="1">
        <f t="shared" si="315"/>
        <v>4.1564451658678989E-9</v>
      </c>
      <c r="H1869" s="1">
        <f t="shared" si="308"/>
        <v>4.2745258324732223E-11</v>
      </c>
      <c r="I1869">
        <f t="shared" si="309"/>
        <v>10</v>
      </c>
      <c r="J1869">
        <f t="shared" si="310"/>
        <v>1832</v>
      </c>
      <c r="K1869" s="5">
        <f t="shared" si="311"/>
        <v>0</v>
      </c>
      <c r="L1869">
        <f t="shared" si="312"/>
        <v>95</v>
      </c>
      <c r="M1869">
        <f t="shared" si="313"/>
        <v>1</v>
      </c>
      <c r="N1869">
        <f t="shared" si="314"/>
        <v>0</v>
      </c>
    </row>
    <row r="1870" spans="4:14" x14ac:dyDescent="0.2">
      <c r="D1870">
        <f t="shared" si="316"/>
        <v>1847</v>
      </c>
      <c r="E1870" s="1">
        <f t="shared" si="317"/>
        <v>-16.973367240763103</v>
      </c>
      <c r="F1870" s="1">
        <f t="shared" si="318"/>
        <v>-19.309076955292834</v>
      </c>
      <c r="G1870" s="1">
        <f t="shared" si="315"/>
        <v>4.1131488620567791E-9</v>
      </c>
      <c r="H1870" s="1">
        <f t="shared" si="308"/>
        <v>4.2299995217182974E-11</v>
      </c>
      <c r="I1870">
        <f t="shared" si="309"/>
        <v>10</v>
      </c>
      <c r="J1870">
        <f t="shared" si="310"/>
        <v>1833</v>
      </c>
      <c r="K1870" s="5">
        <f t="shared" si="311"/>
        <v>0</v>
      </c>
      <c r="L1870">
        <f t="shared" si="312"/>
        <v>95</v>
      </c>
      <c r="M1870">
        <f t="shared" si="313"/>
        <v>1</v>
      </c>
      <c r="N1870">
        <f t="shared" si="314"/>
        <v>0</v>
      </c>
    </row>
    <row r="1871" spans="4:14" x14ac:dyDescent="0.2">
      <c r="D1871">
        <f t="shared" si="316"/>
        <v>1848</v>
      </c>
      <c r="E1871" s="1">
        <f t="shared" si="317"/>
        <v>-16.983838540630398</v>
      </c>
      <c r="F1871" s="1">
        <f t="shared" si="318"/>
        <v>-19.319548255160129</v>
      </c>
      <c r="G1871" s="1">
        <f t="shared" si="315"/>
        <v>4.0703035614103579E-9</v>
      </c>
      <c r="H1871" s="1">
        <f t="shared" si="308"/>
        <v>4.1859370267004024E-11</v>
      </c>
      <c r="I1871">
        <f t="shared" si="309"/>
        <v>10</v>
      </c>
      <c r="J1871">
        <f t="shared" si="310"/>
        <v>1834</v>
      </c>
      <c r="K1871" s="5">
        <f t="shared" si="311"/>
        <v>0</v>
      </c>
      <c r="L1871">
        <f t="shared" si="312"/>
        <v>95</v>
      </c>
      <c r="M1871">
        <f t="shared" si="313"/>
        <v>1</v>
      </c>
      <c r="N1871">
        <f t="shared" si="314"/>
        <v>0</v>
      </c>
    </row>
    <row r="1872" spans="4:14" x14ac:dyDescent="0.2">
      <c r="D1872">
        <f t="shared" si="316"/>
        <v>1849</v>
      </c>
      <c r="E1872" s="1">
        <f t="shared" si="317"/>
        <v>-16.994309840497692</v>
      </c>
      <c r="F1872" s="1">
        <f t="shared" si="318"/>
        <v>-19.330019555027423</v>
      </c>
      <c r="G1872" s="1">
        <f t="shared" si="315"/>
        <v>4.0279045659790035E-9</v>
      </c>
      <c r="H1872" s="1">
        <f t="shared" si="308"/>
        <v>4.1423335160056098E-11</v>
      </c>
      <c r="I1872">
        <f t="shared" si="309"/>
        <v>10</v>
      </c>
      <c r="J1872">
        <f t="shared" si="310"/>
        <v>1835</v>
      </c>
      <c r="K1872" s="5">
        <f t="shared" si="311"/>
        <v>0</v>
      </c>
      <c r="L1872">
        <f t="shared" si="312"/>
        <v>95</v>
      </c>
      <c r="M1872">
        <f t="shared" si="313"/>
        <v>1</v>
      </c>
      <c r="N1872">
        <f t="shared" si="314"/>
        <v>0</v>
      </c>
    </row>
    <row r="1873" spans="4:14" x14ac:dyDescent="0.2">
      <c r="D1873">
        <f t="shared" si="316"/>
        <v>1850</v>
      </c>
      <c r="E1873" s="1">
        <f t="shared" si="317"/>
        <v>-17.004781140364987</v>
      </c>
      <c r="F1873" s="1">
        <f t="shared" si="318"/>
        <v>-19.340490854894718</v>
      </c>
      <c r="G1873" s="1">
        <f t="shared" si="315"/>
        <v>3.9859472267500596E-9</v>
      </c>
      <c r="H1873" s="1">
        <f t="shared" si="308"/>
        <v>4.0991842085472226E-11</v>
      </c>
      <c r="I1873">
        <f t="shared" si="309"/>
        <v>10</v>
      </c>
      <c r="J1873">
        <f t="shared" si="310"/>
        <v>1836</v>
      </c>
      <c r="K1873" s="5">
        <f t="shared" si="311"/>
        <v>0</v>
      </c>
      <c r="L1873">
        <f t="shared" si="312"/>
        <v>95</v>
      </c>
      <c r="M1873">
        <f t="shared" si="313"/>
        <v>1</v>
      </c>
      <c r="N1873">
        <f t="shared" si="314"/>
        <v>0</v>
      </c>
    </row>
    <row r="1874" spans="4:14" x14ac:dyDescent="0.2">
      <c r="D1874">
        <f t="shared" si="316"/>
        <v>1851</v>
      </c>
      <c r="E1874" s="1">
        <f t="shared" si="317"/>
        <v>-17.015252440232281</v>
      </c>
      <c r="F1874" s="1">
        <f t="shared" si="318"/>
        <v>-19.350962154762012</v>
      </c>
      <c r="G1874" s="1">
        <f t="shared" si="315"/>
        <v>3.9444269431380836E-9</v>
      </c>
      <c r="H1874" s="1">
        <f t="shared" si="308"/>
        <v>4.0564843730415258E-11</v>
      </c>
      <c r="I1874">
        <f t="shared" si="309"/>
        <v>10</v>
      </c>
      <c r="J1874">
        <f t="shared" si="310"/>
        <v>1837</v>
      </c>
      <c r="K1874" s="5">
        <f t="shared" si="311"/>
        <v>0</v>
      </c>
      <c r="L1874">
        <f t="shared" si="312"/>
        <v>95</v>
      </c>
      <c r="M1874">
        <f t="shared" si="313"/>
        <v>1</v>
      </c>
      <c r="N1874">
        <f t="shared" si="314"/>
        <v>0</v>
      </c>
    </row>
    <row r="1875" spans="4:14" x14ac:dyDescent="0.2">
      <c r="D1875">
        <f t="shared" si="316"/>
        <v>1852</v>
      </c>
      <c r="E1875" s="1">
        <f t="shared" si="317"/>
        <v>-17.025723740099576</v>
      </c>
      <c r="F1875" s="1">
        <f t="shared" si="318"/>
        <v>-19.361433454629307</v>
      </c>
      <c r="G1875" s="1">
        <f t="shared" si="315"/>
        <v>3.9033391624803994E-9</v>
      </c>
      <c r="H1875" s="1">
        <f t="shared" si="308"/>
        <v>4.0142293274890143E-11</v>
      </c>
      <c r="I1875">
        <f t="shared" si="309"/>
        <v>10</v>
      </c>
      <c r="J1875">
        <f t="shared" si="310"/>
        <v>1838</v>
      </c>
      <c r="K1875" s="5">
        <f t="shared" si="311"/>
        <v>0</v>
      </c>
      <c r="L1875">
        <f t="shared" si="312"/>
        <v>95</v>
      </c>
      <c r="M1875">
        <f t="shared" si="313"/>
        <v>1</v>
      </c>
      <c r="N1875">
        <f t="shared" si="314"/>
        <v>0</v>
      </c>
    </row>
    <row r="1876" spans="4:14" x14ac:dyDescent="0.2">
      <c r="D1876">
        <f t="shared" si="316"/>
        <v>1853</v>
      </c>
      <c r="E1876" s="1">
        <f t="shared" si="317"/>
        <v>-17.03619503996687</v>
      </c>
      <c r="F1876" s="1">
        <f t="shared" si="318"/>
        <v>-19.371904754496601</v>
      </c>
      <c r="G1876" s="1">
        <f t="shared" si="315"/>
        <v>3.8626793795378983E-9</v>
      </c>
      <c r="H1876" s="1">
        <f t="shared" si="308"/>
        <v>3.9724144386610066E-11</v>
      </c>
      <c r="I1876">
        <f t="shared" si="309"/>
        <v>10</v>
      </c>
      <c r="J1876">
        <f t="shared" si="310"/>
        <v>1839</v>
      </c>
      <c r="K1876" s="5">
        <f t="shared" si="311"/>
        <v>0</v>
      </c>
      <c r="L1876">
        <f t="shared" si="312"/>
        <v>95</v>
      </c>
      <c r="M1876">
        <f t="shared" si="313"/>
        <v>1</v>
      </c>
      <c r="N1876">
        <f t="shared" si="314"/>
        <v>0</v>
      </c>
    </row>
    <row r="1877" spans="4:14" x14ac:dyDescent="0.2">
      <c r="D1877">
        <f t="shared" si="316"/>
        <v>1854</v>
      </c>
      <c r="E1877" s="1">
        <f t="shared" si="317"/>
        <v>-17.046666339834164</v>
      </c>
      <c r="F1877" s="1">
        <f t="shared" si="318"/>
        <v>-19.382376054363895</v>
      </c>
      <c r="G1877" s="1">
        <f t="shared" si="315"/>
        <v>3.8224431360010493E-9</v>
      </c>
      <c r="H1877" s="1">
        <f t="shared" si="308"/>
        <v>3.9310351215916254E-11</v>
      </c>
      <c r="I1877">
        <f t="shared" si="309"/>
        <v>10</v>
      </c>
      <c r="J1877">
        <f t="shared" si="310"/>
        <v>1840</v>
      </c>
      <c r="K1877" s="5">
        <f t="shared" si="311"/>
        <v>0</v>
      </c>
      <c r="L1877">
        <f t="shared" si="312"/>
        <v>95</v>
      </c>
      <c r="M1877">
        <f t="shared" si="313"/>
        <v>1</v>
      </c>
      <c r="N1877">
        <f t="shared" si="314"/>
        <v>0</v>
      </c>
    </row>
    <row r="1878" spans="4:14" x14ac:dyDescent="0.2">
      <c r="D1878">
        <f t="shared" si="316"/>
        <v>1855</v>
      </c>
      <c r="E1878" s="1">
        <f t="shared" si="317"/>
        <v>-17.057137639701459</v>
      </c>
      <c r="F1878" s="1">
        <f t="shared" si="318"/>
        <v>-19.39284735423119</v>
      </c>
      <c r="G1878" s="1">
        <f t="shared" si="315"/>
        <v>3.7826260200010417E-9</v>
      </c>
      <c r="H1878" s="1">
        <f t="shared" si="308"/>
        <v>3.8900868390750499E-11</v>
      </c>
      <c r="I1878">
        <f t="shared" si="309"/>
        <v>10</v>
      </c>
      <c r="J1878">
        <f t="shared" si="310"/>
        <v>1841</v>
      </c>
      <c r="K1878" s="5">
        <f t="shared" si="311"/>
        <v>0</v>
      </c>
      <c r="L1878">
        <f t="shared" si="312"/>
        <v>95</v>
      </c>
      <c r="M1878">
        <f t="shared" si="313"/>
        <v>1</v>
      </c>
      <c r="N1878">
        <f t="shared" si="314"/>
        <v>0</v>
      </c>
    </row>
    <row r="1879" spans="4:14" x14ac:dyDescent="0.2">
      <c r="D1879">
        <f t="shared" si="316"/>
        <v>1856</v>
      </c>
      <c r="E1879" s="1">
        <f t="shared" si="317"/>
        <v>-17.067608939568753</v>
      </c>
      <c r="F1879" s="1">
        <f t="shared" si="318"/>
        <v>-19.403318654098484</v>
      </c>
      <c r="G1879" s="1">
        <f t="shared" si="315"/>
        <v>3.7432236656260342E-9</v>
      </c>
      <c r="H1879" s="1">
        <f t="shared" ref="H1879:H1942" si="319">G1879/$G$21</f>
        <v>3.8495651011680216E-11</v>
      </c>
      <c r="I1879">
        <f t="shared" ref="I1879:I1942" si="320">IF($F$11&lt;=D1879, IF(D1879&lt;=$A$15,D1879-$F$11,$C$11),0)</f>
        <v>10</v>
      </c>
      <c r="J1879">
        <f t="shared" ref="J1879:J1942" si="321">IF(D1879&lt;=$A$15,0,D1879-$A$15)</f>
        <v>1842</v>
      </c>
      <c r="K1879" s="5">
        <f t="shared" ref="K1879:K1942" si="322">IF(D1879&lt;$F$11,H1879,0)</f>
        <v>0</v>
      </c>
      <c r="L1879">
        <f t="shared" ref="L1879:L1942" si="323">IF(D1879&lt;$A$15,$D$11,$D$11*(1-$H$11))</f>
        <v>95</v>
      </c>
      <c r="M1879">
        <f t="shared" ref="M1879:M1942" si="324">IF(D1879&lt;$A$15,0,1)</f>
        <v>1</v>
      </c>
      <c r="N1879">
        <f t="shared" ref="N1879:N1942" si="325">IF(SUM(I1879:J1879)&lt;=($G$11/60*$F$11/($E$11/60)),1,0)</f>
        <v>0</v>
      </c>
    </row>
    <row r="1880" spans="4:14" x14ac:dyDescent="0.2">
      <c r="D1880">
        <f t="shared" si="316"/>
        <v>1857</v>
      </c>
      <c r="E1880" s="1">
        <f t="shared" si="317"/>
        <v>-17.078080239436048</v>
      </c>
      <c r="F1880" s="1">
        <f t="shared" si="318"/>
        <v>-19.413789953965779</v>
      </c>
      <c r="G1880" s="1">
        <f t="shared" ref="G1880:G1943" si="326">EXP(F1880)</f>
        <v>3.7042317524424334E-9</v>
      </c>
      <c r="H1880" s="1">
        <f t="shared" si="319"/>
        <v>3.8094654646975251E-11</v>
      </c>
      <c r="I1880">
        <f t="shared" si="320"/>
        <v>10</v>
      </c>
      <c r="J1880">
        <f t="shared" si="321"/>
        <v>1843</v>
      </c>
      <c r="K1880" s="5">
        <f t="shared" si="322"/>
        <v>0</v>
      </c>
      <c r="L1880">
        <f t="shared" si="323"/>
        <v>95</v>
      </c>
      <c r="M1880">
        <f t="shared" si="324"/>
        <v>1</v>
      </c>
      <c r="N1880">
        <f t="shared" si="325"/>
        <v>0</v>
      </c>
    </row>
    <row r="1881" spans="4:14" x14ac:dyDescent="0.2">
      <c r="D1881">
        <f t="shared" ref="D1881:D1944" si="327">1+D1880</f>
        <v>1858</v>
      </c>
      <c r="E1881" s="1">
        <f t="shared" ref="E1881:E1944" si="328">IF($H$11=1,IF(D1881&lt;=$A$15, E1880+LN($D$11)-LN(60/$E$11)-LN(MIN(D1881,$F$11)), E1880-LN(60/$E$11)-LN(MIN(D1881,$F$11))), IF(D1881&lt;=$A$15, E1880+LN($D$11)-LN(60/$E$11)-LN(MIN(D1881,$F$11)), E1880+LN($D$11)+LN(1-$H$11)-LN(60/$E$11)-LN(MIN(D1881,$F$11))))</f>
        <v>-17.088551539303342</v>
      </c>
      <c r="F1881" s="1">
        <f t="shared" ref="F1881:F1944" si="329">E1881-$E$21</f>
        <v>-19.424261253833073</v>
      </c>
      <c r="G1881" s="1">
        <f t="shared" si="326"/>
        <v>3.6656460050211617E-9</v>
      </c>
      <c r="H1881" s="1">
        <f t="shared" si="319"/>
        <v>3.7697835327735964E-11</v>
      </c>
      <c r="I1881">
        <f t="shared" si="320"/>
        <v>10</v>
      </c>
      <c r="J1881">
        <f t="shared" si="321"/>
        <v>1844</v>
      </c>
      <c r="K1881" s="5">
        <f t="shared" si="322"/>
        <v>0</v>
      </c>
      <c r="L1881">
        <f t="shared" si="323"/>
        <v>95</v>
      </c>
      <c r="M1881">
        <f t="shared" si="324"/>
        <v>1</v>
      </c>
      <c r="N1881">
        <f t="shared" si="325"/>
        <v>0</v>
      </c>
    </row>
    <row r="1882" spans="4:14" x14ac:dyDescent="0.2">
      <c r="D1882">
        <f t="shared" si="327"/>
        <v>1859</v>
      </c>
      <c r="E1882" s="1">
        <f t="shared" si="328"/>
        <v>-17.099022839170637</v>
      </c>
      <c r="F1882" s="1">
        <f t="shared" si="329"/>
        <v>-19.434732553700368</v>
      </c>
      <c r="G1882" s="1">
        <f t="shared" si="326"/>
        <v>3.6274621924688614E-9</v>
      </c>
      <c r="H1882" s="1">
        <f t="shared" si="319"/>
        <v>3.7305149543072083E-11</v>
      </c>
      <c r="I1882">
        <f t="shared" si="320"/>
        <v>10</v>
      </c>
      <c r="J1882">
        <f t="shared" si="321"/>
        <v>1845</v>
      </c>
      <c r="K1882" s="5">
        <f t="shared" si="322"/>
        <v>0</v>
      </c>
      <c r="L1882">
        <f t="shared" si="323"/>
        <v>95</v>
      </c>
      <c r="M1882">
        <f t="shared" si="324"/>
        <v>1</v>
      </c>
      <c r="N1882">
        <f t="shared" si="325"/>
        <v>0</v>
      </c>
    </row>
    <row r="1883" spans="4:14" x14ac:dyDescent="0.2">
      <c r="D1883">
        <f t="shared" si="327"/>
        <v>1860</v>
      </c>
      <c r="E1883" s="1">
        <f t="shared" si="328"/>
        <v>-17.109494139037931</v>
      </c>
      <c r="F1883" s="1">
        <f t="shared" si="329"/>
        <v>-19.445203853567662</v>
      </c>
      <c r="G1883" s="1">
        <f t="shared" si="326"/>
        <v>3.5896761279639808E-9</v>
      </c>
      <c r="H1883" s="1">
        <f t="shared" si="319"/>
        <v>3.6916554235331781E-11</v>
      </c>
      <c r="I1883">
        <f t="shared" si="320"/>
        <v>10</v>
      </c>
      <c r="J1883">
        <f t="shared" si="321"/>
        <v>1846</v>
      </c>
      <c r="K1883" s="5">
        <f t="shared" si="322"/>
        <v>0</v>
      </c>
      <c r="L1883">
        <f t="shared" si="323"/>
        <v>95</v>
      </c>
      <c r="M1883">
        <f t="shared" si="324"/>
        <v>1</v>
      </c>
      <c r="N1883">
        <f t="shared" si="325"/>
        <v>0</v>
      </c>
    </row>
    <row r="1884" spans="4:14" x14ac:dyDescent="0.2">
      <c r="D1884">
        <f t="shared" si="327"/>
        <v>1861</v>
      </c>
      <c r="E1884" s="1">
        <f t="shared" si="328"/>
        <v>-17.119965438905226</v>
      </c>
      <c r="F1884" s="1">
        <f t="shared" si="329"/>
        <v>-19.455675153434957</v>
      </c>
      <c r="G1884" s="1">
        <f t="shared" si="326"/>
        <v>3.5522836682976926E-9</v>
      </c>
      <c r="H1884" s="1">
        <f t="shared" si="319"/>
        <v>3.6532006795380439E-11</v>
      </c>
      <c r="I1884">
        <f t="shared" si="320"/>
        <v>10</v>
      </c>
      <c r="J1884">
        <f t="shared" si="321"/>
        <v>1847</v>
      </c>
      <c r="K1884" s="5">
        <f t="shared" si="322"/>
        <v>0</v>
      </c>
      <c r="L1884">
        <f t="shared" si="323"/>
        <v>95</v>
      </c>
      <c r="M1884">
        <f t="shared" si="324"/>
        <v>1</v>
      </c>
      <c r="N1884">
        <f t="shared" si="325"/>
        <v>0</v>
      </c>
    </row>
    <row r="1885" spans="4:14" x14ac:dyDescent="0.2">
      <c r="D1885">
        <f t="shared" si="327"/>
        <v>1862</v>
      </c>
      <c r="E1885" s="1">
        <f t="shared" si="328"/>
        <v>-17.13043673877252</v>
      </c>
      <c r="F1885" s="1">
        <f t="shared" si="329"/>
        <v>-19.466146453302251</v>
      </c>
      <c r="G1885" s="1">
        <f t="shared" si="326"/>
        <v>3.5152807134195952E-9</v>
      </c>
      <c r="H1885" s="1">
        <f t="shared" si="319"/>
        <v>3.6151465057928601E-11</v>
      </c>
      <c r="I1885">
        <f t="shared" si="320"/>
        <v>10</v>
      </c>
      <c r="J1885">
        <f t="shared" si="321"/>
        <v>1848</v>
      </c>
      <c r="K1885" s="5">
        <f t="shared" si="322"/>
        <v>0</v>
      </c>
      <c r="L1885">
        <f t="shared" si="323"/>
        <v>95</v>
      </c>
      <c r="M1885">
        <f t="shared" si="324"/>
        <v>1</v>
      </c>
      <c r="N1885">
        <f t="shared" si="325"/>
        <v>0</v>
      </c>
    </row>
    <row r="1886" spans="4:14" x14ac:dyDescent="0.2">
      <c r="D1886">
        <f t="shared" si="327"/>
        <v>1863</v>
      </c>
      <c r="E1886" s="1">
        <f t="shared" si="328"/>
        <v>-17.140908038639814</v>
      </c>
      <c r="F1886" s="1">
        <f t="shared" si="329"/>
        <v>-19.476617753169545</v>
      </c>
      <c r="G1886" s="1">
        <f t="shared" si="326"/>
        <v>3.4786632059881443E-9</v>
      </c>
      <c r="H1886" s="1">
        <f t="shared" si="319"/>
        <v>3.5774887296908545E-11</v>
      </c>
      <c r="I1886">
        <f t="shared" si="320"/>
        <v>10</v>
      </c>
      <c r="J1886">
        <f t="shared" si="321"/>
        <v>1849</v>
      </c>
      <c r="K1886" s="5">
        <f t="shared" si="322"/>
        <v>0</v>
      </c>
      <c r="L1886">
        <f t="shared" si="323"/>
        <v>95</v>
      </c>
      <c r="M1886">
        <f t="shared" si="324"/>
        <v>1</v>
      </c>
      <c r="N1886">
        <f t="shared" si="325"/>
        <v>0</v>
      </c>
    </row>
    <row r="1887" spans="4:14" x14ac:dyDescent="0.2">
      <c r="D1887">
        <f t="shared" si="327"/>
        <v>1864</v>
      </c>
      <c r="E1887" s="1">
        <f t="shared" si="328"/>
        <v>-17.151379338507109</v>
      </c>
      <c r="F1887" s="1">
        <f t="shared" si="329"/>
        <v>-19.48708905303684</v>
      </c>
      <c r="G1887" s="1">
        <f t="shared" si="326"/>
        <v>3.4424271309257713E-9</v>
      </c>
      <c r="H1887" s="1">
        <f t="shared" si="319"/>
        <v>3.5402232220899117E-11</v>
      </c>
      <c r="I1887">
        <f t="shared" si="320"/>
        <v>10</v>
      </c>
      <c r="J1887">
        <f t="shared" si="321"/>
        <v>1850</v>
      </c>
      <c r="K1887" s="5">
        <f t="shared" si="322"/>
        <v>0</v>
      </c>
      <c r="L1887">
        <f t="shared" si="323"/>
        <v>95</v>
      </c>
      <c r="M1887">
        <f t="shared" si="324"/>
        <v>1</v>
      </c>
      <c r="N1887">
        <f t="shared" si="325"/>
        <v>0</v>
      </c>
    </row>
    <row r="1888" spans="4:14" x14ac:dyDescent="0.2">
      <c r="D1888">
        <f t="shared" si="327"/>
        <v>1865</v>
      </c>
      <c r="E1888" s="1">
        <f t="shared" si="328"/>
        <v>-17.161850638374403</v>
      </c>
      <c r="F1888" s="1">
        <f t="shared" si="329"/>
        <v>-19.497560352904134</v>
      </c>
      <c r="G1888" s="1">
        <f t="shared" si="326"/>
        <v>3.4065685149786309E-9</v>
      </c>
      <c r="H1888" s="1">
        <f t="shared" si="319"/>
        <v>3.5033458968598111E-11</v>
      </c>
      <c r="I1888">
        <f t="shared" si="320"/>
        <v>10</v>
      </c>
      <c r="J1888">
        <f t="shared" si="321"/>
        <v>1851</v>
      </c>
      <c r="K1888" s="5">
        <f t="shared" si="322"/>
        <v>0</v>
      </c>
      <c r="L1888">
        <f t="shared" si="323"/>
        <v>95</v>
      </c>
      <c r="M1888">
        <f t="shared" si="324"/>
        <v>1</v>
      </c>
      <c r="N1888">
        <f t="shared" si="325"/>
        <v>0</v>
      </c>
    </row>
    <row r="1889" spans="4:14" x14ac:dyDescent="0.2">
      <c r="D1889">
        <f t="shared" si="327"/>
        <v>1866</v>
      </c>
      <c r="E1889" s="1">
        <f t="shared" si="328"/>
        <v>-17.172321938241698</v>
      </c>
      <c r="F1889" s="1">
        <f t="shared" si="329"/>
        <v>-19.508031652771429</v>
      </c>
      <c r="G1889" s="1">
        <f t="shared" si="326"/>
        <v>3.3710834262809402E-9</v>
      </c>
      <c r="H1889" s="1">
        <f t="shared" si="319"/>
        <v>3.4668527104341917E-11</v>
      </c>
      <c r="I1889">
        <f t="shared" si="320"/>
        <v>10</v>
      </c>
      <c r="J1889">
        <f t="shared" si="321"/>
        <v>1852</v>
      </c>
      <c r="K1889" s="5">
        <f t="shared" si="322"/>
        <v>0</v>
      </c>
      <c r="L1889">
        <f t="shared" si="323"/>
        <v>95</v>
      </c>
      <c r="M1889">
        <f t="shared" si="324"/>
        <v>1</v>
      </c>
      <c r="N1889">
        <f t="shared" si="325"/>
        <v>0</v>
      </c>
    </row>
    <row r="1890" spans="4:14" x14ac:dyDescent="0.2">
      <c r="D1890">
        <f t="shared" si="327"/>
        <v>1867</v>
      </c>
      <c r="E1890" s="1">
        <f t="shared" si="328"/>
        <v>-17.182793238108992</v>
      </c>
      <c r="F1890" s="1">
        <f t="shared" si="329"/>
        <v>-19.518502952638723</v>
      </c>
      <c r="G1890" s="1">
        <f t="shared" si="326"/>
        <v>3.3359679739238502E-9</v>
      </c>
      <c r="H1890" s="1">
        <f t="shared" si="319"/>
        <v>3.4307396613671724E-11</v>
      </c>
      <c r="I1890">
        <f t="shared" si="320"/>
        <v>10</v>
      </c>
      <c r="J1890">
        <f t="shared" si="321"/>
        <v>1853</v>
      </c>
      <c r="K1890" s="5">
        <f t="shared" si="322"/>
        <v>0</v>
      </c>
      <c r="L1890">
        <f t="shared" si="323"/>
        <v>95</v>
      </c>
      <c r="M1890">
        <f t="shared" si="324"/>
        <v>1</v>
      </c>
      <c r="N1890">
        <f t="shared" si="325"/>
        <v>0</v>
      </c>
    </row>
    <row r="1891" spans="4:14" x14ac:dyDescent="0.2">
      <c r="D1891">
        <f t="shared" si="327"/>
        <v>1868</v>
      </c>
      <c r="E1891" s="1">
        <f t="shared" si="328"/>
        <v>-17.193264537976287</v>
      </c>
      <c r="F1891" s="1">
        <f t="shared" si="329"/>
        <v>-19.528974252506018</v>
      </c>
      <c r="G1891" s="1">
        <f t="shared" si="326"/>
        <v>3.3012183075288132E-9</v>
      </c>
      <c r="H1891" s="1">
        <f t="shared" si="319"/>
        <v>3.3950027898946007E-11</v>
      </c>
      <c r="I1891">
        <f t="shared" si="320"/>
        <v>10</v>
      </c>
      <c r="J1891">
        <f t="shared" si="321"/>
        <v>1854</v>
      </c>
      <c r="K1891" s="5">
        <f t="shared" si="322"/>
        <v>0</v>
      </c>
      <c r="L1891">
        <f t="shared" si="323"/>
        <v>95</v>
      </c>
      <c r="M1891">
        <f t="shared" si="324"/>
        <v>1</v>
      </c>
      <c r="N1891">
        <f t="shared" si="325"/>
        <v>0</v>
      </c>
    </row>
    <row r="1892" spans="4:14" x14ac:dyDescent="0.2">
      <c r="D1892">
        <f t="shared" si="327"/>
        <v>1869</v>
      </c>
      <c r="E1892" s="1">
        <f t="shared" si="328"/>
        <v>-17.203735837843581</v>
      </c>
      <c r="F1892" s="1">
        <f t="shared" si="329"/>
        <v>-19.539445552373312</v>
      </c>
      <c r="G1892" s="1">
        <f t="shared" si="326"/>
        <v>3.2668306168253911E-9</v>
      </c>
      <c r="H1892" s="1">
        <f t="shared" si="319"/>
        <v>3.3596381774998683E-11</v>
      </c>
      <c r="I1892">
        <f t="shared" si="320"/>
        <v>10</v>
      </c>
      <c r="J1892">
        <f t="shared" si="321"/>
        <v>1855</v>
      </c>
      <c r="K1892" s="5">
        <f t="shared" si="322"/>
        <v>0</v>
      </c>
      <c r="L1892">
        <f t="shared" si="323"/>
        <v>95</v>
      </c>
      <c r="M1892">
        <f t="shared" si="324"/>
        <v>1</v>
      </c>
      <c r="N1892">
        <f t="shared" si="325"/>
        <v>0</v>
      </c>
    </row>
    <row r="1893" spans="4:14" x14ac:dyDescent="0.2">
      <c r="D1893">
        <f t="shared" si="327"/>
        <v>1870</v>
      </c>
      <c r="E1893" s="1">
        <f t="shared" si="328"/>
        <v>-17.214207137710876</v>
      </c>
      <c r="F1893" s="1">
        <f t="shared" si="329"/>
        <v>-19.549916852240607</v>
      </c>
      <c r="G1893" s="1">
        <f t="shared" si="326"/>
        <v>3.2328011312334633E-9</v>
      </c>
      <c r="H1893" s="1">
        <f t="shared" si="319"/>
        <v>3.3246419464842484E-11</v>
      </c>
      <c r="I1893">
        <f t="shared" si="320"/>
        <v>10</v>
      </c>
      <c r="J1893">
        <f t="shared" si="321"/>
        <v>1856</v>
      </c>
      <c r="K1893" s="5">
        <f t="shared" si="322"/>
        <v>0</v>
      </c>
      <c r="L1893">
        <f t="shared" si="323"/>
        <v>95</v>
      </c>
      <c r="M1893">
        <f t="shared" si="324"/>
        <v>1</v>
      </c>
      <c r="N1893">
        <f t="shared" si="325"/>
        <v>0</v>
      </c>
    </row>
    <row r="1894" spans="4:14" x14ac:dyDescent="0.2">
      <c r="D1894">
        <f t="shared" si="327"/>
        <v>1871</v>
      </c>
      <c r="E1894" s="1">
        <f t="shared" si="328"/>
        <v>-17.22467843757817</v>
      </c>
      <c r="F1894" s="1">
        <f t="shared" si="329"/>
        <v>-19.560388152107901</v>
      </c>
      <c r="G1894" s="1">
        <f t="shared" si="326"/>
        <v>3.1991261194497842E-9</v>
      </c>
      <c r="H1894" s="1">
        <f t="shared" si="319"/>
        <v>3.2900102595417069E-11</v>
      </c>
      <c r="I1894">
        <f t="shared" si="320"/>
        <v>10</v>
      </c>
      <c r="J1894">
        <f t="shared" si="321"/>
        <v>1857</v>
      </c>
      <c r="K1894" s="5">
        <f t="shared" si="322"/>
        <v>0</v>
      </c>
      <c r="L1894">
        <f t="shared" si="323"/>
        <v>95</v>
      </c>
      <c r="M1894">
        <f t="shared" si="324"/>
        <v>1</v>
      </c>
      <c r="N1894">
        <f t="shared" si="325"/>
        <v>0</v>
      </c>
    </row>
    <row r="1895" spans="4:14" x14ac:dyDescent="0.2">
      <c r="D1895">
        <f t="shared" si="327"/>
        <v>1872</v>
      </c>
      <c r="E1895" s="1">
        <f t="shared" si="328"/>
        <v>-17.235149737445465</v>
      </c>
      <c r="F1895" s="1">
        <f t="shared" si="329"/>
        <v>-19.570859451975195</v>
      </c>
      <c r="G1895" s="1">
        <f t="shared" si="326"/>
        <v>3.165801889038852E-9</v>
      </c>
      <c r="H1895" s="1">
        <f t="shared" si="319"/>
        <v>3.2557393193381504E-11</v>
      </c>
      <c r="I1895">
        <f t="shared" si="320"/>
        <v>10</v>
      </c>
      <c r="J1895">
        <f t="shared" si="321"/>
        <v>1858</v>
      </c>
      <c r="K1895" s="5">
        <f t="shared" si="322"/>
        <v>0</v>
      </c>
      <c r="L1895">
        <f t="shared" si="323"/>
        <v>95</v>
      </c>
      <c r="M1895">
        <f t="shared" si="324"/>
        <v>1</v>
      </c>
      <c r="N1895">
        <f t="shared" si="325"/>
        <v>0</v>
      </c>
    </row>
    <row r="1896" spans="4:14" x14ac:dyDescent="0.2">
      <c r="D1896">
        <f t="shared" si="327"/>
        <v>1873</v>
      </c>
      <c r="E1896" s="1">
        <f t="shared" si="328"/>
        <v>-17.245621037312759</v>
      </c>
      <c r="F1896" s="1">
        <f t="shared" si="329"/>
        <v>-19.58133075184249</v>
      </c>
      <c r="G1896" s="1">
        <f t="shared" si="326"/>
        <v>3.1328247860280338E-9</v>
      </c>
      <c r="H1896" s="1">
        <f t="shared" si="319"/>
        <v>3.2218253680950479E-11</v>
      </c>
      <c r="I1896">
        <f t="shared" si="320"/>
        <v>10</v>
      </c>
      <c r="J1896">
        <f t="shared" si="321"/>
        <v>1859</v>
      </c>
      <c r="K1896" s="5">
        <f t="shared" si="322"/>
        <v>0</v>
      </c>
      <c r="L1896">
        <f t="shared" si="323"/>
        <v>95</v>
      </c>
      <c r="M1896">
        <f t="shared" si="324"/>
        <v>1</v>
      </c>
      <c r="N1896">
        <f t="shared" si="325"/>
        <v>0</v>
      </c>
    </row>
    <row r="1897" spans="4:14" x14ac:dyDescent="0.2">
      <c r="D1897">
        <f t="shared" si="327"/>
        <v>1874</v>
      </c>
      <c r="E1897" s="1">
        <f t="shared" si="328"/>
        <v>-17.256092337180053</v>
      </c>
      <c r="F1897" s="1">
        <f t="shared" si="329"/>
        <v>-19.591802051709784</v>
      </c>
      <c r="G1897" s="1">
        <f t="shared" si="326"/>
        <v>3.1001911945069113E-9</v>
      </c>
      <c r="H1897" s="1">
        <f t="shared" si="319"/>
        <v>3.1882646871773945E-11</v>
      </c>
      <c r="I1897">
        <f t="shared" si="320"/>
        <v>10</v>
      </c>
      <c r="J1897">
        <f t="shared" si="321"/>
        <v>1860</v>
      </c>
      <c r="K1897" s="5">
        <f t="shared" si="322"/>
        <v>0</v>
      </c>
      <c r="L1897">
        <f t="shared" si="323"/>
        <v>95</v>
      </c>
      <c r="M1897">
        <f t="shared" si="324"/>
        <v>1</v>
      </c>
      <c r="N1897">
        <f t="shared" si="325"/>
        <v>0</v>
      </c>
    </row>
    <row r="1898" spans="4:14" x14ac:dyDescent="0.2">
      <c r="D1898">
        <f t="shared" si="327"/>
        <v>1875</v>
      </c>
      <c r="E1898" s="1">
        <f t="shared" si="328"/>
        <v>-17.266563637047348</v>
      </c>
      <c r="F1898" s="1">
        <f t="shared" si="329"/>
        <v>-19.602273351577079</v>
      </c>
      <c r="G1898" s="1">
        <f t="shared" si="326"/>
        <v>3.0678975362308005E-9</v>
      </c>
      <c r="H1898" s="1">
        <f t="shared" si="319"/>
        <v>3.1550535966859658E-11</v>
      </c>
      <c r="I1898">
        <f t="shared" si="320"/>
        <v>10</v>
      </c>
      <c r="J1898">
        <f t="shared" si="321"/>
        <v>1861</v>
      </c>
      <c r="K1898" s="5">
        <f t="shared" si="322"/>
        <v>0</v>
      </c>
      <c r="L1898">
        <f t="shared" si="323"/>
        <v>95</v>
      </c>
      <c r="M1898">
        <f t="shared" si="324"/>
        <v>1</v>
      </c>
      <c r="N1898">
        <f t="shared" si="325"/>
        <v>0</v>
      </c>
    </row>
    <row r="1899" spans="4:14" x14ac:dyDescent="0.2">
      <c r="D1899">
        <f t="shared" si="327"/>
        <v>1876</v>
      </c>
      <c r="E1899" s="1">
        <f t="shared" si="328"/>
        <v>-17.277034936914642</v>
      </c>
      <c r="F1899" s="1">
        <f t="shared" si="329"/>
        <v>-19.612744651444373</v>
      </c>
      <c r="G1899" s="1">
        <f t="shared" si="326"/>
        <v>3.0359402702283994E-9</v>
      </c>
      <c r="H1899" s="1">
        <f t="shared" si="319"/>
        <v>3.1221884550538237E-11</v>
      </c>
      <c r="I1899">
        <f t="shared" si="320"/>
        <v>10</v>
      </c>
      <c r="J1899">
        <f t="shared" si="321"/>
        <v>1862</v>
      </c>
      <c r="K1899" s="5">
        <f t="shared" si="322"/>
        <v>0</v>
      </c>
      <c r="L1899">
        <f t="shared" si="323"/>
        <v>95</v>
      </c>
      <c r="M1899">
        <f t="shared" si="324"/>
        <v>1</v>
      </c>
      <c r="N1899">
        <f t="shared" si="325"/>
        <v>0</v>
      </c>
    </row>
    <row r="1900" spans="4:14" x14ac:dyDescent="0.2">
      <c r="D1900">
        <f t="shared" si="327"/>
        <v>1877</v>
      </c>
      <c r="E1900" s="1">
        <f t="shared" si="328"/>
        <v>-17.287506236781937</v>
      </c>
      <c r="F1900" s="1">
        <f t="shared" si="329"/>
        <v>-19.623215951311668</v>
      </c>
      <c r="G1900" s="1">
        <f t="shared" si="326"/>
        <v>3.0043158924135231E-9</v>
      </c>
      <c r="H1900" s="1">
        <f t="shared" si="319"/>
        <v>3.0896656586470162E-11</v>
      </c>
      <c r="I1900">
        <f t="shared" si="320"/>
        <v>10</v>
      </c>
      <c r="J1900">
        <f t="shared" si="321"/>
        <v>1863</v>
      </c>
      <c r="K1900" s="5">
        <f t="shared" si="322"/>
        <v>0</v>
      </c>
      <c r="L1900">
        <f t="shared" si="323"/>
        <v>95</v>
      </c>
      <c r="M1900">
        <f t="shared" si="324"/>
        <v>1</v>
      </c>
      <c r="N1900">
        <f t="shared" si="325"/>
        <v>0</v>
      </c>
    </row>
    <row r="1901" spans="4:14" x14ac:dyDescent="0.2">
      <c r="D1901">
        <f t="shared" si="327"/>
        <v>1878</v>
      </c>
      <c r="E1901" s="1">
        <f t="shared" si="328"/>
        <v>-17.297977536649231</v>
      </c>
      <c r="F1901" s="1">
        <f t="shared" si="329"/>
        <v>-19.633687251178962</v>
      </c>
      <c r="G1901" s="1">
        <f t="shared" si="326"/>
        <v>2.9730209352008848E-9</v>
      </c>
      <c r="H1901" s="1">
        <f t="shared" si="319"/>
        <v>3.0574816413694452E-11</v>
      </c>
      <c r="I1901">
        <f t="shared" si="320"/>
        <v>10</v>
      </c>
      <c r="J1901">
        <f t="shared" si="321"/>
        <v>1864</v>
      </c>
      <c r="K1901" s="5">
        <f t="shared" si="322"/>
        <v>0</v>
      </c>
      <c r="L1901">
        <f t="shared" si="323"/>
        <v>95</v>
      </c>
      <c r="M1901">
        <f t="shared" si="324"/>
        <v>1</v>
      </c>
      <c r="N1901">
        <f t="shared" si="325"/>
        <v>0</v>
      </c>
    </row>
    <row r="1902" spans="4:14" x14ac:dyDescent="0.2">
      <c r="D1902">
        <f t="shared" si="327"/>
        <v>1879</v>
      </c>
      <c r="E1902" s="1">
        <f t="shared" si="328"/>
        <v>-17.308448836516526</v>
      </c>
      <c r="F1902" s="1">
        <f t="shared" si="329"/>
        <v>-19.644158551046257</v>
      </c>
      <c r="G1902" s="1">
        <f t="shared" si="326"/>
        <v>2.9420519671258787E-9</v>
      </c>
      <c r="H1902" s="1">
        <f t="shared" si="319"/>
        <v>3.0256328742718506E-11</v>
      </c>
      <c r="I1902">
        <f t="shared" si="320"/>
        <v>10</v>
      </c>
      <c r="J1902">
        <f t="shared" si="321"/>
        <v>1865</v>
      </c>
      <c r="K1902" s="5">
        <f t="shared" si="322"/>
        <v>0</v>
      </c>
      <c r="L1902">
        <f t="shared" si="323"/>
        <v>95</v>
      </c>
      <c r="M1902">
        <f t="shared" si="324"/>
        <v>1</v>
      </c>
      <c r="N1902">
        <f t="shared" si="325"/>
        <v>0</v>
      </c>
    </row>
    <row r="1903" spans="4:14" x14ac:dyDescent="0.2">
      <c r="D1903">
        <f t="shared" si="327"/>
        <v>1880</v>
      </c>
      <c r="E1903" s="1">
        <f t="shared" si="328"/>
        <v>-17.31892013638382</v>
      </c>
      <c r="F1903" s="1">
        <f t="shared" si="329"/>
        <v>-19.654629850913551</v>
      </c>
      <c r="G1903" s="1">
        <f t="shared" si="326"/>
        <v>2.9114055924683202E-9</v>
      </c>
      <c r="H1903" s="1">
        <f t="shared" si="319"/>
        <v>2.9941158651648549E-11</v>
      </c>
      <c r="I1903">
        <f t="shared" si="320"/>
        <v>10</v>
      </c>
      <c r="J1903">
        <f t="shared" si="321"/>
        <v>1866</v>
      </c>
      <c r="K1903" s="5">
        <f t="shared" si="322"/>
        <v>0</v>
      </c>
      <c r="L1903">
        <f t="shared" si="323"/>
        <v>95</v>
      </c>
      <c r="M1903">
        <f t="shared" si="324"/>
        <v>1</v>
      </c>
      <c r="N1903">
        <f t="shared" si="325"/>
        <v>0</v>
      </c>
    </row>
    <row r="1904" spans="4:14" x14ac:dyDescent="0.2">
      <c r="D1904">
        <f t="shared" si="327"/>
        <v>1881</v>
      </c>
      <c r="E1904" s="1">
        <f t="shared" si="328"/>
        <v>-17.329391436251115</v>
      </c>
      <c r="F1904" s="1">
        <f t="shared" si="329"/>
        <v>-19.665101150780846</v>
      </c>
      <c r="G1904" s="1">
        <f t="shared" si="326"/>
        <v>2.8810784508801111E-9</v>
      </c>
      <c r="H1904" s="1">
        <f t="shared" si="319"/>
        <v>2.9629271582360566E-11</v>
      </c>
      <c r="I1904">
        <f t="shared" si="320"/>
        <v>10</v>
      </c>
      <c r="J1904">
        <f t="shared" si="321"/>
        <v>1867</v>
      </c>
      <c r="K1904" s="5">
        <f t="shared" si="322"/>
        <v>0</v>
      </c>
      <c r="L1904">
        <f t="shared" si="323"/>
        <v>95</v>
      </c>
      <c r="M1904">
        <f t="shared" si="324"/>
        <v>1</v>
      </c>
      <c r="N1904">
        <f t="shared" si="325"/>
        <v>0</v>
      </c>
    </row>
    <row r="1905" spans="4:14" x14ac:dyDescent="0.2">
      <c r="D1905">
        <f t="shared" si="327"/>
        <v>1882</v>
      </c>
      <c r="E1905" s="1">
        <f t="shared" si="328"/>
        <v>-17.339862736118409</v>
      </c>
      <c r="F1905" s="1">
        <f t="shared" si="329"/>
        <v>-19.67557245064814</v>
      </c>
      <c r="G1905" s="1">
        <f t="shared" si="326"/>
        <v>2.8510672170167795E-9</v>
      </c>
      <c r="H1905" s="1">
        <f t="shared" si="319"/>
        <v>2.9320633336711008E-11</v>
      </c>
      <c r="I1905">
        <f t="shared" si="320"/>
        <v>10</v>
      </c>
      <c r="J1905">
        <f t="shared" si="321"/>
        <v>1868</v>
      </c>
      <c r="K1905" s="5">
        <f t="shared" si="322"/>
        <v>0</v>
      </c>
      <c r="L1905">
        <f t="shared" si="323"/>
        <v>95</v>
      </c>
      <c r="M1905">
        <f t="shared" si="324"/>
        <v>1</v>
      </c>
      <c r="N1905">
        <f t="shared" si="325"/>
        <v>0</v>
      </c>
    </row>
    <row r="1906" spans="4:14" x14ac:dyDescent="0.2">
      <c r="D1906">
        <f t="shared" si="327"/>
        <v>1883</v>
      </c>
      <c r="E1906" s="1">
        <f t="shared" si="328"/>
        <v>-17.350334035985703</v>
      </c>
      <c r="F1906" s="1">
        <f t="shared" si="329"/>
        <v>-19.686043750515434</v>
      </c>
      <c r="G1906" s="1">
        <f t="shared" si="326"/>
        <v>2.8213686001728573E-9</v>
      </c>
      <c r="H1906" s="1">
        <f t="shared" si="319"/>
        <v>2.9015210072786961E-11</v>
      </c>
      <c r="I1906">
        <f t="shared" si="320"/>
        <v>10</v>
      </c>
      <c r="J1906">
        <f t="shared" si="321"/>
        <v>1869</v>
      </c>
      <c r="K1906" s="5">
        <f t="shared" si="322"/>
        <v>0</v>
      </c>
      <c r="L1906">
        <f t="shared" si="323"/>
        <v>95</v>
      </c>
      <c r="M1906">
        <f t="shared" si="324"/>
        <v>1</v>
      </c>
      <c r="N1906">
        <f t="shared" si="325"/>
        <v>0</v>
      </c>
    </row>
    <row r="1907" spans="4:14" x14ac:dyDescent="0.2">
      <c r="D1907">
        <f t="shared" si="327"/>
        <v>1884</v>
      </c>
      <c r="E1907" s="1">
        <f t="shared" si="328"/>
        <v>-17.360805335852998</v>
      </c>
      <c r="F1907" s="1">
        <f t="shared" si="329"/>
        <v>-19.696515050382729</v>
      </c>
      <c r="G1907" s="1">
        <f t="shared" si="326"/>
        <v>2.7919793439210595E-9</v>
      </c>
      <c r="H1907" s="1">
        <f t="shared" si="319"/>
        <v>2.8712968301195461E-11</v>
      </c>
      <c r="I1907">
        <f t="shared" si="320"/>
        <v>10</v>
      </c>
      <c r="J1907">
        <f t="shared" si="321"/>
        <v>1870</v>
      </c>
      <c r="K1907" s="5">
        <f t="shared" si="322"/>
        <v>0</v>
      </c>
      <c r="L1907">
        <f t="shared" si="323"/>
        <v>95</v>
      </c>
      <c r="M1907">
        <f t="shared" si="324"/>
        <v>1</v>
      </c>
      <c r="N1907">
        <f t="shared" si="325"/>
        <v>0</v>
      </c>
    </row>
    <row r="1908" spans="4:14" x14ac:dyDescent="0.2">
      <c r="D1908">
        <f t="shared" si="327"/>
        <v>1885</v>
      </c>
      <c r="E1908" s="1">
        <f t="shared" si="328"/>
        <v>-17.371276635720292</v>
      </c>
      <c r="F1908" s="1">
        <f t="shared" si="329"/>
        <v>-19.706986350250023</v>
      </c>
      <c r="G1908" s="1">
        <f t="shared" si="326"/>
        <v>2.7628962257552176E-9</v>
      </c>
      <c r="H1908" s="1">
        <f t="shared" si="319"/>
        <v>2.8413874881391366E-11</v>
      </c>
      <c r="I1908">
        <f t="shared" si="320"/>
        <v>10</v>
      </c>
      <c r="J1908">
        <f t="shared" si="321"/>
        <v>1871</v>
      </c>
      <c r="K1908" s="5">
        <f t="shared" si="322"/>
        <v>0</v>
      </c>
      <c r="L1908">
        <f t="shared" si="323"/>
        <v>95</v>
      </c>
      <c r="M1908">
        <f t="shared" si="324"/>
        <v>1</v>
      </c>
      <c r="N1908">
        <f t="shared" si="325"/>
        <v>0</v>
      </c>
    </row>
    <row r="1909" spans="4:14" x14ac:dyDescent="0.2">
      <c r="D1909">
        <f t="shared" si="327"/>
        <v>1886</v>
      </c>
      <c r="E1909" s="1">
        <f t="shared" si="328"/>
        <v>-17.381747935587587</v>
      </c>
      <c r="F1909" s="1">
        <f t="shared" si="329"/>
        <v>-19.717457650117318</v>
      </c>
      <c r="G1909" s="1">
        <f t="shared" si="326"/>
        <v>2.734116056736937E-9</v>
      </c>
      <c r="H1909" s="1">
        <f t="shared" si="319"/>
        <v>2.8117897018043568E-11</v>
      </c>
      <c r="I1909">
        <f t="shared" si="320"/>
        <v>10</v>
      </c>
      <c r="J1909">
        <f t="shared" si="321"/>
        <v>1872</v>
      </c>
      <c r="K1909" s="5">
        <f t="shared" si="322"/>
        <v>0</v>
      </c>
      <c r="L1909">
        <f t="shared" si="323"/>
        <v>95</v>
      </c>
      <c r="M1909">
        <f t="shared" si="324"/>
        <v>1</v>
      </c>
      <c r="N1909">
        <f t="shared" si="325"/>
        <v>0</v>
      </c>
    </row>
    <row r="1910" spans="4:14" x14ac:dyDescent="0.2">
      <c r="D1910">
        <f t="shared" si="327"/>
        <v>1887</v>
      </c>
      <c r="E1910" s="1">
        <f t="shared" si="328"/>
        <v>-17.392219235454881</v>
      </c>
      <c r="F1910" s="1">
        <f t="shared" si="329"/>
        <v>-19.727928949984612</v>
      </c>
      <c r="G1910" s="1">
        <f t="shared" si="326"/>
        <v>2.7056356811459297E-9</v>
      </c>
      <c r="H1910" s="1">
        <f t="shared" si="319"/>
        <v>2.7825002257438972E-11</v>
      </c>
      <c r="I1910">
        <f t="shared" si="320"/>
        <v>10</v>
      </c>
      <c r="J1910">
        <f t="shared" si="321"/>
        <v>1873</v>
      </c>
      <c r="K1910" s="5">
        <f t="shared" si="322"/>
        <v>0</v>
      </c>
      <c r="L1910">
        <f t="shared" si="323"/>
        <v>95</v>
      </c>
      <c r="M1910">
        <f t="shared" si="324"/>
        <v>1</v>
      </c>
      <c r="N1910">
        <f t="shared" si="325"/>
        <v>0</v>
      </c>
    </row>
    <row r="1911" spans="4:14" x14ac:dyDescent="0.2">
      <c r="D1911">
        <f t="shared" si="327"/>
        <v>1888</v>
      </c>
      <c r="E1911" s="1">
        <f t="shared" si="328"/>
        <v>-17.402690535322176</v>
      </c>
      <c r="F1911" s="1">
        <f t="shared" si="329"/>
        <v>-19.738400249851907</v>
      </c>
      <c r="G1911" s="1">
        <f t="shared" si="326"/>
        <v>2.6774519761339954E-9</v>
      </c>
      <c r="H1911" s="1">
        <f t="shared" si="319"/>
        <v>2.7535158483924009E-11</v>
      </c>
      <c r="I1911">
        <f t="shared" si="320"/>
        <v>10</v>
      </c>
      <c r="J1911">
        <f t="shared" si="321"/>
        <v>1874</v>
      </c>
      <c r="K1911" s="5">
        <f t="shared" si="322"/>
        <v>0</v>
      </c>
      <c r="L1911">
        <f t="shared" si="323"/>
        <v>95</v>
      </c>
      <c r="M1911">
        <f t="shared" si="324"/>
        <v>1</v>
      </c>
      <c r="N1911">
        <f t="shared" si="325"/>
        <v>0</v>
      </c>
    </row>
    <row r="1912" spans="4:14" x14ac:dyDescent="0.2">
      <c r="D1912">
        <f t="shared" si="327"/>
        <v>1889</v>
      </c>
      <c r="E1912" s="1">
        <f t="shared" si="328"/>
        <v>-17.41316183518947</v>
      </c>
      <c r="F1912" s="1">
        <f t="shared" si="329"/>
        <v>-19.748871549719201</v>
      </c>
      <c r="G1912" s="1">
        <f t="shared" si="326"/>
        <v>2.6495618513826021E-9</v>
      </c>
      <c r="H1912" s="1">
        <f t="shared" si="319"/>
        <v>2.7248333916383159E-11</v>
      </c>
      <c r="I1912">
        <f t="shared" si="320"/>
        <v>10</v>
      </c>
      <c r="J1912">
        <f t="shared" si="321"/>
        <v>1875</v>
      </c>
      <c r="K1912" s="5">
        <f t="shared" si="322"/>
        <v>0</v>
      </c>
      <c r="L1912">
        <f t="shared" si="323"/>
        <v>95</v>
      </c>
      <c r="M1912">
        <f t="shared" si="324"/>
        <v>1</v>
      </c>
      <c r="N1912">
        <f t="shared" si="325"/>
        <v>0</v>
      </c>
    </row>
    <row r="1913" spans="4:14" x14ac:dyDescent="0.2">
      <c r="D1913">
        <f t="shared" si="327"/>
        <v>1890</v>
      </c>
      <c r="E1913" s="1">
        <f t="shared" si="328"/>
        <v>-17.423633135056765</v>
      </c>
      <c r="F1913" s="1">
        <f t="shared" si="329"/>
        <v>-19.759342849586496</v>
      </c>
      <c r="G1913" s="1">
        <f t="shared" si="326"/>
        <v>2.621962248764036E-9</v>
      </c>
      <c r="H1913" s="1">
        <f t="shared" si="319"/>
        <v>2.6964497104754196E-11</v>
      </c>
      <c r="I1913">
        <f t="shared" si="320"/>
        <v>10</v>
      </c>
      <c r="J1913">
        <f t="shared" si="321"/>
        <v>1876</v>
      </c>
      <c r="K1913" s="5">
        <f t="shared" si="322"/>
        <v>0</v>
      </c>
      <c r="L1913">
        <f t="shared" si="323"/>
        <v>95</v>
      </c>
      <c r="M1913">
        <f t="shared" si="324"/>
        <v>1</v>
      </c>
      <c r="N1913">
        <f t="shared" si="325"/>
        <v>0</v>
      </c>
    </row>
    <row r="1914" spans="4:14" x14ac:dyDescent="0.2">
      <c r="D1914">
        <f t="shared" si="327"/>
        <v>1891</v>
      </c>
      <c r="E1914" s="1">
        <f t="shared" si="328"/>
        <v>-17.434104434924059</v>
      </c>
      <c r="F1914" s="1">
        <f t="shared" si="329"/>
        <v>-19.76981414945379</v>
      </c>
      <c r="G1914" s="1">
        <f t="shared" si="326"/>
        <v>2.5946501420060798E-9</v>
      </c>
      <c r="H1914" s="1">
        <f t="shared" si="319"/>
        <v>2.66836169265797E-11</v>
      </c>
      <c r="I1914">
        <f t="shared" si="320"/>
        <v>10</v>
      </c>
      <c r="J1914">
        <f t="shared" si="321"/>
        <v>1877</v>
      </c>
      <c r="K1914" s="5">
        <f t="shared" si="322"/>
        <v>0</v>
      </c>
      <c r="L1914">
        <f t="shared" si="323"/>
        <v>95</v>
      </c>
      <c r="M1914">
        <f t="shared" si="324"/>
        <v>1</v>
      </c>
      <c r="N1914">
        <f t="shared" si="325"/>
        <v>0</v>
      </c>
    </row>
    <row r="1915" spans="4:14" x14ac:dyDescent="0.2">
      <c r="D1915">
        <f t="shared" si="327"/>
        <v>1892</v>
      </c>
      <c r="E1915" s="1">
        <f t="shared" si="328"/>
        <v>-17.444575734791353</v>
      </c>
      <c r="F1915" s="1">
        <f t="shared" si="329"/>
        <v>-19.780285449321084</v>
      </c>
      <c r="G1915" s="1">
        <f t="shared" si="326"/>
        <v>2.5676225363601853E-9</v>
      </c>
      <c r="H1915" s="1">
        <f t="shared" si="319"/>
        <v>2.6405662583594517E-11</v>
      </c>
      <c r="I1915">
        <f t="shared" si="320"/>
        <v>10</v>
      </c>
      <c r="J1915">
        <f t="shared" si="321"/>
        <v>1878</v>
      </c>
      <c r="K1915" s="5">
        <f t="shared" si="322"/>
        <v>0</v>
      </c>
      <c r="L1915">
        <f t="shared" si="323"/>
        <v>95</v>
      </c>
      <c r="M1915">
        <f t="shared" si="324"/>
        <v>1</v>
      </c>
      <c r="N1915">
        <f t="shared" si="325"/>
        <v>0</v>
      </c>
    </row>
    <row r="1916" spans="4:14" x14ac:dyDescent="0.2">
      <c r="D1916">
        <f t="shared" si="327"/>
        <v>1893</v>
      </c>
      <c r="E1916" s="1">
        <f t="shared" si="328"/>
        <v>-17.455047034658648</v>
      </c>
      <c r="F1916" s="1">
        <f t="shared" si="329"/>
        <v>-19.790756749188379</v>
      </c>
      <c r="G1916" s="1">
        <f t="shared" si="326"/>
        <v>2.5408764682731027E-9</v>
      </c>
      <c r="H1916" s="1">
        <f t="shared" si="319"/>
        <v>2.6130603598348767E-11</v>
      </c>
      <c r="I1916">
        <f t="shared" si="320"/>
        <v>10</v>
      </c>
      <c r="J1916">
        <f t="shared" si="321"/>
        <v>1879</v>
      </c>
      <c r="K1916" s="5">
        <f t="shared" si="322"/>
        <v>0</v>
      </c>
      <c r="L1916">
        <f t="shared" si="323"/>
        <v>95</v>
      </c>
      <c r="M1916">
        <f t="shared" si="324"/>
        <v>1</v>
      </c>
      <c r="N1916">
        <f t="shared" si="325"/>
        <v>0</v>
      </c>
    </row>
    <row r="1917" spans="4:14" x14ac:dyDescent="0.2">
      <c r="D1917">
        <f t="shared" si="327"/>
        <v>1894</v>
      </c>
      <c r="E1917" s="1">
        <f t="shared" si="328"/>
        <v>-17.465518334525942</v>
      </c>
      <c r="F1917" s="1">
        <f t="shared" si="329"/>
        <v>-19.801228049055673</v>
      </c>
      <c r="G1917" s="1">
        <f t="shared" si="326"/>
        <v>2.5144090050619267E-9</v>
      </c>
      <c r="H1917" s="1">
        <f t="shared" si="319"/>
        <v>2.5858409810865991E-11</v>
      </c>
      <c r="I1917">
        <f t="shared" si="320"/>
        <v>10</v>
      </c>
      <c r="J1917">
        <f t="shared" si="321"/>
        <v>1880</v>
      </c>
      <c r="K1917" s="5">
        <f t="shared" si="322"/>
        <v>0</v>
      </c>
      <c r="L1917">
        <f t="shared" si="323"/>
        <v>95</v>
      </c>
      <c r="M1917">
        <f t="shared" si="324"/>
        <v>1</v>
      </c>
      <c r="N1917">
        <f t="shared" si="325"/>
        <v>0</v>
      </c>
    </row>
    <row r="1918" spans="4:14" x14ac:dyDescent="0.2">
      <c r="D1918">
        <f t="shared" si="327"/>
        <v>1895</v>
      </c>
      <c r="E1918" s="1">
        <f t="shared" si="328"/>
        <v>-17.475989634393237</v>
      </c>
      <c r="F1918" s="1">
        <f t="shared" si="329"/>
        <v>-19.811699348922968</v>
      </c>
      <c r="G1918" s="1">
        <f t="shared" si="326"/>
        <v>2.4882172445925341E-9</v>
      </c>
      <c r="H1918" s="1">
        <f t="shared" si="319"/>
        <v>2.558905137533616E-11</v>
      </c>
      <c r="I1918">
        <f t="shared" si="320"/>
        <v>10</v>
      </c>
      <c r="J1918">
        <f t="shared" si="321"/>
        <v>1881</v>
      </c>
      <c r="K1918" s="5">
        <f t="shared" si="322"/>
        <v>0</v>
      </c>
      <c r="L1918">
        <f t="shared" si="323"/>
        <v>95</v>
      </c>
      <c r="M1918">
        <f t="shared" si="324"/>
        <v>1</v>
      </c>
      <c r="N1918">
        <f t="shared" si="325"/>
        <v>0</v>
      </c>
    </row>
    <row r="1919" spans="4:14" x14ac:dyDescent="0.2">
      <c r="D1919">
        <f t="shared" si="327"/>
        <v>1896</v>
      </c>
      <c r="E1919" s="1">
        <f t="shared" si="328"/>
        <v>-17.486460934260531</v>
      </c>
      <c r="F1919" s="1">
        <f t="shared" si="329"/>
        <v>-19.822170648790262</v>
      </c>
      <c r="G1919" s="1">
        <f t="shared" si="326"/>
        <v>2.4622983149613642E-9</v>
      </c>
      <c r="H1919" s="1">
        <f t="shared" si="319"/>
        <v>2.53224987568431E-11</v>
      </c>
      <c r="I1919">
        <f t="shared" si="320"/>
        <v>10</v>
      </c>
      <c r="J1919">
        <f t="shared" si="321"/>
        <v>1882</v>
      </c>
      <c r="K1919" s="5">
        <f t="shared" si="322"/>
        <v>0</v>
      </c>
      <c r="L1919">
        <f t="shared" si="323"/>
        <v>95</v>
      </c>
      <c r="M1919">
        <f t="shared" si="324"/>
        <v>1</v>
      </c>
      <c r="N1919">
        <f t="shared" si="325"/>
        <v>0</v>
      </c>
    </row>
    <row r="1920" spans="4:14" x14ac:dyDescent="0.2">
      <c r="D1920">
        <f t="shared" si="327"/>
        <v>1897</v>
      </c>
      <c r="E1920" s="1">
        <f t="shared" si="328"/>
        <v>-17.496932234127826</v>
      </c>
      <c r="F1920" s="1">
        <f t="shared" si="329"/>
        <v>-19.832641948657557</v>
      </c>
      <c r="G1920" s="1">
        <f t="shared" si="326"/>
        <v>2.4366493741805193E-9</v>
      </c>
      <c r="H1920" s="1">
        <f t="shared" si="319"/>
        <v>2.5058722728126013E-11</v>
      </c>
      <c r="I1920">
        <f t="shared" si="320"/>
        <v>10</v>
      </c>
      <c r="J1920">
        <f t="shared" si="321"/>
        <v>1883</v>
      </c>
      <c r="K1920" s="5">
        <f t="shared" si="322"/>
        <v>0</v>
      </c>
      <c r="L1920">
        <f t="shared" si="323"/>
        <v>95</v>
      </c>
      <c r="M1920">
        <f t="shared" si="324"/>
        <v>1</v>
      </c>
      <c r="N1920">
        <f t="shared" si="325"/>
        <v>0</v>
      </c>
    </row>
    <row r="1921" spans="4:14" x14ac:dyDescent="0.2">
      <c r="D1921">
        <f t="shared" si="327"/>
        <v>1898</v>
      </c>
      <c r="E1921" s="1">
        <f t="shared" si="328"/>
        <v>-17.50740353399512</v>
      </c>
      <c r="F1921" s="1">
        <f t="shared" si="329"/>
        <v>-19.843113248524851</v>
      </c>
      <c r="G1921" s="1">
        <f t="shared" si="326"/>
        <v>2.4112676098661411E-9</v>
      </c>
      <c r="H1921" s="1">
        <f t="shared" si="319"/>
        <v>2.4797694366374722E-11</v>
      </c>
      <c r="I1921">
        <f t="shared" si="320"/>
        <v>10</v>
      </c>
      <c r="J1921">
        <f t="shared" si="321"/>
        <v>1884</v>
      </c>
      <c r="K1921" s="5">
        <f t="shared" si="322"/>
        <v>0</v>
      </c>
      <c r="L1921">
        <f t="shared" si="323"/>
        <v>95</v>
      </c>
      <c r="M1921">
        <f t="shared" si="324"/>
        <v>1</v>
      </c>
      <c r="N1921">
        <f t="shared" si="325"/>
        <v>0</v>
      </c>
    </row>
    <row r="1922" spans="4:14" x14ac:dyDescent="0.2">
      <c r="D1922">
        <f t="shared" si="327"/>
        <v>1899</v>
      </c>
      <c r="E1922" s="1">
        <f t="shared" si="328"/>
        <v>-17.517874833862415</v>
      </c>
      <c r="F1922" s="1">
        <f t="shared" si="329"/>
        <v>-19.853584548392146</v>
      </c>
      <c r="G1922" s="1">
        <f t="shared" si="326"/>
        <v>2.3861502389300376E-9</v>
      </c>
      <c r="H1922" s="1">
        <f t="shared" si="319"/>
        <v>2.4539385050058341E-11</v>
      </c>
      <c r="I1922">
        <f t="shared" si="320"/>
        <v>10</v>
      </c>
      <c r="J1922">
        <f t="shared" si="321"/>
        <v>1885</v>
      </c>
      <c r="K1922" s="5">
        <f t="shared" si="322"/>
        <v>0</v>
      </c>
      <c r="L1922">
        <f t="shared" si="323"/>
        <v>95</v>
      </c>
      <c r="M1922">
        <f t="shared" si="324"/>
        <v>1</v>
      </c>
      <c r="N1922">
        <f t="shared" si="325"/>
        <v>0</v>
      </c>
    </row>
    <row r="1923" spans="4:14" x14ac:dyDescent="0.2">
      <c r="D1923">
        <f t="shared" si="327"/>
        <v>1900</v>
      </c>
      <c r="E1923" s="1">
        <f t="shared" si="328"/>
        <v>-17.528346133729709</v>
      </c>
      <c r="F1923" s="1">
        <f t="shared" si="329"/>
        <v>-19.86405584825944</v>
      </c>
      <c r="G1923" s="1">
        <f t="shared" si="326"/>
        <v>2.3612945072745187E-9</v>
      </c>
      <c r="H1923" s="1">
        <f t="shared" si="319"/>
        <v>2.4283766455786924E-11</v>
      </c>
      <c r="I1923">
        <f t="shared" si="320"/>
        <v>10</v>
      </c>
      <c r="J1923">
        <f t="shared" si="321"/>
        <v>1886</v>
      </c>
      <c r="K1923" s="5">
        <f t="shared" si="322"/>
        <v>0</v>
      </c>
      <c r="L1923">
        <f t="shared" si="323"/>
        <v>95</v>
      </c>
      <c r="M1923">
        <f t="shared" si="324"/>
        <v>1</v>
      </c>
      <c r="N1923">
        <f t="shared" si="325"/>
        <v>0</v>
      </c>
    </row>
    <row r="1924" spans="4:14" x14ac:dyDescent="0.2">
      <c r="D1924">
        <f t="shared" si="327"/>
        <v>1901</v>
      </c>
      <c r="E1924" s="1">
        <f t="shared" si="328"/>
        <v>-17.538817433597004</v>
      </c>
      <c r="F1924" s="1">
        <f t="shared" si="329"/>
        <v>-19.874527148126734</v>
      </c>
      <c r="G1924" s="1">
        <f t="shared" si="326"/>
        <v>2.3366976894904115E-9</v>
      </c>
      <c r="H1924" s="1">
        <f t="shared" si="319"/>
        <v>2.4030810555205833E-11</v>
      </c>
      <c r="I1924">
        <f t="shared" si="320"/>
        <v>10</v>
      </c>
      <c r="J1924">
        <f t="shared" si="321"/>
        <v>1887</v>
      </c>
      <c r="K1924" s="5">
        <f t="shared" si="322"/>
        <v>0</v>
      </c>
      <c r="L1924">
        <f t="shared" si="323"/>
        <v>95</v>
      </c>
      <c r="M1924">
        <f t="shared" si="324"/>
        <v>1</v>
      </c>
      <c r="N1924">
        <f t="shared" si="325"/>
        <v>0</v>
      </c>
    </row>
    <row r="1925" spans="4:14" x14ac:dyDescent="0.2">
      <c r="D1925">
        <f t="shared" si="327"/>
        <v>1902</v>
      </c>
      <c r="E1925" s="1">
        <f t="shared" si="328"/>
        <v>-17.549288733464298</v>
      </c>
      <c r="F1925" s="1">
        <f t="shared" si="329"/>
        <v>-19.884998447994029</v>
      </c>
      <c r="G1925" s="1">
        <f t="shared" si="326"/>
        <v>2.3123570885582218E-9</v>
      </c>
      <c r="H1925" s="1">
        <f t="shared" si="319"/>
        <v>2.3780489611922464E-11</v>
      </c>
      <c r="I1925">
        <f t="shared" si="320"/>
        <v>10</v>
      </c>
      <c r="J1925">
        <f t="shared" si="321"/>
        <v>1888</v>
      </c>
      <c r="K1925" s="5">
        <f t="shared" si="322"/>
        <v>0</v>
      </c>
      <c r="L1925">
        <f t="shared" si="323"/>
        <v>95</v>
      </c>
      <c r="M1925">
        <f t="shared" si="324"/>
        <v>1</v>
      </c>
      <c r="N1925">
        <f t="shared" si="325"/>
        <v>0</v>
      </c>
    </row>
    <row r="1926" spans="4:14" x14ac:dyDescent="0.2">
      <c r="D1926">
        <f t="shared" si="327"/>
        <v>1903</v>
      </c>
      <c r="E1926" s="1">
        <f t="shared" si="328"/>
        <v>-17.559760033331592</v>
      </c>
      <c r="F1926" s="1">
        <f t="shared" si="329"/>
        <v>-19.895469747861323</v>
      </c>
      <c r="G1926" s="1">
        <f t="shared" si="326"/>
        <v>2.2882700355524093E-9</v>
      </c>
      <c r="H1926" s="1">
        <f t="shared" si="319"/>
        <v>2.3532776178464959E-11</v>
      </c>
      <c r="I1926">
        <f t="shared" si="320"/>
        <v>10</v>
      </c>
      <c r="J1926">
        <f t="shared" si="321"/>
        <v>1889</v>
      </c>
      <c r="K1926" s="5">
        <f t="shared" si="322"/>
        <v>0</v>
      </c>
      <c r="L1926">
        <f t="shared" si="323"/>
        <v>95</v>
      </c>
      <c r="M1926">
        <f t="shared" si="324"/>
        <v>1</v>
      </c>
      <c r="N1926">
        <f t="shared" si="325"/>
        <v>0</v>
      </c>
    </row>
    <row r="1927" spans="4:14" x14ac:dyDescent="0.2">
      <c r="D1927">
        <f t="shared" si="327"/>
        <v>1904</v>
      </c>
      <c r="E1927" s="1">
        <f t="shared" si="328"/>
        <v>-17.570231333198887</v>
      </c>
      <c r="F1927" s="1">
        <f t="shared" si="329"/>
        <v>-19.905941047728618</v>
      </c>
      <c r="G1927" s="1">
        <f t="shared" si="326"/>
        <v>2.2644338893487404E-9</v>
      </c>
      <c r="H1927" s="1">
        <f t="shared" si="319"/>
        <v>2.3287643093272638E-11</v>
      </c>
      <c r="I1927">
        <f t="shared" si="320"/>
        <v>10</v>
      </c>
      <c r="J1927">
        <f t="shared" si="321"/>
        <v>1890</v>
      </c>
      <c r="K1927" s="5">
        <f t="shared" si="322"/>
        <v>0</v>
      </c>
      <c r="L1927">
        <f t="shared" si="323"/>
        <v>95</v>
      </c>
      <c r="M1927">
        <f t="shared" si="324"/>
        <v>1</v>
      </c>
      <c r="N1927">
        <f t="shared" si="325"/>
        <v>0</v>
      </c>
    </row>
    <row r="1928" spans="4:14" x14ac:dyDescent="0.2">
      <c r="D1928">
        <f t="shared" si="327"/>
        <v>1905</v>
      </c>
      <c r="E1928" s="1">
        <f t="shared" si="328"/>
        <v>-17.580702633066181</v>
      </c>
      <c r="F1928" s="1">
        <f t="shared" si="329"/>
        <v>-19.916412347595912</v>
      </c>
      <c r="G1928" s="1">
        <f t="shared" si="326"/>
        <v>2.2408460363346931E-9</v>
      </c>
      <c r="H1928" s="1">
        <f t="shared" si="319"/>
        <v>2.3045063477717736E-11</v>
      </c>
      <c r="I1928">
        <f t="shared" si="320"/>
        <v>10</v>
      </c>
      <c r="J1928">
        <f t="shared" si="321"/>
        <v>1891</v>
      </c>
      <c r="K1928" s="5">
        <f t="shared" si="322"/>
        <v>0</v>
      </c>
      <c r="L1928">
        <f t="shared" si="323"/>
        <v>95</v>
      </c>
      <c r="M1928">
        <f t="shared" si="324"/>
        <v>1</v>
      </c>
      <c r="N1928">
        <f t="shared" si="325"/>
        <v>0</v>
      </c>
    </row>
    <row r="1929" spans="4:14" x14ac:dyDescent="0.2">
      <c r="D1929">
        <f t="shared" si="327"/>
        <v>1906</v>
      </c>
      <c r="E1929" s="1">
        <f t="shared" si="328"/>
        <v>-17.591173932933476</v>
      </c>
      <c r="F1929" s="1">
        <f t="shared" si="329"/>
        <v>-19.926883647463207</v>
      </c>
      <c r="G1929" s="1">
        <f t="shared" si="326"/>
        <v>2.2175038901228756E-9</v>
      </c>
      <c r="H1929" s="1">
        <f t="shared" si="319"/>
        <v>2.2805010733158199E-11</v>
      </c>
      <c r="I1929">
        <f t="shared" si="320"/>
        <v>10</v>
      </c>
      <c r="J1929">
        <f t="shared" si="321"/>
        <v>1892</v>
      </c>
      <c r="K1929" s="5">
        <f t="shared" si="322"/>
        <v>0</v>
      </c>
      <c r="L1929">
        <f t="shared" si="323"/>
        <v>95</v>
      </c>
      <c r="M1929">
        <f t="shared" si="324"/>
        <v>1</v>
      </c>
      <c r="N1929">
        <f t="shared" si="325"/>
        <v>0</v>
      </c>
    </row>
    <row r="1930" spans="4:14" x14ac:dyDescent="0.2">
      <c r="D1930">
        <f t="shared" si="327"/>
        <v>1907</v>
      </c>
      <c r="E1930" s="1">
        <f t="shared" si="328"/>
        <v>-17.60164523280077</v>
      </c>
      <c r="F1930" s="1">
        <f t="shared" si="329"/>
        <v>-19.937354947330501</v>
      </c>
      <c r="G1930" s="1">
        <f t="shared" si="326"/>
        <v>2.1944048912674312E-9</v>
      </c>
      <c r="H1930" s="1">
        <f t="shared" si="319"/>
        <v>2.2567458538021156E-11</v>
      </c>
      <c r="I1930">
        <f t="shared" si="320"/>
        <v>10</v>
      </c>
      <c r="J1930">
        <f t="shared" si="321"/>
        <v>1893</v>
      </c>
      <c r="K1930" s="5">
        <f t="shared" si="322"/>
        <v>0</v>
      </c>
      <c r="L1930">
        <f t="shared" si="323"/>
        <v>95</v>
      </c>
      <c r="M1930">
        <f t="shared" si="324"/>
        <v>1</v>
      </c>
      <c r="N1930">
        <f t="shared" si="325"/>
        <v>0</v>
      </c>
    </row>
    <row r="1931" spans="4:14" x14ac:dyDescent="0.2">
      <c r="D1931">
        <f t="shared" si="327"/>
        <v>1908</v>
      </c>
      <c r="E1931" s="1">
        <f t="shared" si="328"/>
        <v>-17.612116532668065</v>
      </c>
      <c r="F1931" s="1">
        <f t="shared" si="329"/>
        <v>-19.947826247197796</v>
      </c>
      <c r="G1931" s="1">
        <f t="shared" si="326"/>
        <v>2.1715465069833972E-9</v>
      </c>
      <c r="H1931" s="1">
        <f t="shared" si="319"/>
        <v>2.2332380844916786E-11</v>
      </c>
      <c r="I1931">
        <f t="shared" si="320"/>
        <v>10</v>
      </c>
      <c r="J1931">
        <f t="shared" si="321"/>
        <v>1894</v>
      </c>
      <c r="K1931" s="5">
        <f t="shared" si="322"/>
        <v>0</v>
      </c>
      <c r="L1931">
        <f t="shared" si="323"/>
        <v>95</v>
      </c>
      <c r="M1931">
        <f t="shared" si="324"/>
        <v>1</v>
      </c>
      <c r="N1931">
        <f t="shared" si="325"/>
        <v>0</v>
      </c>
    </row>
    <row r="1932" spans="4:14" x14ac:dyDescent="0.2">
      <c r="D1932">
        <f t="shared" si="327"/>
        <v>1909</v>
      </c>
      <c r="E1932" s="1">
        <f t="shared" si="328"/>
        <v>-17.622587832535359</v>
      </c>
      <c r="F1932" s="1">
        <f t="shared" si="329"/>
        <v>-19.95829754706509</v>
      </c>
      <c r="G1932" s="1">
        <f t="shared" si="326"/>
        <v>2.1489262308689891E-9</v>
      </c>
      <c r="H1932" s="1">
        <f t="shared" si="319"/>
        <v>2.209975187778226E-11</v>
      </c>
      <c r="I1932">
        <f t="shared" si="320"/>
        <v>10</v>
      </c>
      <c r="J1932">
        <f t="shared" si="321"/>
        <v>1895</v>
      </c>
      <c r="K1932" s="5">
        <f t="shared" si="322"/>
        <v>0</v>
      </c>
      <c r="L1932">
        <f t="shared" si="323"/>
        <v>95</v>
      </c>
      <c r="M1932">
        <f t="shared" si="324"/>
        <v>1</v>
      </c>
      <c r="N1932">
        <f t="shared" si="325"/>
        <v>0</v>
      </c>
    </row>
    <row r="1933" spans="4:14" x14ac:dyDescent="0.2">
      <c r="D1933">
        <f t="shared" si="327"/>
        <v>1910</v>
      </c>
      <c r="E1933" s="1">
        <f t="shared" si="328"/>
        <v>-17.633059132402654</v>
      </c>
      <c r="F1933" s="1">
        <f t="shared" si="329"/>
        <v>-19.968768846932385</v>
      </c>
      <c r="G1933" s="1">
        <f t="shared" si="326"/>
        <v>2.1265415826307722E-9</v>
      </c>
      <c r="H1933" s="1">
        <f t="shared" si="319"/>
        <v>2.1869546129055382E-11</v>
      </c>
      <c r="I1933">
        <f t="shared" si="320"/>
        <v>10</v>
      </c>
      <c r="J1933">
        <f t="shared" si="321"/>
        <v>1896</v>
      </c>
      <c r="K1933" s="5">
        <f t="shared" si="322"/>
        <v>0</v>
      </c>
      <c r="L1933">
        <f t="shared" si="323"/>
        <v>95</v>
      </c>
      <c r="M1933">
        <f t="shared" si="324"/>
        <v>1</v>
      </c>
      <c r="N1933">
        <f t="shared" si="325"/>
        <v>0</v>
      </c>
    </row>
    <row r="1934" spans="4:14" x14ac:dyDescent="0.2">
      <c r="D1934">
        <f t="shared" si="327"/>
        <v>1911</v>
      </c>
      <c r="E1934" s="1">
        <f t="shared" si="328"/>
        <v>-17.643530432269948</v>
      </c>
      <c r="F1934" s="1">
        <f t="shared" si="329"/>
        <v>-19.979240146799679</v>
      </c>
      <c r="G1934" s="1">
        <f t="shared" si="326"/>
        <v>2.1043901078117039E-9</v>
      </c>
      <c r="H1934" s="1">
        <f t="shared" si="319"/>
        <v>2.1641738356877744E-11</v>
      </c>
      <c r="I1934">
        <f t="shared" si="320"/>
        <v>10</v>
      </c>
      <c r="J1934">
        <f t="shared" si="321"/>
        <v>1897</v>
      </c>
      <c r="K1934" s="5">
        <f t="shared" si="322"/>
        <v>0</v>
      </c>
      <c r="L1934">
        <f t="shared" si="323"/>
        <v>95</v>
      </c>
      <c r="M1934">
        <f t="shared" si="324"/>
        <v>1</v>
      </c>
      <c r="N1934">
        <f t="shared" si="325"/>
        <v>0</v>
      </c>
    </row>
    <row r="1935" spans="4:14" x14ac:dyDescent="0.2">
      <c r="D1935">
        <f t="shared" si="327"/>
        <v>1912</v>
      </c>
      <c r="E1935" s="1">
        <f t="shared" si="328"/>
        <v>-17.654001732137242</v>
      </c>
      <c r="F1935" s="1">
        <f t="shared" si="329"/>
        <v>-19.989711446666973</v>
      </c>
      <c r="G1935" s="1">
        <f t="shared" si="326"/>
        <v>2.0824693775220004E-9</v>
      </c>
      <c r="H1935" s="1">
        <f t="shared" si="319"/>
        <v>2.1416303582326951E-11</v>
      </c>
      <c r="I1935">
        <f t="shared" si="320"/>
        <v>10</v>
      </c>
      <c r="J1935">
        <f t="shared" si="321"/>
        <v>1898</v>
      </c>
      <c r="K1935" s="5">
        <f t="shared" si="322"/>
        <v>0</v>
      </c>
      <c r="L1935">
        <f t="shared" si="323"/>
        <v>95</v>
      </c>
      <c r="M1935">
        <f t="shared" si="324"/>
        <v>1</v>
      </c>
      <c r="N1935">
        <f t="shared" si="325"/>
        <v>0</v>
      </c>
    </row>
    <row r="1936" spans="4:14" x14ac:dyDescent="0.2">
      <c r="D1936">
        <f t="shared" si="327"/>
        <v>1913</v>
      </c>
      <c r="E1936" s="1">
        <f t="shared" si="328"/>
        <v>-17.664473032004537</v>
      </c>
      <c r="F1936" s="1">
        <f t="shared" si="329"/>
        <v>-20.000182746534268</v>
      </c>
      <c r="G1936" s="1">
        <f t="shared" si="326"/>
        <v>2.0607769881728151E-9</v>
      </c>
      <c r="H1936" s="1">
        <f t="shared" si="319"/>
        <v>2.1193217086677735E-11</v>
      </c>
      <c r="I1936">
        <f t="shared" si="320"/>
        <v>10</v>
      </c>
      <c r="J1936">
        <f t="shared" si="321"/>
        <v>1899</v>
      </c>
      <c r="K1936" s="5">
        <f t="shared" si="322"/>
        <v>0</v>
      </c>
      <c r="L1936">
        <f t="shared" si="323"/>
        <v>95</v>
      </c>
      <c r="M1936">
        <f t="shared" si="324"/>
        <v>1</v>
      </c>
      <c r="N1936">
        <f t="shared" si="325"/>
        <v>0</v>
      </c>
    </row>
    <row r="1937" spans="4:14" x14ac:dyDescent="0.2">
      <c r="D1937">
        <f t="shared" si="327"/>
        <v>1914</v>
      </c>
      <c r="E1937" s="1">
        <f t="shared" si="328"/>
        <v>-17.674944331871831</v>
      </c>
      <c r="F1937" s="1">
        <f t="shared" si="329"/>
        <v>-20.010654046401562</v>
      </c>
      <c r="G1937" s="1">
        <f t="shared" si="326"/>
        <v>2.0393105612126837E-9</v>
      </c>
      <c r="H1937" s="1">
        <f t="shared" si="319"/>
        <v>2.097245440869153E-11</v>
      </c>
      <c r="I1937">
        <f t="shared" si="320"/>
        <v>10</v>
      </c>
      <c r="J1937">
        <f t="shared" si="321"/>
        <v>1900</v>
      </c>
      <c r="K1937" s="5">
        <f t="shared" si="322"/>
        <v>0</v>
      </c>
      <c r="L1937">
        <f t="shared" si="323"/>
        <v>95</v>
      </c>
      <c r="M1937">
        <f t="shared" si="324"/>
        <v>1</v>
      </c>
      <c r="N1937">
        <f t="shared" si="325"/>
        <v>0</v>
      </c>
    </row>
    <row r="1938" spans="4:14" x14ac:dyDescent="0.2">
      <c r="D1938">
        <f t="shared" si="327"/>
        <v>1915</v>
      </c>
      <c r="E1938" s="1">
        <f t="shared" si="328"/>
        <v>-17.685415631739126</v>
      </c>
      <c r="F1938" s="1">
        <f t="shared" si="329"/>
        <v>-20.021125346268857</v>
      </c>
      <c r="G1938" s="1">
        <f t="shared" si="326"/>
        <v>2.0180677428667198E-9</v>
      </c>
      <c r="H1938" s="1">
        <f t="shared" si="319"/>
        <v>2.0753991341934344E-11</v>
      </c>
      <c r="I1938">
        <f t="shared" si="320"/>
        <v>10</v>
      </c>
      <c r="J1938">
        <f t="shared" si="321"/>
        <v>1901</v>
      </c>
      <c r="K1938" s="5">
        <f t="shared" si="322"/>
        <v>0</v>
      </c>
      <c r="L1938">
        <f t="shared" si="323"/>
        <v>95</v>
      </c>
      <c r="M1938">
        <f t="shared" si="324"/>
        <v>1</v>
      </c>
      <c r="N1938">
        <f t="shared" si="325"/>
        <v>0</v>
      </c>
    </row>
    <row r="1939" spans="4:14" x14ac:dyDescent="0.2">
      <c r="D1939">
        <f t="shared" si="327"/>
        <v>1916</v>
      </c>
      <c r="E1939" s="1">
        <f t="shared" si="328"/>
        <v>-17.69588693160642</v>
      </c>
      <c r="F1939" s="1">
        <f t="shared" si="329"/>
        <v>-20.031596646136151</v>
      </c>
      <c r="G1939" s="1">
        <f t="shared" si="326"/>
        <v>1.9970462038785269E-9</v>
      </c>
      <c r="H1939" s="1">
        <f t="shared" si="319"/>
        <v>2.0537803932122548E-11</v>
      </c>
      <c r="I1939">
        <f t="shared" si="320"/>
        <v>10</v>
      </c>
      <c r="J1939">
        <f t="shared" si="321"/>
        <v>1902</v>
      </c>
      <c r="K1939" s="5">
        <f t="shared" si="322"/>
        <v>0</v>
      </c>
      <c r="L1939">
        <f t="shared" si="323"/>
        <v>95</v>
      </c>
      <c r="M1939">
        <f t="shared" si="324"/>
        <v>1</v>
      </c>
      <c r="N1939">
        <f t="shared" si="325"/>
        <v>0</v>
      </c>
    </row>
    <row r="1940" spans="4:14" x14ac:dyDescent="0.2">
      <c r="D1940">
        <f t="shared" si="327"/>
        <v>1917</v>
      </c>
      <c r="E1940" s="1">
        <f t="shared" si="328"/>
        <v>-17.706358231473715</v>
      </c>
      <c r="F1940" s="1">
        <f t="shared" si="329"/>
        <v>-20.042067946003446</v>
      </c>
      <c r="G1940" s="1">
        <f t="shared" si="326"/>
        <v>1.9762436392547941E-9</v>
      </c>
      <c r="H1940" s="1">
        <f t="shared" si="319"/>
        <v>2.0323868474496291E-11</v>
      </c>
      <c r="I1940">
        <f t="shared" si="320"/>
        <v>10</v>
      </c>
      <c r="J1940">
        <f t="shared" si="321"/>
        <v>1903</v>
      </c>
      <c r="K1940" s="5">
        <f t="shared" si="322"/>
        <v>0</v>
      </c>
      <c r="L1940">
        <f t="shared" si="323"/>
        <v>95</v>
      </c>
      <c r="M1940">
        <f t="shared" si="324"/>
        <v>1</v>
      </c>
      <c r="N1940">
        <f t="shared" si="325"/>
        <v>0</v>
      </c>
    </row>
    <row r="1941" spans="4:14" x14ac:dyDescent="0.2">
      <c r="D1941">
        <f t="shared" si="327"/>
        <v>1918</v>
      </c>
      <c r="E1941" s="1">
        <f t="shared" si="328"/>
        <v>-17.716829531341009</v>
      </c>
      <c r="F1941" s="1">
        <f t="shared" si="329"/>
        <v>-20.05253924587074</v>
      </c>
      <c r="G1941" s="1">
        <f t="shared" si="326"/>
        <v>1.9556577680125584E-9</v>
      </c>
      <c r="H1941" s="1">
        <f t="shared" si="319"/>
        <v>2.0112161511220307E-11</v>
      </c>
      <c r="I1941">
        <f t="shared" si="320"/>
        <v>10</v>
      </c>
      <c r="J1941">
        <f t="shared" si="321"/>
        <v>1904</v>
      </c>
      <c r="K1941" s="5">
        <f t="shared" si="322"/>
        <v>0</v>
      </c>
      <c r="L1941">
        <f t="shared" si="323"/>
        <v>95</v>
      </c>
      <c r="M1941">
        <f t="shared" si="324"/>
        <v>1</v>
      </c>
      <c r="N1941">
        <f t="shared" si="325"/>
        <v>0</v>
      </c>
    </row>
    <row r="1942" spans="4:14" x14ac:dyDescent="0.2">
      <c r="D1942">
        <f t="shared" si="327"/>
        <v>1919</v>
      </c>
      <c r="E1942" s="1">
        <f t="shared" si="328"/>
        <v>-17.727300831208304</v>
      </c>
      <c r="F1942" s="1">
        <f t="shared" si="329"/>
        <v>-20.063010545738035</v>
      </c>
      <c r="G1942" s="1">
        <f t="shared" si="326"/>
        <v>1.9352863329290964E-9</v>
      </c>
      <c r="H1942" s="1">
        <f t="shared" si="319"/>
        <v>1.9902659828811784E-11</v>
      </c>
      <c r="I1942">
        <f t="shared" si="320"/>
        <v>10</v>
      </c>
      <c r="J1942">
        <f t="shared" si="321"/>
        <v>1905</v>
      </c>
      <c r="K1942" s="5">
        <f t="shared" si="322"/>
        <v>0</v>
      </c>
      <c r="L1942">
        <f t="shared" si="323"/>
        <v>95</v>
      </c>
      <c r="M1942">
        <f t="shared" si="324"/>
        <v>1</v>
      </c>
      <c r="N1942">
        <f t="shared" si="325"/>
        <v>0</v>
      </c>
    </row>
    <row r="1943" spans="4:14" x14ac:dyDescent="0.2">
      <c r="D1943">
        <f t="shared" si="327"/>
        <v>1920</v>
      </c>
      <c r="E1943" s="1">
        <f t="shared" si="328"/>
        <v>-17.737772131075598</v>
      </c>
      <c r="F1943" s="1">
        <f t="shared" si="329"/>
        <v>-20.073481845605329</v>
      </c>
      <c r="G1943" s="1">
        <f t="shared" si="326"/>
        <v>1.9151271002944201E-9</v>
      </c>
      <c r="H1943" s="1">
        <f t="shared" ref="H1943:H2006" si="330">G1943/$G$21</f>
        <v>1.9695340455595012E-11</v>
      </c>
      <c r="I1943">
        <f t="shared" ref="I1943:I2006" si="331">IF($F$11&lt;=D1943, IF(D1943&lt;=$A$15,D1943-$F$11,$C$11),0)</f>
        <v>10</v>
      </c>
      <c r="J1943">
        <f t="shared" ref="J1943:J2006" si="332">IF(D1943&lt;=$A$15,0,D1943-$A$15)</f>
        <v>1906</v>
      </c>
      <c r="K1943" s="5">
        <f t="shared" ref="K1943:K2006" si="333">IF(D1943&lt;$F$11,H1943,0)</f>
        <v>0</v>
      </c>
      <c r="L1943">
        <f t="shared" ref="L1943:L2006" si="334">IF(D1943&lt;$A$15,$D$11,$D$11*(1-$H$11))</f>
        <v>95</v>
      </c>
      <c r="M1943">
        <f t="shared" ref="M1943:M2006" si="335">IF(D1943&lt;$A$15,0,1)</f>
        <v>1</v>
      </c>
      <c r="N1943">
        <f t="shared" ref="N1943:N2006" si="336">IF(SUM(I1943:J1943)&lt;=($G$11/60*$F$11/($E$11/60)),1,0)</f>
        <v>0</v>
      </c>
    </row>
    <row r="1944" spans="4:14" x14ac:dyDescent="0.2">
      <c r="D1944">
        <f t="shared" si="327"/>
        <v>1921</v>
      </c>
      <c r="E1944" s="1">
        <f t="shared" si="328"/>
        <v>-17.748243430942892</v>
      </c>
      <c r="F1944" s="1">
        <f t="shared" si="329"/>
        <v>-20.083953145472623</v>
      </c>
      <c r="G1944" s="1">
        <f t="shared" ref="G1944:G2007" si="337">EXP(F1944)</f>
        <v>1.8951778596663551E-9</v>
      </c>
      <c r="H1944" s="1">
        <f t="shared" si="330"/>
        <v>1.9490180659182582E-11</v>
      </c>
      <c r="I1944">
        <f t="shared" si="331"/>
        <v>10</v>
      </c>
      <c r="J1944">
        <f t="shared" si="332"/>
        <v>1907</v>
      </c>
      <c r="K1944" s="5">
        <f t="shared" si="333"/>
        <v>0</v>
      </c>
      <c r="L1944">
        <f t="shared" si="334"/>
        <v>95</v>
      </c>
      <c r="M1944">
        <f t="shared" si="335"/>
        <v>1</v>
      </c>
      <c r="N1944">
        <f t="shared" si="336"/>
        <v>0</v>
      </c>
    </row>
    <row r="1945" spans="4:14" x14ac:dyDescent="0.2">
      <c r="D1945">
        <f t="shared" ref="D1945:D2008" si="338">1+D1944</f>
        <v>1922</v>
      </c>
      <c r="E1945" s="1">
        <f t="shared" ref="E1945:E2008" si="339">IF($H$11=1,IF(D1945&lt;=$A$15, E1944+LN($D$11)-LN(60/$E$11)-LN(MIN(D1945,$F$11)), E1944-LN(60/$E$11)-LN(MIN(D1945,$F$11))), IF(D1945&lt;=$A$15, E1944+LN($D$11)-LN(60/$E$11)-LN(MIN(D1945,$F$11)), E1944+LN($D$11)+LN(1-$H$11)-LN(60/$E$11)-LN(MIN(D1945,$F$11))))</f>
        <v>-17.758714730810187</v>
      </c>
      <c r="F1945" s="1">
        <f t="shared" ref="F1945:F2008" si="340">E1945-$E$21</f>
        <v>-20.094424445339918</v>
      </c>
      <c r="G1945" s="1">
        <f t="shared" si="337"/>
        <v>1.8754364236281656E-9</v>
      </c>
      <c r="H1945" s="1">
        <f t="shared" si="330"/>
        <v>1.9287157943982782E-11</v>
      </c>
      <c r="I1945">
        <f t="shared" si="331"/>
        <v>10</v>
      </c>
      <c r="J1945">
        <f t="shared" si="332"/>
        <v>1908</v>
      </c>
      <c r="K1945" s="5">
        <f t="shared" si="333"/>
        <v>0</v>
      </c>
      <c r="L1945">
        <f t="shared" si="334"/>
        <v>95</v>
      </c>
      <c r="M1945">
        <f t="shared" si="335"/>
        <v>1</v>
      </c>
      <c r="N1945">
        <f t="shared" si="336"/>
        <v>0</v>
      </c>
    </row>
    <row r="1946" spans="4:14" x14ac:dyDescent="0.2">
      <c r="D1946">
        <f t="shared" si="338"/>
        <v>1923</v>
      </c>
      <c r="E1946" s="1">
        <f t="shared" si="339"/>
        <v>-17.769186030677481</v>
      </c>
      <c r="F1946" s="1">
        <f t="shared" si="340"/>
        <v>-20.104895745207212</v>
      </c>
      <c r="G1946" s="1">
        <f t="shared" si="337"/>
        <v>1.8559006275487072E-9</v>
      </c>
      <c r="H1946" s="1">
        <f t="shared" si="330"/>
        <v>1.908625004873298E-11</v>
      </c>
      <c r="I1946">
        <f t="shared" si="331"/>
        <v>10</v>
      </c>
      <c r="J1946">
        <f t="shared" si="332"/>
        <v>1909</v>
      </c>
      <c r="K1946" s="5">
        <f t="shared" si="333"/>
        <v>0</v>
      </c>
      <c r="L1946">
        <f t="shared" si="334"/>
        <v>95</v>
      </c>
      <c r="M1946">
        <f t="shared" si="335"/>
        <v>1</v>
      </c>
      <c r="N1946">
        <f t="shared" si="336"/>
        <v>0</v>
      </c>
    </row>
    <row r="1947" spans="4:14" x14ac:dyDescent="0.2">
      <c r="D1947">
        <f t="shared" si="338"/>
        <v>1924</v>
      </c>
      <c r="E1947" s="1">
        <f t="shared" si="339"/>
        <v>-17.779657330544776</v>
      </c>
      <c r="F1947" s="1">
        <f t="shared" si="340"/>
        <v>-20.115367045074507</v>
      </c>
      <c r="G1947" s="1">
        <f t="shared" si="337"/>
        <v>1.8365683293450767E-9</v>
      </c>
      <c r="H1947" s="1">
        <f t="shared" si="330"/>
        <v>1.8887434944058694E-11</v>
      </c>
      <c r="I1947">
        <f t="shared" si="331"/>
        <v>10</v>
      </c>
      <c r="J1947">
        <f t="shared" si="332"/>
        <v>1910</v>
      </c>
      <c r="K1947" s="5">
        <f t="shared" si="333"/>
        <v>0</v>
      </c>
      <c r="L1947">
        <f t="shared" si="334"/>
        <v>95</v>
      </c>
      <c r="M1947">
        <f t="shared" si="335"/>
        <v>1</v>
      </c>
      <c r="N1947">
        <f t="shared" si="336"/>
        <v>0</v>
      </c>
    </row>
    <row r="1948" spans="4:14" x14ac:dyDescent="0.2">
      <c r="D1948">
        <f t="shared" si="338"/>
        <v>1925</v>
      </c>
      <c r="E1948" s="1">
        <f t="shared" si="339"/>
        <v>-17.79012863041207</v>
      </c>
      <c r="F1948" s="1">
        <f t="shared" si="340"/>
        <v>-20.125838344941801</v>
      </c>
      <c r="G1948" s="1">
        <f t="shared" si="337"/>
        <v>1.817437409247734E-9</v>
      </c>
      <c r="H1948" s="1">
        <f t="shared" si="330"/>
        <v>1.8690690830058102E-11</v>
      </c>
      <c r="I1948">
        <f t="shared" si="331"/>
        <v>10</v>
      </c>
      <c r="J1948">
        <f t="shared" si="332"/>
        <v>1911</v>
      </c>
      <c r="K1948" s="5">
        <f t="shared" si="333"/>
        <v>0</v>
      </c>
      <c r="L1948">
        <f t="shared" si="334"/>
        <v>95</v>
      </c>
      <c r="M1948">
        <f t="shared" si="335"/>
        <v>1</v>
      </c>
      <c r="N1948">
        <f t="shared" si="336"/>
        <v>0</v>
      </c>
    </row>
    <row r="1949" spans="4:14" x14ac:dyDescent="0.2">
      <c r="D1949">
        <f t="shared" si="338"/>
        <v>1926</v>
      </c>
      <c r="E1949" s="1">
        <f t="shared" si="339"/>
        <v>-17.800599930279365</v>
      </c>
      <c r="F1949" s="1">
        <f t="shared" si="340"/>
        <v>-20.136309644809096</v>
      </c>
      <c r="G1949" s="1">
        <f t="shared" si="337"/>
        <v>1.7985057695680717E-9</v>
      </c>
      <c r="H1949" s="1">
        <f t="shared" si="330"/>
        <v>1.8495996133911681E-11</v>
      </c>
      <c r="I1949">
        <f t="shared" si="331"/>
        <v>10</v>
      </c>
      <c r="J1949">
        <f t="shared" si="332"/>
        <v>1912</v>
      </c>
      <c r="K1949" s="5">
        <f t="shared" si="333"/>
        <v>0</v>
      </c>
      <c r="L1949">
        <f t="shared" si="334"/>
        <v>95</v>
      </c>
      <c r="M1949">
        <f t="shared" si="335"/>
        <v>1</v>
      </c>
      <c r="N1949">
        <f t="shared" si="336"/>
        <v>0</v>
      </c>
    </row>
    <row r="1950" spans="4:14" x14ac:dyDescent="0.2">
      <c r="D1950">
        <f t="shared" si="338"/>
        <v>1927</v>
      </c>
      <c r="E1950" s="1">
        <f t="shared" si="339"/>
        <v>-17.811071230146659</v>
      </c>
      <c r="F1950" s="1">
        <f t="shared" si="340"/>
        <v>-20.14678094467639</v>
      </c>
      <c r="G1950" s="1">
        <f t="shared" si="337"/>
        <v>1.779771334468406E-9</v>
      </c>
      <c r="H1950" s="1">
        <f t="shared" si="330"/>
        <v>1.8303329507516784E-11</v>
      </c>
      <c r="I1950">
        <f t="shared" si="331"/>
        <v>10</v>
      </c>
      <c r="J1950">
        <f t="shared" si="332"/>
        <v>1913</v>
      </c>
      <c r="K1950" s="5">
        <f t="shared" si="333"/>
        <v>0</v>
      </c>
      <c r="L1950">
        <f t="shared" si="334"/>
        <v>95</v>
      </c>
      <c r="M1950">
        <f t="shared" si="335"/>
        <v>1</v>
      </c>
      <c r="N1950">
        <f t="shared" si="336"/>
        <v>0</v>
      </c>
    </row>
    <row r="1951" spans="4:14" x14ac:dyDescent="0.2">
      <c r="D1951">
        <f t="shared" si="338"/>
        <v>1928</v>
      </c>
      <c r="E1951" s="1">
        <f t="shared" si="339"/>
        <v>-17.821542530013954</v>
      </c>
      <c r="F1951" s="1">
        <f t="shared" si="340"/>
        <v>-20.157252244543685</v>
      </c>
      <c r="G1951" s="1">
        <f t="shared" si="337"/>
        <v>1.7612320497343619E-9</v>
      </c>
      <c r="H1951" s="1">
        <f t="shared" si="330"/>
        <v>1.8112669825146836E-11</v>
      </c>
      <c r="I1951">
        <f t="shared" si="331"/>
        <v>10</v>
      </c>
      <c r="J1951">
        <f t="shared" si="332"/>
        <v>1914</v>
      </c>
      <c r="K1951" s="5">
        <f t="shared" si="333"/>
        <v>0</v>
      </c>
      <c r="L1951">
        <f t="shared" si="334"/>
        <v>95</v>
      </c>
      <c r="M1951">
        <f t="shared" si="335"/>
        <v>1</v>
      </c>
      <c r="N1951">
        <f t="shared" si="336"/>
        <v>0</v>
      </c>
    </row>
    <row r="1952" spans="4:14" x14ac:dyDescent="0.2">
      <c r="D1952">
        <f t="shared" si="338"/>
        <v>1929</v>
      </c>
      <c r="E1952" s="1">
        <f t="shared" si="339"/>
        <v>-17.832013829881248</v>
      </c>
      <c r="F1952" s="1">
        <f t="shared" si="340"/>
        <v>-20.167723544410979</v>
      </c>
      <c r="G1952" s="1">
        <f t="shared" si="337"/>
        <v>1.7428858825496304E-9</v>
      </c>
      <c r="H1952" s="1">
        <f t="shared" si="330"/>
        <v>1.7923996181134906E-11</v>
      </c>
      <c r="I1952">
        <f t="shared" si="331"/>
        <v>10</v>
      </c>
      <c r="J1952">
        <f t="shared" si="332"/>
        <v>1915</v>
      </c>
      <c r="K1952" s="5">
        <f t="shared" si="333"/>
        <v>0</v>
      </c>
      <c r="L1952">
        <f t="shared" si="334"/>
        <v>95</v>
      </c>
      <c r="M1952">
        <f t="shared" si="335"/>
        <v>1</v>
      </c>
      <c r="N1952">
        <f t="shared" si="336"/>
        <v>0</v>
      </c>
    </row>
    <row r="1953" spans="4:14" x14ac:dyDescent="0.2">
      <c r="D1953">
        <f t="shared" si="338"/>
        <v>1930</v>
      </c>
      <c r="E1953" s="1">
        <f t="shared" si="339"/>
        <v>-17.842485129748543</v>
      </c>
      <c r="F1953" s="1">
        <f t="shared" si="340"/>
        <v>-20.178194844278273</v>
      </c>
      <c r="G1953" s="1">
        <f t="shared" si="337"/>
        <v>1.7247308212730734E-9</v>
      </c>
      <c r="H1953" s="1">
        <f t="shared" si="330"/>
        <v>1.7737287887581434E-11</v>
      </c>
      <c r="I1953">
        <f t="shared" si="331"/>
        <v>10</v>
      </c>
      <c r="J1953">
        <f t="shared" si="332"/>
        <v>1916</v>
      </c>
      <c r="K1953" s="5">
        <f t="shared" si="333"/>
        <v>0</v>
      </c>
      <c r="L1953">
        <f t="shared" si="334"/>
        <v>95</v>
      </c>
      <c r="M1953">
        <f t="shared" si="335"/>
        <v>1</v>
      </c>
      <c r="N1953">
        <f t="shared" si="336"/>
        <v>0</v>
      </c>
    </row>
    <row r="1954" spans="4:14" x14ac:dyDescent="0.2">
      <c r="D1954">
        <f t="shared" si="338"/>
        <v>1931</v>
      </c>
      <c r="E1954" s="1">
        <f t="shared" si="339"/>
        <v>-17.852956429615837</v>
      </c>
      <c r="F1954" s="1">
        <f t="shared" si="340"/>
        <v>-20.188666144145568</v>
      </c>
      <c r="G1954" s="1">
        <f t="shared" si="337"/>
        <v>1.7067648752181473E-9</v>
      </c>
      <c r="H1954" s="1">
        <f t="shared" si="330"/>
        <v>1.7552524472085811E-11</v>
      </c>
      <c r="I1954">
        <f t="shared" si="331"/>
        <v>10</v>
      </c>
      <c r="J1954">
        <f t="shared" si="332"/>
        <v>1917</v>
      </c>
      <c r="K1954" s="5">
        <f t="shared" si="333"/>
        <v>0</v>
      </c>
      <c r="L1954">
        <f t="shared" si="334"/>
        <v>95</v>
      </c>
      <c r="M1954">
        <f t="shared" si="335"/>
        <v>1</v>
      </c>
      <c r="N1954">
        <f t="shared" si="336"/>
        <v>0</v>
      </c>
    </row>
    <row r="1955" spans="4:14" x14ac:dyDescent="0.2">
      <c r="D1955">
        <f t="shared" si="338"/>
        <v>1932</v>
      </c>
      <c r="E1955" s="1">
        <f t="shared" si="339"/>
        <v>-17.863427729483131</v>
      </c>
      <c r="F1955" s="1">
        <f t="shared" si="340"/>
        <v>-20.199137444012862</v>
      </c>
      <c r="G1955" s="1">
        <f t="shared" si="337"/>
        <v>1.6889860744346266E-9</v>
      </c>
      <c r="H1955" s="1">
        <f t="shared" si="330"/>
        <v>1.7369685675501602E-11</v>
      </c>
      <c r="I1955">
        <f t="shared" si="331"/>
        <v>10</v>
      </c>
      <c r="J1955">
        <f t="shared" si="332"/>
        <v>1918</v>
      </c>
      <c r="K1955" s="5">
        <f t="shared" si="333"/>
        <v>0</v>
      </c>
      <c r="L1955">
        <f t="shared" si="334"/>
        <v>95</v>
      </c>
      <c r="M1955">
        <f t="shared" si="335"/>
        <v>1</v>
      </c>
      <c r="N1955">
        <f t="shared" si="336"/>
        <v>0</v>
      </c>
    </row>
    <row r="1956" spans="4:14" x14ac:dyDescent="0.2">
      <c r="D1956">
        <f t="shared" si="338"/>
        <v>1933</v>
      </c>
      <c r="E1956" s="1">
        <f t="shared" si="339"/>
        <v>-17.873899029350426</v>
      </c>
      <c r="F1956" s="1">
        <f t="shared" si="340"/>
        <v>-20.209608743880157</v>
      </c>
      <c r="G1956" s="1">
        <f t="shared" si="337"/>
        <v>1.6713924694926008E-9</v>
      </c>
      <c r="H1956" s="1">
        <f t="shared" si="330"/>
        <v>1.7188751449715142E-11</v>
      </c>
      <c r="I1956">
        <f t="shared" si="331"/>
        <v>10</v>
      </c>
      <c r="J1956">
        <f t="shared" si="332"/>
        <v>1919</v>
      </c>
      <c r="K1956" s="5">
        <f t="shared" si="333"/>
        <v>0</v>
      </c>
      <c r="L1956">
        <f t="shared" si="334"/>
        <v>95</v>
      </c>
      <c r="M1956">
        <f t="shared" si="335"/>
        <v>1</v>
      </c>
      <c r="N1956">
        <f t="shared" si="336"/>
        <v>0</v>
      </c>
    </row>
    <row r="1957" spans="4:14" x14ac:dyDescent="0.2">
      <c r="D1957">
        <f t="shared" si="338"/>
        <v>1934</v>
      </c>
      <c r="E1957" s="1">
        <f t="shared" si="339"/>
        <v>-17.88437032921772</v>
      </c>
      <c r="F1957" s="1">
        <f t="shared" si="340"/>
        <v>-20.220080043747451</v>
      </c>
      <c r="G1957" s="1">
        <f t="shared" si="337"/>
        <v>1.653982131268721E-9</v>
      </c>
      <c r="H1957" s="1">
        <f t="shared" si="330"/>
        <v>1.7009701955447293E-11</v>
      </c>
      <c r="I1957">
        <f t="shared" si="331"/>
        <v>10</v>
      </c>
      <c r="J1957">
        <f t="shared" si="332"/>
        <v>1920</v>
      </c>
      <c r="K1957" s="5">
        <f t="shared" si="333"/>
        <v>0</v>
      </c>
      <c r="L1957">
        <f t="shared" si="334"/>
        <v>95</v>
      </c>
      <c r="M1957">
        <f t="shared" si="335"/>
        <v>1</v>
      </c>
      <c r="N1957">
        <f t="shared" si="336"/>
        <v>0</v>
      </c>
    </row>
    <row r="1958" spans="4:14" x14ac:dyDescent="0.2">
      <c r="D1958">
        <f t="shared" si="338"/>
        <v>1935</v>
      </c>
      <c r="E1958" s="1">
        <f t="shared" si="339"/>
        <v>-17.894841629085015</v>
      </c>
      <c r="F1958" s="1">
        <f t="shared" si="340"/>
        <v>-20.230551343614746</v>
      </c>
      <c r="G1958" s="1">
        <f t="shared" si="337"/>
        <v>1.6367531507346734E-9</v>
      </c>
      <c r="H1958" s="1">
        <f t="shared" si="330"/>
        <v>1.6832517560078067E-11</v>
      </c>
      <c r="I1958">
        <f t="shared" si="331"/>
        <v>10</v>
      </c>
      <c r="J1958">
        <f t="shared" si="332"/>
        <v>1921</v>
      </c>
      <c r="K1958" s="5">
        <f t="shared" si="333"/>
        <v>0</v>
      </c>
      <c r="L1958">
        <f t="shared" si="334"/>
        <v>95</v>
      </c>
      <c r="M1958">
        <f t="shared" si="335"/>
        <v>1</v>
      </c>
      <c r="N1958">
        <f t="shared" si="336"/>
        <v>0</v>
      </c>
    </row>
    <row r="1959" spans="4:14" x14ac:dyDescent="0.2">
      <c r="D1959">
        <f t="shared" si="338"/>
        <v>1936</v>
      </c>
      <c r="E1959" s="1">
        <f t="shared" si="339"/>
        <v>-17.905312928952309</v>
      </c>
      <c r="F1959" s="1">
        <f t="shared" si="340"/>
        <v>-20.24102264348204</v>
      </c>
      <c r="G1959" s="1">
        <f t="shared" si="337"/>
        <v>1.6197036387478555E-9</v>
      </c>
      <c r="H1959" s="1">
        <f t="shared" si="330"/>
        <v>1.6657178835493936E-11</v>
      </c>
      <c r="I1959">
        <f t="shared" si="331"/>
        <v>10</v>
      </c>
      <c r="J1959">
        <f t="shared" si="332"/>
        <v>1922</v>
      </c>
      <c r="K1959" s="5">
        <f t="shared" si="333"/>
        <v>0</v>
      </c>
      <c r="L1959">
        <f t="shared" si="334"/>
        <v>95</v>
      </c>
      <c r="M1959">
        <f t="shared" si="335"/>
        <v>1</v>
      </c>
      <c r="N1959">
        <f t="shared" si="336"/>
        <v>0</v>
      </c>
    </row>
    <row r="1960" spans="4:14" x14ac:dyDescent="0.2">
      <c r="D1960">
        <f t="shared" si="338"/>
        <v>1937</v>
      </c>
      <c r="E1960" s="1">
        <f t="shared" si="339"/>
        <v>-17.915784228819604</v>
      </c>
      <c r="F1960" s="1">
        <f t="shared" si="340"/>
        <v>-20.251493943349335</v>
      </c>
      <c r="G1960" s="1">
        <f t="shared" si="337"/>
        <v>1.6028317258442336E-9</v>
      </c>
      <c r="H1960" s="1">
        <f t="shared" si="330"/>
        <v>1.6483666555957558E-11</v>
      </c>
      <c r="I1960">
        <f t="shared" si="331"/>
        <v>10</v>
      </c>
      <c r="J1960">
        <f t="shared" si="332"/>
        <v>1923</v>
      </c>
      <c r="K1960" s="5">
        <f t="shared" si="333"/>
        <v>0</v>
      </c>
      <c r="L1960">
        <f t="shared" si="334"/>
        <v>95</v>
      </c>
      <c r="M1960">
        <f t="shared" si="335"/>
        <v>1</v>
      </c>
      <c r="N1960">
        <f t="shared" si="336"/>
        <v>0</v>
      </c>
    </row>
    <row r="1961" spans="4:14" x14ac:dyDescent="0.2">
      <c r="D1961">
        <f t="shared" si="338"/>
        <v>1938</v>
      </c>
      <c r="E1961" s="1">
        <f t="shared" si="339"/>
        <v>-17.926255528686898</v>
      </c>
      <c r="F1961" s="1">
        <f t="shared" si="340"/>
        <v>-20.261965243216629</v>
      </c>
      <c r="G1961" s="1">
        <f t="shared" si="337"/>
        <v>1.5861355620333575E-9</v>
      </c>
      <c r="H1961" s="1">
        <f t="shared" si="330"/>
        <v>1.6311961695999682E-11</v>
      </c>
      <c r="I1961">
        <f t="shared" si="331"/>
        <v>10</v>
      </c>
      <c r="J1961">
        <f t="shared" si="332"/>
        <v>1924</v>
      </c>
      <c r="K1961" s="5">
        <f t="shared" si="333"/>
        <v>0</v>
      </c>
      <c r="L1961">
        <f t="shared" si="334"/>
        <v>95</v>
      </c>
      <c r="M1961">
        <f t="shared" si="335"/>
        <v>1</v>
      </c>
      <c r="N1961">
        <f t="shared" si="336"/>
        <v>0</v>
      </c>
    </row>
    <row r="1962" spans="4:14" x14ac:dyDescent="0.2">
      <c r="D1962">
        <f t="shared" si="338"/>
        <v>1939</v>
      </c>
      <c r="E1962" s="1">
        <f t="shared" si="339"/>
        <v>-17.936726828554193</v>
      </c>
      <c r="F1962" s="1">
        <f t="shared" si="340"/>
        <v>-20.272436543083924</v>
      </c>
      <c r="G1962" s="1">
        <f t="shared" si="337"/>
        <v>1.5696133165955116E-9</v>
      </c>
      <c r="H1962" s="1">
        <f t="shared" si="330"/>
        <v>1.6142045428333033E-11</v>
      </c>
      <c r="I1962">
        <f t="shared" si="331"/>
        <v>10</v>
      </c>
      <c r="J1962">
        <f t="shared" si="332"/>
        <v>1925</v>
      </c>
      <c r="K1962" s="5">
        <f t="shared" si="333"/>
        <v>0</v>
      </c>
      <c r="L1962">
        <f t="shared" si="334"/>
        <v>95</v>
      </c>
      <c r="M1962">
        <f t="shared" si="335"/>
        <v>1</v>
      </c>
      <c r="N1962">
        <f t="shared" si="336"/>
        <v>0</v>
      </c>
    </row>
    <row r="1963" spans="4:14" x14ac:dyDescent="0.2">
      <c r="D1963">
        <f t="shared" si="338"/>
        <v>1940</v>
      </c>
      <c r="E1963" s="1">
        <f t="shared" si="339"/>
        <v>-17.947198128421487</v>
      </c>
      <c r="F1963" s="1">
        <f t="shared" si="340"/>
        <v>-20.282907842951218</v>
      </c>
      <c r="G1963" s="1">
        <f t="shared" si="337"/>
        <v>1.5532631778809767E-9</v>
      </c>
      <c r="H1963" s="1">
        <f t="shared" si="330"/>
        <v>1.5973899121787914E-11</v>
      </c>
      <c r="I1963">
        <f t="shared" si="331"/>
        <v>10</v>
      </c>
      <c r="J1963">
        <f t="shared" si="332"/>
        <v>1926</v>
      </c>
      <c r="K1963" s="5">
        <f t="shared" si="333"/>
        <v>0</v>
      </c>
      <c r="L1963">
        <f t="shared" si="334"/>
        <v>95</v>
      </c>
      <c r="M1963">
        <f t="shared" si="335"/>
        <v>1</v>
      </c>
      <c r="N1963">
        <f t="shared" si="336"/>
        <v>0</v>
      </c>
    </row>
    <row r="1964" spans="4:14" x14ac:dyDescent="0.2">
      <c r="D1964">
        <f t="shared" si="338"/>
        <v>1941</v>
      </c>
      <c r="E1964" s="1">
        <f t="shared" si="339"/>
        <v>-17.957669428288781</v>
      </c>
      <c r="F1964" s="1">
        <f t="shared" si="340"/>
        <v>-20.293379142818512</v>
      </c>
      <c r="G1964" s="1">
        <f t="shared" si="337"/>
        <v>1.5370833531113845E-9</v>
      </c>
      <c r="H1964" s="1">
        <f t="shared" si="330"/>
        <v>1.5807504339269303E-11</v>
      </c>
      <c r="I1964">
        <f t="shared" si="331"/>
        <v>10</v>
      </c>
      <c r="J1964">
        <f t="shared" si="332"/>
        <v>1927</v>
      </c>
      <c r="K1964" s="5">
        <f t="shared" si="333"/>
        <v>0</v>
      </c>
      <c r="L1964">
        <f t="shared" si="334"/>
        <v>95</v>
      </c>
      <c r="M1964">
        <f t="shared" si="335"/>
        <v>1</v>
      </c>
      <c r="N1964">
        <f t="shared" si="336"/>
        <v>0</v>
      </c>
    </row>
    <row r="1965" spans="4:14" x14ac:dyDescent="0.2">
      <c r="D1965">
        <f t="shared" si="338"/>
        <v>1942</v>
      </c>
      <c r="E1965" s="1">
        <f t="shared" si="339"/>
        <v>-17.968140728156076</v>
      </c>
      <c r="F1965" s="1">
        <f t="shared" si="340"/>
        <v>-20.303850442685807</v>
      </c>
      <c r="G1965" s="1">
        <f t="shared" si="337"/>
        <v>1.5210720681831424E-9</v>
      </c>
      <c r="H1965" s="1">
        <f t="shared" si="330"/>
        <v>1.5642842835735262E-11</v>
      </c>
      <c r="I1965">
        <f t="shared" si="331"/>
        <v>10</v>
      </c>
      <c r="J1965">
        <f t="shared" si="332"/>
        <v>1928</v>
      </c>
      <c r="K1965" s="5">
        <f t="shared" si="333"/>
        <v>0</v>
      </c>
      <c r="L1965">
        <f t="shared" si="334"/>
        <v>95</v>
      </c>
      <c r="M1965">
        <f t="shared" si="335"/>
        <v>1</v>
      </c>
      <c r="N1965">
        <f t="shared" si="336"/>
        <v>0</v>
      </c>
    </row>
    <row r="1966" spans="4:14" x14ac:dyDescent="0.2">
      <c r="D1966">
        <f t="shared" si="338"/>
        <v>1943</v>
      </c>
      <c r="E1966" s="1">
        <f t="shared" si="339"/>
        <v>-17.97861202802337</v>
      </c>
      <c r="F1966" s="1">
        <f t="shared" si="340"/>
        <v>-20.314321742553101</v>
      </c>
      <c r="G1966" s="1">
        <f t="shared" si="337"/>
        <v>1.5052275674729028E-9</v>
      </c>
      <c r="H1966" s="1">
        <f t="shared" si="330"/>
        <v>1.5479896556196369E-11</v>
      </c>
      <c r="I1966">
        <f t="shared" si="331"/>
        <v>10</v>
      </c>
      <c r="J1966">
        <f t="shared" si="332"/>
        <v>1929</v>
      </c>
      <c r="K1966" s="5">
        <f t="shared" si="333"/>
        <v>0</v>
      </c>
      <c r="L1966">
        <f t="shared" si="334"/>
        <v>95</v>
      </c>
      <c r="M1966">
        <f t="shared" si="335"/>
        <v>1</v>
      </c>
      <c r="N1966">
        <f t="shared" si="336"/>
        <v>0</v>
      </c>
    </row>
    <row r="1967" spans="4:14" x14ac:dyDescent="0.2">
      <c r="D1967">
        <f t="shared" si="338"/>
        <v>1944</v>
      </c>
      <c r="E1967" s="1">
        <f t="shared" si="339"/>
        <v>-17.989083327890665</v>
      </c>
      <c r="F1967" s="1">
        <f t="shared" si="340"/>
        <v>-20.324793042420396</v>
      </c>
      <c r="G1967" s="1">
        <f t="shared" si="337"/>
        <v>1.4895481136450615E-9</v>
      </c>
      <c r="H1967" s="1">
        <f t="shared" si="330"/>
        <v>1.5318647633736005E-11</v>
      </c>
      <c r="I1967">
        <f t="shared" si="331"/>
        <v>10</v>
      </c>
      <c r="J1967">
        <f t="shared" si="332"/>
        <v>1930</v>
      </c>
      <c r="K1967" s="5">
        <f t="shared" si="333"/>
        <v>0</v>
      </c>
      <c r="L1967">
        <f t="shared" si="334"/>
        <v>95</v>
      </c>
      <c r="M1967">
        <f t="shared" si="335"/>
        <v>1</v>
      </c>
      <c r="N1967">
        <f t="shared" si="336"/>
        <v>0</v>
      </c>
    </row>
    <row r="1968" spans="4:14" x14ac:dyDescent="0.2">
      <c r="D1968">
        <f t="shared" si="338"/>
        <v>1945</v>
      </c>
      <c r="E1968" s="1">
        <f t="shared" si="339"/>
        <v>-17.999554627757959</v>
      </c>
      <c r="F1968" s="1">
        <f t="shared" si="340"/>
        <v>-20.33526434228769</v>
      </c>
      <c r="G1968" s="1">
        <f t="shared" si="337"/>
        <v>1.4740319874612602E-9</v>
      </c>
      <c r="H1968" s="1">
        <f t="shared" si="330"/>
        <v>1.5159078387551268E-11</v>
      </c>
      <c r="I1968">
        <f t="shared" si="331"/>
        <v>10</v>
      </c>
      <c r="J1968">
        <f t="shared" si="332"/>
        <v>1931</v>
      </c>
      <c r="K1968" s="5">
        <f t="shared" si="333"/>
        <v>0</v>
      </c>
      <c r="L1968">
        <f t="shared" si="334"/>
        <v>95</v>
      </c>
      <c r="M1968">
        <f t="shared" si="335"/>
        <v>1</v>
      </c>
      <c r="N1968">
        <f t="shared" si="336"/>
        <v>0</v>
      </c>
    </row>
    <row r="1969" spans="4:14" x14ac:dyDescent="0.2">
      <c r="D1969">
        <f t="shared" si="338"/>
        <v>1946</v>
      </c>
      <c r="E1969" s="1">
        <f t="shared" si="339"/>
        <v>-18.010025927625254</v>
      </c>
      <c r="F1969" s="1">
        <f t="shared" si="340"/>
        <v>-20.345735642154985</v>
      </c>
      <c r="G1969" s="1">
        <f t="shared" si="337"/>
        <v>1.4586774875918733E-9</v>
      </c>
      <c r="H1969" s="1">
        <f t="shared" si="330"/>
        <v>1.5001171321014292E-11</v>
      </c>
      <c r="I1969">
        <f t="shared" si="331"/>
        <v>10</v>
      </c>
      <c r="J1969">
        <f t="shared" si="332"/>
        <v>1932</v>
      </c>
      <c r="K1969" s="5">
        <f t="shared" si="333"/>
        <v>0</v>
      </c>
      <c r="L1969">
        <f t="shared" si="334"/>
        <v>95</v>
      </c>
      <c r="M1969">
        <f t="shared" si="335"/>
        <v>1</v>
      </c>
      <c r="N1969">
        <f t="shared" si="336"/>
        <v>0</v>
      </c>
    </row>
    <row r="1970" spans="4:14" x14ac:dyDescent="0.2">
      <c r="D1970">
        <f t="shared" si="338"/>
        <v>1947</v>
      </c>
      <c r="E1970" s="1">
        <f t="shared" si="339"/>
        <v>-18.020497227492548</v>
      </c>
      <c r="F1970" s="1">
        <f t="shared" si="340"/>
        <v>-20.356206942022279</v>
      </c>
      <c r="G1970" s="1">
        <f t="shared" si="337"/>
        <v>1.4434829304294594E-9</v>
      </c>
      <c r="H1970" s="1">
        <f t="shared" si="330"/>
        <v>1.4844909119753739E-11</v>
      </c>
      <c r="I1970">
        <f t="shared" si="331"/>
        <v>10</v>
      </c>
      <c r="J1970">
        <f t="shared" si="332"/>
        <v>1933</v>
      </c>
      <c r="K1970" s="5">
        <f t="shared" si="333"/>
        <v>0</v>
      </c>
      <c r="L1970">
        <f t="shared" si="334"/>
        <v>95</v>
      </c>
      <c r="M1970">
        <f t="shared" si="335"/>
        <v>1</v>
      </c>
      <c r="N1970">
        <f t="shared" si="336"/>
        <v>0</v>
      </c>
    </row>
    <row r="1971" spans="4:14" x14ac:dyDescent="0.2">
      <c r="D1971">
        <f t="shared" si="338"/>
        <v>1948</v>
      </c>
      <c r="E1971" s="1">
        <f t="shared" si="339"/>
        <v>-18.030968527359843</v>
      </c>
      <c r="F1971" s="1">
        <f t="shared" si="340"/>
        <v>-20.366678241889574</v>
      </c>
      <c r="G1971" s="1">
        <f t="shared" si="337"/>
        <v>1.4284466499041539E-9</v>
      </c>
      <c r="H1971" s="1">
        <f t="shared" si="330"/>
        <v>1.4690274649756319E-11</v>
      </c>
      <c r="I1971">
        <f t="shared" si="331"/>
        <v>10</v>
      </c>
      <c r="J1971">
        <f t="shared" si="332"/>
        <v>1934</v>
      </c>
      <c r="K1971" s="5">
        <f t="shared" si="333"/>
        <v>0</v>
      </c>
      <c r="L1971">
        <f t="shared" si="334"/>
        <v>95</v>
      </c>
      <c r="M1971">
        <f t="shared" si="335"/>
        <v>1</v>
      </c>
      <c r="N1971">
        <f t="shared" si="336"/>
        <v>0</v>
      </c>
    </row>
    <row r="1972" spans="4:14" x14ac:dyDescent="0.2">
      <c r="D1972">
        <f t="shared" si="338"/>
        <v>1949</v>
      </c>
      <c r="E1972" s="1">
        <f t="shared" si="339"/>
        <v>-18.041439827227137</v>
      </c>
      <c r="F1972" s="1">
        <f t="shared" si="340"/>
        <v>-20.377149541756868</v>
      </c>
      <c r="G1972" s="1">
        <f t="shared" si="337"/>
        <v>1.413566997300987E-9</v>
      </c>
      <c r="H1972" s="1">
        <f t="shared" si="330"/>
        <v>1.4537250955488038E-11</v>
      </c>
      <c r="I1972">
        <f t="shared" si="331"/>
        <v>10</v>
      </c>
      <c r="J1972">
        <f t="shared" si="332"/>
        <v>1935</v>
      </c>
      <c r="K1972" s="5">
        <f t="shared" si="333"/>
        <v>0</v>
      </c>
      <c r="L1972">
        <f t="shared" si="334"/>
        <v>95</v>
      </c>
      <c r="M1972">
        <f t="shared" si="335"/>
        <v>1</v>
      </c>
      <c r="N1972">
        <f t="shared" si="336"/>
        <v>0</v>
      </c>
    </row>
    <row r="1973" spans="4:14" x14ac:dyDescent="0.2">
      <c r="D1973">
        <f t="shared" si="338"/>
        <v>1950</v>
      </c>
      <c r="E1973" s="1">
        <f t="shared" si="339"/>
        <v>-18.051911127094431</v>
      </c>
      <c r="F1973" s="1">
        <f t="shared" si="340"/>
        <v>-20.387620841624162</v>
      </c>
      <c r="G1973" s="1">
        <f t="shared" si="337"/>
        <v>1.398842341079103E-9</v>
      </c>
      <c r="H1973" s="1">
        <f t="shared" si="330"/>
        <v>1.4385821258035051E-11</v>
      </c>
      <c r="I1973">
        <f t="shared" si="331"/>
        <v>10</v>
      </c>
      <c r="J1973">
        <f t="shared" si="332"/>
        <v>1936</v>
      </c>
      <c r="K1973" s="5">
        <f t="shared" si="333"/>
        <v>0</v>
      </c>
      <c r="L1973">
        <f t="shared" si="334"/>
        <v>95</v>
      </c>
      <c r="M1973">
        <f t="shared" si="335"/>
        <v>1</v>
      </c>
      <c r="N1973">
        <f t="shared" si="336"/>
        <v>0</v>
      </c>
    </row>
    <row r="1974" spans="4:14" x14ac:dyDescent="0.2">
      <c r="D1974">
        <f t="shared" si="338"/>
        <v>1951</v>
      </c>
      <c r="E1974" s="1">
        <f t="shared" si="339"/>
        <v>-18.062382426961726</v>
      </c>
      <c r="F1974" s="1">
        <f t="shared" si="340"/>
        <v>-20.398092141491457</v>
      </c>
      <c r="G1974" s="1">
        <f t="shared" si="337"/>
        <v>1.3842710666928637E-9</v>
      </c>
      <c r="H1974" s="1">
        <f t="shared" si="330"/>
        <v>1.4235968953263866E-11</v>
      </c>
      <c r="I1974">
        <f t="shared" si="331"/>
        <v>10</v>
      </c>
      <c r="J1974">
        <f t="shared" si="332"/>
        <v>1937</v>
      </c>
      <c r="K1974" s="5">
        <f t="shared" si="333"/>
        <v>0</v>
      </c>
      <c r="L1974">
        <f t="shared" si="334"/>
        <v>95</v>
      </c>
      <c r="M1974">
        <f t="shared" si="335"/>
        <v>1</v>
      </c>
      <c r="N1974">
        <f t="shared" si="336"/>
        <v>0</v>
      </c>
    </row>
    <row r="1975" spans="4:14" x14ac:dyDescent="0.2">
      <c r="D1975">
        <f t="shared" si="338"/>
        <v>1952</v>
      </c>
      <c r="E1975" s="1">
        <f t="shared" si="339"/>
        <v>-18.07285372682902</v>
      </c>
      <c r="F1975" s="1">
        <f t="shared" si="340"/>
        <v>-20.408563441358751</v>
      </c>
      <c r="G1975" s="1">
        <f t="shared" si="337"/>
        <v>1.3698515764148143E-9</v>
      </c>
      <c r="H1975" s="1">
        <f t="shared" si="330"/>
        <v>1.4087677610000714E-11</v>
      </c>
      <c r="I1975">
        <f t="shared" si="331"/>
        <v>10</v>
      </c>
      <c r="J1975">
        <f t="shared" si="332"/>
        <v>1938</v>
      </c>
      <c r="K1975" s="5">
        <f t="shared" si="333"/>
        <v>0</v>
      </c>
      <c r="L1975">
        <f t="shared" si="334"/>
        <v>95</v>
      </c>
      <c r="M1975">
        <f t="shared" si="335"/>
        <v>1</v>
      </c>
      <c r="N1975">
        <f t="shared" si="336"/>
        <v>0</v>
      </c>
    </row>
    <row r="1976" spans="4:14" x14ac:dyDescent="0.2">
      <c r="D1976">
        <f t="shared" si="338"/>
        <v>1953</v>
      </c>
      <c r="E1976" s="1">
        <f t="shared" si="339"/>
        <v>-18.083325026696315</v>
      </c>
      <c r="F1976" s="1">
        <f t="shared" si="340"/>
        <v>-20.419034741226046</v>
      </c>
      <c r="G1976" s="1">
        <f t="shared" si="337"/>
        <v>1.3555822891604947E-9</v>
      </c>
      <c r="H1976" s="1">
        <f t="shared" si="330"/>
        <v>1.3940930968229886E-11</v>
      </c>
      <c r="I1976">
        <f t="shared" si="331"/>
        <v>10</v>
      </c>
      <c r="J1976">
        <f t="shared" si="332"/>
        <v>1939</v>
      </c>
      <c r="K1976" s="5">
        <f t="shared" si="333"/>
        <v>0</v>
      </c>
      <c r="L1976">
        <f t="shared" si="334"/>
        <v>95</v>
      </c>
      <c r="M1976">
        <f t="shared" si="335"/>
        <v>1</v>
      </c>
      <c r="N1976">
        <f t="shared" si="336"/>
        <v>0</v>
      </c>
    </row>
    <row r="1977" spans="4:14" x14ac:dyDescent="0.2">
      <c r="D1977">
        <f t="shared" si="338"/>
        <v>1954</v>
      </c>
      <c r="E1977" s="1">
        <f t="shared" si="339"/>
        <v>-18.093796326563609</v>
      </c>
      <c r="F1977" s="1">
        <f t="shared" si="340"/>
        <v>-20.42950604109334</v>
      </c>
      <c r="G1977" s="1">
        <f t="shared" si="337"/>
        <v>1.3414616403150742E-9</v>
      </c>
      <c r="H1977" s="1">
        <f t="shared" si="330"/>
        <v>1.379571293731084E-11</v>
      </c>
      <c r="I1977">
        <f t="shared" si="331"/>
        <v>10</v>
      </c>
      <c r="J1977">
        <f t="shared" si="332"/>
        <v>1940</v>
      </c>
      <c r="K1977" s="5">
        <f t="shared" si="333"/>
        <v>0</v>
      </c>
      <c r="L1977">
        <f t="shared" si="334"/>
        <v>95</v>
      </c>
      <c r="M1977">
        <f t="shared" si="335"/>
        <v>1</v>
      </c>
      <c r="N1977">
        <f t="shared" si="336"/>
        <v>0</v>
      </c>
    </row>
    <row r="1978" spans="4:14" x14ac:dyDescent="0.2">
      <c r="D1978">
        <f t="shared" si="338"/>
        <v>1955</v>
      </c>
      <c r="E1978" s="1">
        <f t="shared" si="339"/>
        <v>-18.104267626430904</v>
      </c>
      <c r="F1978" s="1">
        <f t="shared" si="340"/>
        <v>-20.439977340960635</v>
      </c>
      <c r="G1978" s="1">
        <f t="shared" si="337"/>
        <v>1.3274880815617934E-9</v>
      </c>
      <c r="H1978" s="1">
        <f t="shared" si="330"/>
        <v>1.3652007594213863E-11</v>
      </c>
      <c r="I1978">
        <f t="shared" si="331"/>
        <v>10</v>
      </c>
      <c r="J1978">
        <f t="shared" si="332"/>
        <v>1941</v>
      </c>
      <c r="K1978" s="5">
        <f t="shared" si="333"/>
        <v>0</v>
      </c>
      <c r="L1978">
        <f t="shared" si="334"/>
        <v>95</v>
      </c>
      <c r="M1978">
        <f t="shared" si="335"/>
        <v>1</v>
      </c>
      <c r="N1978">
        <f t="shared" si="336"/>
        <v>0</v>
      </c>
    </row>
    <row r="1979" spans="4:14" x14ac:dyDescent="0.2">
      <c r="D1979">
        <f t="shared" si="338"/>
        <v>1956</v>
      </c>
      <c r="E1979" s="1">
        <f t="shared" si="339"/>
        <v>-18.114738926298198</v>
      </c>
      <c r="F1979" s="1">
        <f t="shared" si="340"/>
        <v>-20.450448640827929</v>
      </c>
      <c r="G1979" s="1">
        <f t="shared" si="337"/>
        <v>1.3136600807121927E-9</v>
      </c>
      <c r="H1979" s="1">
        <f t="shared" si="330"/>
        <v>1.350979918177415E-11</v>
      </c>
      <c r="I1979">
        <f t="shared" si="331"/>
        <v>10</v>
      </c>
      <c r="J1979">
        <f t="shared" si="332"/>
        <v>1942</v>
      </c>
      <c r="K1979" s="5">
        <f t="shared" si="333"/>
        <v>0</v>
      </c>
      <c r="L1979">
        <f t="shared" si="334"/>
        <v>95</v>
      </c>
      <c r="M1979">
        <f t="shared" si="335"/>
        <v>1</v>
      </c>
      <c r="N1979">
        <f t="shared" si="336"/>
        <v>0</v>
      </c>
    </row>
    <row r="1980" spans="4:14" x14ac:dyDescent="0.2">
      <c r="D1980">
        <f t="shared" si="338"/>
        <v>1957</v>
      </c>
      <c r="E1980" s="1">
        <f t="shared" si="339"/>
        <v>-18.125210226165493</v>
      </c>
      <c r="F1980" s="1">
        <f t="shared" si="340"/>
        <v>-20.460919940695224</v>
      </c>
      <c r="G1980" s="1">
        <f t="shared" si="337"/>
        <v>1.2999761215381086E-9</v>
      </c>
      <c r="H1980" s="1">
        <f t="shared" si="330"/>
        <v>1.3369072106964016E-11</v>
      </c>
      <c r="I1980">
        <f t="shared" si="331"/>
        <v>10</v>
      </c>
      <c r="J1980">
        <f t="shared" si="332"/>
        <v>1943</v>
      </c>
      <c r="K1980" s="5">
        <f t="shared" si="333"/>
        <v>0</v>
      </c>
      <c r="L1980">
        <f t="shared" si="334"/>
        <v>95</v>
      </c>
      <c r="M1980">
        <f t="shared" si="335"/>
        <v>1</v>
      </c>
      <c r="N1980">
        <f t="shared" si="336"/>
        <v>0</v>
      </c>
    </row>
    <row r="1981" spans="4:14" x14ac:dyDescent="0.2">
      <c r="D1981">
        <f t="shared" si="338"/>
        <v>1958</v>
      </c>
      <c r="E1981" s="1">
        <f t="shared" si="339"/>
        <v>-18.135681526032787</v>
      </c>
      <c r="F1981" s="1">
        <f t="shared" si="340"/>
        <v>-20.471391240562518</v>
      </c>
      <c r="G1981" s="1">
        <f t="shared" si="337"/>
        <v>1.2864347036054211E-9</v>
      </c>
      <c r="H1981" s="1">
        <f t="shared" si="330"/>
        <v>1.3229810939183151E-11</v>
      </c>
      <c r="I1981">
        <f t="shared" si="331"/>
        <v>10</v>
      </c>
      <c r="J1981">
        <f t="shared" si="332"/>
        <v>1944</v>
      </c>
      <c r="K1981" s="5">
        <f t="shared" si="333"/>
        <v>0</v>
      </c>
      <c r="L1981">
        <f t="shared" si="334"/>
        <v>95</v>
      </c>
      <c r="M1981">
        <f t="shared" si="335"/>
        <v>1</v>
      </c>
      <c r="N1981">
        <f t="shared" si="336"/>
        <v>0</v>
      </c>
    </row>
    <row r="1982" spans="4:14" x14ac:dyDescent="0.2">
      <c r="D1982">
        <f t="shared" si="338"/>
        <v>1959</v>
      </c>
      <c r="E1982" s="1">
        <f t="shared" si="339"/>
        <v>-18.146152825900081</v>
      </c>
      <c r="F1982" s="1">
        <f t="shared" si="340"/>
        <v>-20.481862540429812</v>
      </c>
      <c r="G1982" s="1">
        <f t="shared" si="337"/>
        <v>1.2730343421095324E-9</v>
      </c>
      <c r="H1982" s="1">
        <f t="shared" si="330"/>
        <v>1.3092000408566673E-11</v>
      </c>
      <c r="I1982">
        <f t="shared" si="331"/>
        <v>10</v>
      </c>
      <c r="J1982">
        <f t="shared" si="332"/>
        <v>1945</v>
      </c>
      <c r="K1982" s="5">
        <f t="shared" si="333"/>
        <v>0</v>
      </c>
      <c r="L1982">
        <f t="shared" si="334"/>
        <v>95</v>
      </c>
      <c r="M1982">
        <f t="shared" si="335"/>
        <v>1</v>
      </c>
      <c r="N1982">
        <f t="shared" si="336"/>
        <v>0</v>
      </c>
    </row>
    <row r="1983" spans="4:14" x14ac:dyDescent="0.2">
      <c r="D1983">
        <f t="shared" si="338"/>
        <v>1960</v>
      </c>
      <c r="E1983" s="1">
        <f t="shared" si="339"/>
        <v>-18.156624125767376</v>
      </c>
      <c r="F1983" s="1">
        <f t="shared" si="340"/>
        <v>-20.492333840297107</v>
      </c>
      <c r="G1983" s="1">
        <f t="shared" si="337"/>
        <v>1.2597735677125595E-9</v>
      </c>
      <c r="H1983" s="1">
        <f t="shared" si="330"/>
        <v>1.2955625404310783E-11</v>
      </c>
      <c r="I1983">
        <f t="shared" si="331"/>
        <v>10</v>
      </c>
      <c r="J1983">
        <f t="shared" si="332"/>
        <v>1946</v>
      </c>
      <c r="K1983" s="5">
        <f t="shared" si="333"/>
        <v>0</v>
      </c>
      <c r="L1983">
        <f t="shared" si="334"/>
        <v>95</v>
      </c>
      <c r="M1983">
        <f t="shared" si="335"/>
        <v>1</v>
      </c>
      <c r="N1983">
        <f t="shared" si="336"/>
        <v>0</v>
      </c>
    </row>
    <row r="1984" spans="4:14" x14ac:dyDescent="0.2">
      <c r="D1984">
        <f t="shared" si="338"/>
        <v>1961</v>
      </c>
      <c r="E1984" s="1">
        <f t="shared" si="339"/>
        <v>-18.16709542563467</v>
      </c>
      <c r="F1984" s="1">
        <f t="shared" si="340"/>
        <v>-20.502805140164401</v>
      </c>
      <c r="G1984" s="1">
        <f t="shared" si="337"/>
        <v>1.2466509263822214E-9</v>
      </c>
      <c r="H1984" s="1">
        <f t="shared" si="330"/>
        <v>1.282067097301589E-11</v>
      </c>
      <c r="I1984">
        <f t="shared" si="331"/>
        <v>10</v>
      </c>
      <c r="J1984">
        <f t="shared" si="332"/>
        <v>1947</v>
      </c>
      <c r="K1984" s="5">
        <f t="shared" si="333"/>
        <v>0</v>
      </c>
      <c r="L1984">
        <f t="shared" si="334"/>
        <v>95</v>
      </c>
      <c r="M1984">
        <f t="shared" si="335"/>
        <v>1</v>
      </c>
      <c r="N1984">
        <f t="shared" si="336"/>
        <v>0</v>
      </c>
    </row>
    <row r="1985" spans="4:14" x14ac:dyDescent="0.2">
      <c r="D1985">
        <f t="shared" si="338"/>
        <v>1962</v>
      </c>
      <c r="E1985" s="1">
        <f t="shared" si="339"/>
        <v>-18.177566725501965</v>
      </c>
      <c r="F1985" s="1">
        <f t="shared" si="340"/>
        <v>-20.513276440031696</v>
      </c>
      <c r="G1985" s="1">
        <f t="shared" si="337"/>
        <v>1.2336649792324079E-9</v>
      </c>
      <c r="H1985" s="1">
        <f t="shared" si="330"/>
        <v>1.2687122317046989E-11</v>
      </c>
      <c r="I1985">
        <f t="shared" si="331"/>
        <v>10</v>
      </c>
      <c r="J1985">
        <f t="shared" si="332"/>
        <v>1948</v>
      </c>
      <c r="K1985" s="5">
        <f t="shared" si="333"/>
        <v>0</v>
      </c>
      <c r="L1985">
        <f t="shared" si="334"/>
        <v>95</v>
      </c>
      <c r="M1985">
        <f t="shared" si="335"/>
        <v>1</v>
      </c>
      <c r="N1985">
        <f t="shared" si="336"/>
        <v>0</v>
      </c>
    </row>
    <row r="1986" spans="4:14" x14ac:dyDescent="0.2">
      <c r="D1986">
        <f t="shared" si="338"/>
        <v>1963</v>
      </c>
      <c r="E1986" s="1">
        <f t="shared" si="339"/>
        <v>-18.188038025369259</v>
      </c>
      <c r="F1986" s="1">
        <f t="shared" si="340"/>
        <v>-20.52374773989899</v>
      </c>
      <c r="G1986" s="1">
        <f t="shared" si="337"/>
        <v>1.2208143023654048E-9</v>
      </c>
      <c r="H1986" s="1">
        <f t="shared" si="330"/>
        <v>1.2554964792911094E-11</v>
      </c>
      <c r="I1986">
        <f t="shared" si="331"/>
        <v>10</v>
      </c>
      <c r="J1986">
        <f t="shared" si="332"/>
        <v>1949</v>
      </c>
      <c r="K1986" s="5">
        <f t="shared" si="333"/>
        <v>0</v>
      </c>
      <c r="L1986">
        <f t="shared" si="334"/>
        <v>95</v>
      </c>
      <c r="M1986">
        <f t="shared" si="335"/>
        <v>1</v>
      </c>
      <c r="N1986">
        <f t="shared" si="336"/>
        <v>0</v>
      </c>
    </row>
    <row r="1987" spans="4:14" x14ac:dyDescent="0.2">
      <c r="D1987">
        <f t="shared" si="338"/>
        <v>1964</v>
      </c>
      <c r="E1987" s="1">
        <f t="shared" si="339"/>
        <v>-18.198509325236554</v>
      </c>
      <c r="F1987" s="1">
        <f t="shared" si="340"/>
        <v>-20.534219039766285</v>
      </c>
      <c r="G1987" s="1">
        <f t="shared" si="337"/>
        <v>1.2080974867157662E-9</v>
      </c>
      <c r="H1987" s="1">
        <f t="shared" si="330"/>
        <v>1.2424183909651614E-11</v>
      </c>
      <c r="I1987">
        <f t="shared" si="331"/>
        <v>10</v>
      </c>
      <c r="J1987">
        <f t="shared" si="332"/>
        <v>1950</v>
      </c>
      <c r="K1987" s="5">
        <f t="shared" si="333"/>
        <v>0</v>
      </c>
      <c r="L1987">
        <f t="shared" si="334"/>
        <v>95</v>
      </c>
      <c r="M1987">
        <f t="shared" si="335"/>
        <v>1</v>
      </c>
      <c r="N1987">
        <f t="shared" si="336"/>
        <v>0</v>
      </c>
    </row>
    <row r="1988" spans="4:14" x14ac:dyDescent="0.2">
      <c r="D1988">
        <f t="shared" si="338"/>
        <v>1965</v>
      </c>
      <c r="E1988" s="1">
        <f t="shared" si="339"/>
        <v>-18.208980625103848</v>
      </c>
      <c r="F1988" s="1">
        <f t="shared" si="340"/>
        <v>-20.544690339633579</v>
      </c>
      <c r="G1988" s="1">
        <f t="shared" si="337"/>
        <v>1.1955131378958116E-9</v>
      </c>
      <c r="H1988" s="1">
        <f t="shared" si="330"/>
        <v>1.2294765327259424E-11</v>
      </c>
      <c r="I1988">
        <f t="shared" si="331"/>
        <v>10</v>
      </c>
      <c r="J1988">
        <f t="shared" si="332"/>
        <v>1951</v>
      </c>
      <c r="K1988" s="5">
        <f t="shared" si="333"/>
        <v>0</v>
      </c>
      <c r="L1988">
        <f t="shared" si="334"/>
        <v>95</v>
      </c>
      <c r="M1988">
        <f t="shared" si="335"/>
        <v>1</v>
      </c>
      <c r="N1988">
        <f t="shared" si="336"/>
        <v>0</v>
      </c>
    </row>
    <row r="1989" spans="4:14" x14ac:dyDescent="0.2">
      <c r="D1989">
        <f t="shared" si="338"/>
        <v>1966</v>
      </c>
      <c r="E1989" s="1">
        <f t="shared" si="339"/>
        <v>-18.219451924971143</v>
      </c>
      <c r="F1989" s="1">
        <f t="shared" si="340"/>
        <v>-20.555161639500874</v>
      </c>
      <c r="G1989" s="1">
        <f t="shared" si="337"/>
        <v>1.1830598760427313E-9</v>
      </c>
      <c r="H1989" s="1">
        <f t="shared" si="330"/>
        <v>1.2166694855100481E-11</v>
      </c>
      <c r="I1989">
        <f t="shared" si="331"/>
        <v>10</v>
      </c>
      <c r="J1989">
        <f t="shared" si="332"/>
        <v>1952</v>
      </c>
      <c r="K1989" s="5">
        <f t="shared" si="333"/>
        <v>0</v>
      </c>
      <c r="L1989">
        <f t="shared" si="334"/>
        <v>95</v>
      </c>
      <c r="M1989">
        <f t="shared" si="335"/>
        <v>1</v>
      </c>
      <c r="N1989">
        <f t="shared" si="336"/>
        <v>0</v>
      </c>
    </row>
    <row r="1990" spans="4:14" x14ac:dyDescent="0.2">
      <c r="D1990">
        <f t="shared" si="338"/>
        <v>1967</v>
      </c>
      <c r="E1990" s="1">
        <f t="shared" si="339"/>
        <v>-18.229923224838437</v>
      </c>
      <c r="F1990" s="1">
        <f t="shared" si="340"/>
        <v>-20.565632939368168</v>
      </c>
      <c r="G1990" s="1">
        <f t="shared" si="337"/>
        <v>1.1707363356672874E-9</v>
      </c>
      <c r="H1990" s="1">
        <f t="shared" si="330"/>
        <v>1.2039958450359864E-11</v>
      </c>
      <c r="I1990">
        <f t="shared" si="331"/>
        <v>10</v>
      </c>
      <c r="J1990">
        <f t="shared" si="332"/>
        <v>1953</v>
      </c>
      <c r="K1990" s="5">
        <f t="shared" si="333"/>
        <v>0</v>
      </c>
      <c r="L1990">
        <f t="shared" si="334"/>
        <v>95</v>
      </c>
      <c r="M1990">
        <f t="shared" si="335"/>
        <v>1</v>
      </c>
      <c r="N1990">
        <f t="shared" si="336"/>
        <v>0</v>
      </c>
    </row>
    <row r="1991" spans="4:14" x14ac:dyDescent="0.2">
      <c r="D1991">
        <f t="shared" si="338"/>
        <v>1968</v>
      </c>
      <c r="E1991" s="1">
        <f t="shared" si="339"/>
        <v>-18.240394524705732</v>
      </c>
      <c r="F1991" s="1">
        <f t="shared" si="340"/>
        <v>-20.576104239235463</v>
      </c>
      <c r="G1991" s="1">
        <f t="shared" si="337"/>
        <v>1.1585411655040875E-9</v>
      </c>
      <c r="H1991" s="1">
        <f t="shared" si="330"/>
        <v>1.191454221650196E-11</v>
      </c>
      <c r="I1991">
        <f t="shared" si="331"/>
        <v>10</v>
      </c>
      <c r="J1991">
        <f t="shared" si="332"/>
        <v>1954</v>
      </c>
      <c r="K1991" s="5">
        <f t="shared" si="333"/>
        <v>0</v>
      </c>
      <c r="L1991">
        <f t="shared" si="334"/>
        <v>95</v>
      </c>
      <c r="M1991">
        <f t="shared" si="335"/>
        <v>1</v>
      </c>
      <c r="N1991">
        <f t="shared" si="336"/>
        <v>0</v>
      </c>
    </row>
    <row r="1992" spans="4:14" x14ac:dyDescent="0.2">
      <c r="D1992">
        <f t="shared" si="338"/>
        <v>1969</v>
      </c>
      <c r="E1992" s="1">
        <f t="shared" si="339"/>
        <v>-18.250865824573026</v>
      </c>
      <c r="F1992" s="1">
        <f t="shared" si="340"/>
        <v>-20.586575539102757</v>
      </c>
      <c r="G1992" s="1">
        <f t="shared" si="337"/>
        <v>1.146473028363421E-9</v>
      </c>
      <c r="H1992" s="1">
        <f t="shared" si="330"/>
        <v>1.1790432401746742E-11</v>
      </c>
      <c r="I1992">
        <f t="shared" si="331"/>
        <v>10</v>
      </c>
      <c r="J1992">
        <f t="shared" si="332"/>
        <v>1955</v>
      </c>
      <c r="K1992" s="5">
        <f t="shared" si="333"/>
        <v>0</v>
      </c>
      <c r="L1992">
        <f t="shared" si="334"/>
        <v>95</v>
      </c>
      <c r="M1992">
        <f t="shared" si="335"/>
        <v>1</v>
      </c>
      <c r="N1992">
        <f t="shared" si="336"/>
        <v>0</v>
      </c>
    </row>
    <row r="1993" spans="4:14" x14ac:dyDescent="0.2">
      <c r="D1993">
        <f t="shared" si="338"/>
        <v>1970</v>
      </c>
      <c r="E1993" s="1">
        <f t="shared" si="339"/>
        <v>-18.26133712444032</v>
      </c>
      <c r="F1993" s="1">
        <f t="shared" si="340"/>
        <v>-20.597046838970051</v>
      </c>
      <c r="G1993" s="1">
        <f t="shared" si="337"/>
        <v>1.1345306009846365E-9</v>
      </c>
      <c r="H1993" s="1">
        <f t="shared" si="330"/>
        <v>1.1667615397561892E-11</v>
      </c>
      <c r="I1993">
        <f t="shared" si="331"/>
        <v>10</v>
      </c>
      <c r="J1993">
        <f t="shared" si="332"/>
        <v>1956</v>
      </c>
      <c r="K1993" s="5">
        <f t="shared" si="333"/>
        <v>0</v>
      </c>
      <c r="L1993">
        <f t="shared" si="334"/>
        <v>95</v>
      </c>
      <c r="M1993">
        <f t="shared" si="335"/>
        <v>1</v>
      </c>
      <c r="N1993">
        <f t="shared" si="336"/>
        <v>0</v>
      </c>
    </row>
    <row r="1994" spans="4:14" x14ac:dyDescent="0.2">
      <c r="D1994">
        <f t="shared" si="338"/>
        <v>1971</v>
      </c>
      <c r="E1994" s="1">
        <f t="shared" si="339"/>
        <v>-18.271808424307615</v>
      </c>
      <c r="F1994" s="1">
        <f t="shared" si="340"/>
        <v>-20.607518138837346</v>
      </c>
      <c r="G1994" s="1">
        <f t="shared" si="337"/>
        <v>1.1227125738910475E-9</v>
      </c>
      <c r="H1994" s="1">
        <f t="shared" si="330"/>
        <v>1.1546077737170631E-11</v>
      </c>
      <c r="I1994">
        <f t="shared" si="331"/>
        <v>10</v>
      </c>
      <c r="J1994">
        <f t="shared" si="332"/>
        <v>1957</v>
      </c>
      <c r="K1994" s="5">
        <f t="shared" si="333"/>
        <v>0</v>
      </c>
      <c r="L1994">
        <f t="shared" si="334"/>
        <v>95</v>
      </c>
      <c r="M1994">
        <f t="shared" si="335"/>
        <v>1</v>
      </c>
      <c r="N1994">
        <f t="shared" si="336"/>
        <v>0</v>
      </c>
    </row>
    <row r="1995" spans="4:14" x14ac:dyDescent="0.2">
      <c r="D1995">
        <f t="shared" si="338"/>
        <v>1972</v>
      </c>
      <c r="E1995" s="1">
        <f t="shared" si="339"/>
        <v>-18.282279724174909</v>
      </c>
      <c r="F1995" s="1">
        <f t="shared" si="340"/>
        <v>-20.61798943870464</v>
      </c>
      <c r="G1995" s="1">
        <f t="shared" si="337"/>
        <v>1.1110176512463503E-9</v>
      </c>
      <c r="H1995" s="1">
        <f t="shared" si="330"/>
        <v>1.1425806094075117E-11</v>
      </c>
      <c r="I1995">
        <f t="shared" si="331"/>
        <v>10</v>
      </c>
      <c r="J1995">
        <f t="shared" si="332"/>
        <v>1958</v>
      </c>
      <c r="K1995" s="5">
        <f t="shared" si="333"/>
        <v>0</v>
      </c>
      <c r="L1995">
        <f t="shared" si="334"/>
        <v>95</v>
      </c>
      <c r="M1995">
        <f t="shared" si="335"/>
        <v>1</v>
      </c>
      <c r="N1995">
        <f t="shared" si="336"/>
        <v>0</v>
      </c>
    </row>
    <row r="1996" spans="4:14" x14ac:dyDescent="0.2">
      <c r="D1996">
        <f t="shared" si="338"/>
        <v>1973</v>
      </c>
      <c r="E1996" s="1">
        <f t="shared" si="339"/>
        <v>-18.292751024042204</v>
      </c>
      <c r="F1996" s="1">
        <f t="shared" si="340"/>
        <v>-20.628460738571935</v>
      </c>
      <c r="G1996" s="1">
        <f t="shared" si="337"/>
        <v>1.0994445507125351E-9</v>
      </c>
      <c r="H1996" s="1">
        <f t="shared" si="330"/>
        <v>1.1306787280595177E-11</v>
      </c>
      <c r="I1996">
        <f t="shared" si="331"/>
        <v>10</v>
      </c>
      <c r="J1996">
        <f t="shared" si="332"/>
        <v>1959</v>
      </c>
      <c r="K1996" s="5">
        <f t="shared" si="333"/>
        <v>0</v>
      </c>
      <c r="L1996">
        <f t="shared" si="334"/>
        <v>95</v>
      </c>
      <c r="M1996">
        <f t="shared" si="335"/>
        <v>1</v>
      </c>
      <c r="N1996">
        <f t="shared" si="336"/>
        <v>0</v>
      </c>
    </row>
    <row r="1997" spans="4:14" x14ac:dyDescent="0.2">
      <c r="D1997">
        <f t="shared" si="338"/>
        <v>1974</v>
      </c>
      <c r="E1997" s="1">
        <f t="shared" si="339"/>
        <v>-18.303222323909498</v>
      </c>
      <c r="F1997" s="1">
        <f t="shared" si="340"/>
        <v>-20.638932038439229</v>
      </c>
      <c r="G1997" s="1">
        <f t="shared" si="337"/>
        <v>1.0879920033092807E-9</v>
      </c>
      <c r="H1997" s="1">
        <f t="shared" si="330"/>
        <v>1.1189008246422323E-11</v>
      </c>
      <c r="I1997">
        <f t="shared" si="331"/>
        <v>10</v>
      </c>
      <c r="J1997">
        <f t="shared" si="332"/>
        <v>1960</v>
      </c>
      <c r="K1997" s="5">
        <f t="shared" si="333"/>
        <v>0</v>
      </c>
      <c r="L1997">
        <f t="shared" si="334"/>
        <v>95</v>
      </c>
      <c r="M1997">
        <f t="shared" si="335"/>
        <v>1</v>
      </c>
      <c r="N1997">
        <f t="shared" si="336"/>
        <v>0</v>
      </c>
    </row>
    <row r="1998" spans="4:14" x14ac:dyDescent="0.2">
      <c r="D1998">
        <f t="shared" si="338"/>
        <v>1975</v>
      </c>
      <c r="E1998" s="1">
        <f t="shared" si="339"/>
        <v>-18.313693623776793</v>
      </c>
      <c r="F1998" s="1">
        <f t="shared" si="340"/>
        <v>-20.649403338306524</v>
      </c>
      <c r="G1998" s="1">
        <f t="shared" si="337"/>
        <v>1.07665875327481E-9</v>
      </c>
      <c r="H1998" s="1">
        <f t="shared" si="330"/>
        <v>1.1072456077188767E-11</v>
      </c>
      <c r="I1998">
        <f t="shared" si="331"/>
        <v>10</v>
      </c>
      <c r="J1998">
        <f t="shared" si="332"/>
        <v>1961</v>
      </c>
      <c r="K1998" s="5">
        <f t="shared" si="333"/>
        <v>0</v>
      </c>
      <c r="L1998">
        <f t="shared" si="334"/>
        <v>95</v>
      </c>
      <c r="M1998">
        <f t="shared" si="335"/>
        <v>1</v>
      </c>
      <c r="N1998">
        <f t="shared" si="336"/>
        <v>0</v>
      </c>
    </row>
    <row r="1999" spans="4:14" x14ac:dyDescent="0.2">
      <c r="D1999">
        <f t="shared" si="338"/>
        <v>1976</v>
      </c>
      <c r="E1999" s="1">
        <f t="shared" si="339"/>
        <v>-18.324164923644087</v>
      </c>
      <c r="F1999" s="1">
        <f t="shared" si="340"/>
        <v>-20.659874638173818</v>
      </c>
      <c r="G1999" s="1">
        <f t="shared" si="337"/>
        <v>1.0654435579281983E-9</v>
      </c>
      <c r="H1999" s="1">
        <f t="shared" si="330"/>
        <v>1.0957117993051394E-11</v>
      </c>
      <c r="I1999">
        <f t="shared" si="331"/>
        <v>10</v>
      </c>
      <c r="J1999">
        <f t="shared" si="332"/>
        <v>1962</v>
      </c>
      <c r="K1999" s="5">
        <f t="shared" si="333"/>
        <v>0</v>
      </c>
      <c r="L1999">
        <f t="shared" si="334"/>
        <v>95</v>
      </c>
      <c r="M1999">
        <f t="shared" si="335"/>
        <v>1</v>
      </c>
      <c r="N1999">
        <f t="shared" si="336"/>
        <v>0</v>
      </c>
    </row>
    <row r="2000" spans="4:14" x14ac:dyDescent="0.2">
      <c r="D2000">
        <f t="shared" si="338"/>
        <v>1977</v>
      </c>
      <c r="E2000" s="1">
        <f t="shared" si="339"/>
        <v>-18.334636223511382</v>
      </c>
      <c r="F2000" s="1">
        <f t="shared" si="340"/>
        <v>-20.670345938041113</v>
      </c>
      <c r="G2000" s="1">
        <f t="shared" si="337"/>
        <v>1.054345187533114E-9</v>
      </c>
      <c r="H2000" s="1">
        <f t="shared" si="330"/>
        <v>1.0842981347290452E-11</v>
      </c>
      <c r="I2000">
        <f t="shared" si="331"/>
        <v>10</v>
      </c>
      <c r="J2000">
        <f t="shared" si="332"/>
        <v>1963</v>
      </c>
      <c r="K2000" s="5">
        <f t="shared" si="333"/>
        <v>0</v>
      </c>
      <c r="L2000">
        <f t="shared" si="334"/>
        <v>95</v>
      </c>
      <c r="M2000">
        <f t="shared" si="335"/>
        <v>1</v>
      </c>
      <c r="N2000">
        <f t="shared" si="336"/>
        <v>0</v>
      </c>
    </row>
    <row r="2001" spans="4:14" x14ac:dyDescent="0.2">
      <c r="D2001">
        <f t="shared" si="338"/>
        <v>1978</v>
      </c>
      <c r="E2001" s="1">
        <f t="shared" si="339"/>
        <v>-18.345107523378676</v>
      </c>
      <c r="F2001" s="1">
        <f t="shared" si="340"/>
        <v>-20.680817237908407</v>
      </c>
      <c r="G2001" s="1">
        <f t="shared" si="337"/>
        <v>1.0433624251629783E-9</v>
      </c>
      <c r="H2001" s="1">
        <f t="shared" si="330"/>
        <v>1.0730033624922853E-11</v>
      </c>
      <c r="I2001">
        <f t="shared" si="331"/>
        <v>10</v>
      </c>
      <c r="J2001">
        <f t="shared" si="332"/>
        <v>1964</v>
      </c>
      <c r="K2001" s="5">
        <f t="shared" si="333"/>
        <v>0</v>
      </c>
      <c r="L2001">
        <f t="shared" si="334"/>
        <v>95</v>
      </c>
      <c r="M2001">
        <f t="shared" si="335"/>
        <v>1</v>
      </c>
      <c r="N2001">
        <f t="shared" si="336"/>
        <v>0</v>
      </c>
    </row>
    <row r="2002" spans="4:14" x14ac:dyDescent="0.2">
      <c r="D2002">
        <f t="shared" si="338"/>
        <v>1979</v>
      </c>
      <c r="E2002" s="1">
        <f t="shared" si="339"/>
        <v>-18.35557882324597</v>
      </c>
      <c r="F2002" s="1">
        <f t="shared" si="340"/>
        <v>-20.691288537775701</v>
      </c>
      <c r="G2002" s="1">
        <f t="shared" si="337"/>
        <v>1.0324940665675317E-9</v>
      </c>
      <c r="H2002" s="1">
        <f t="shared" si="330"/>
        <v>1.0618262441329918E-11</v>
      </c>
      <c r="I2002">
        <f t="shared" si="331"/>
        <v>10</v>
      </c>
      <c r="J2002">
        <f t="shared" si="332"/>
        <v>1965</v>
      </c>
      <c r="K2002" s="5">
        <f t="shared" si="333"/>
        <v>0</v>
      </c>
      <c r="L2002">
        <f t="shared" si="334"/>
        <v>95</v>
      </c>
      <c r="M2002">
        <f t="shared" si="335"/>
        <v>1</v>
      </c>
      <c r="N2002">
        <f t="shared" si="336"/>
        <v>0</v>
      </c>
    </row>
    <row r="2003" spans="4:14" x14ac:dyDescent="0.2">
      <c r="D2003">
        <f t="shared" si="338"/>
        <v>1980</v>
      </c>
      <c r="E2003" s="1">
        <f t="shared" si="339"/>
        <v>-18.366050123113265</v>
      </c>
      <c r="F2003" s="1">
        <f t="shared" si="340"/>
        <v>-20.701759837642996</v>
      </c>
      <c r="G2003" s="1">
        <f t="shared" si="337"/>
        <v>1.0217389200407874E-9</v>
      </c>
      <c r="H2003" s="1">
        <f t="shared" si="330"/>
        <v>1.0507655540899407E-11</v>
      </c>
      <c r="I2003">
        <f t="shared" si="331"/>
        <v>10</v>
      </c>
      <c r="J2003">
        <f t="shared" si="332"/>
        <v>1966</v>
      </c>
      <c r="K2003" s="5">
        <f t="shared" si="333"/>
        <v>0</v>
      </c>
      <c r="L2003">
        <f t="shared" si="334"/>
        <v>95</v>
      </c>
      <c r="M2003">
        <f t="shared" si="335"/>
        <v>1</v>
      </c>
      <c r="N2003">
        <f t="shared" si="336"/>
        <v>0</v>
      </c>
    </row>
    <row r="2004" spans="4:14" x14ac:dyDescent="0.2">
      <c r="D2004">
        <f t="shared" si="338"/>
        <v>1981</v>
      </c>
      <c r="E2004" s="1">
        <f t="shared" si="339"/>
        <v>-18.376521422980559</v>
      </c>
      <c r="F2004" s="1">
        <f t="shared" si="340"/>
        <v>-20.71223113751029</v>
      </c>
      <c r="G2004" s="1">
        <f t="shared" si="337"/>
        <v>1.0110958062903637E-9</v>
      </c>
      <c r="H2004" s="1">
        <f t="shared" si="330"/>
        <v>1.0398200795681716E-11</v>
      </c>
      <c r="I2004">
        <f t="shared" si="331"/>
        <v>10</v>
      </c>
      <c r="J2004">
        <f t="shared" si="332"/>
        <v>1967</v>
      </c>
      <c r="K2004" s="5">
        <f t="shared" si="333"/>
        <v>0</v>
      </c>
      <c r="L2004">
        <f t="shared" si="334"/>
        <v>95</v>
      </c>
      <c r="M2004">
        <f t="shared" si="335"/>
        <v>1</v>
      </c>
      <c r="N2004">
        <f t="shared" si="336"/>
        <v>0</v>
      </c>
    </row>
    <row r="2005" spans="4:14" x14ac:dyDescent="0.2">
      <c r="D2005">
        <f t="shared" si="338"/>
        <v>1982</v>
      </c>
      <c r="E2005" s="1">
        <f t="shared" si="339"/>
        <v>-18.386992722847854</v>
      </c>
      <c r="F2005" s="1">
        <f t="shared" si="340"/>
        <v>-20.722702437377585</v>
      </c>
      <c r="G2005" s="1">
        <f t="shared" si="337"/>
        <v>1.0005635583081733E-9</v>
      </c>
      <c r="H2005" s="1">
        <f t="shared" si="330"/>
        <v>1.0289886204060041E-11</v>
      </c>
      <c r="I2005">
        <f t="shared" si="331"/>
        <v>10</v>
      </c>
      <c r="J2005">
        <f t="shared" si="332"/>
        <v>1968</v>
      </c>
      <c r="K2005" s="5">
        <f t="shared" si="333"/>
        <v>0</v>
      </c>
      <c r="L2005">
        <f t="shared" si="334"/>
        <v>95</v>
      </c>
      <c r="M2005">
        <f t="shared" si="335"/>
        <v>1</v>
      </c>
      <c r="N2005">
        <f t="shared" si="336"/>
        <v>0</v>
      </c>
    </row>
    <row r="2006" spans="4:14" x14ac:dyDescent="0.2">
      <c r="D2006">
        <f t="shared" si="338"/>
        <v>1983</v>
      </c>
      <c r="E2006" s="1">
        <f t="shared" si="339"/>
        <v>-18.397464022715148</v>
      </c>
      <c r="F2006" s="1">
        <f t="shared" si="340"/>
        <v>-20.733173737244879</v>
      </c>
      <c r="G2006" s="1">
        <f t="shared" si="337"/>
        <v>9.90141021242464E-10</v>
      </c>
      <c r="H2006" s="1">
        <f t="shared" si="330"/>
        <v>1.0182699889434424E-11</v>
      </c>
      <c r="I2006">
        <f t="shared" si="331"/>
        <v>10</v>
      </c>
      <c r="J2006">
        <f t="shared" si="332"/>
        <v>1969</v>
      </c>
      <c r="K2006" s="5">
        <f t="shared" si="333"/>
        <v>0</v>
      </c>
      <c r="L2006">
        <f t="shared" si="334"/>
        <v>95</v>
      </c>
      <c r="M2006">
        <f t="shared" si="335"/>
        <v>1</v>
      </c>
      <c r="N2006">
        <f t="shared" si="336"/>
        <v>0</v>
      </c>
    </row>
    <row r="2007" spans="4:14" x14ac:dyDescent="0.2">
      <c r="D2007">
        <f t="shared" si="338"/>
        <v>1984</v>
      </c>
      <c r="E2007" s="1">
        <f t="shared" si="339"/>
        <v>-18.407935322582443</v>
      </c>
      <c r="F2007" s="1">
        <f t="shared" si="340"/>
        <v>-20.743645037112174</v>
      </c>
      <c r="G2007" s="1">
        <f t="shared" si="337"/>
        <v>9.798270522711894E-10</v>
      </c>
      <c r="H2007" s="1">
        <f t="shared" ref="H2007:H2023" si="341">G2007/$G$21</f>
        <v>1.0076630098919493E-11</v>
      </c>
      <c r="I2007">
        <f t="shared" ref="I2007:I2023" si="342">IF($F$11&lt;=D2007, IF(D2007&lt;=$A$15,D2007-$F$11,$C$11),0)</f>
        <v>10</v>
      </c>
      <c r="J2007">
        <f t="shared" ref="J2007:J2023" si="343">IF(D2007&lt;=$A$15,0,D2007-$A$15)</f>
        <v>1970</v>
      </c>
      <c r="K2007" s="5">
        <f t="shared" ref="K2007:K2023" si="344">IF(D2007&lt;$F$11,H2007,0)</f>
        <v>0</v>
      </c>
      <c r="L2007">
        <f t="shared" ref="L2007:L2023" si="345">IF(D2007&lt;$A$15,$D$11,$D$11*(1-$H$11))</f>
        <v>95</v>
      </c>
      <c r="M2007">
        <f t="shared" ref="M2007:M2023" si="346">IF(D2007&lt;$A$15,0,1)</f>
        <v>1</v>
      </c>
      <c r="N2007">
        <f t="shared" ref="N2007:N2023" si="347">IF(SUM(I2007:J2007)&lt;=($G$11/60*$F$11/($E$11/60)),1,0)</f>
        <v>0</v>
      </c>
    </row>
    <row r="2008" spans="4:14" x14ac:dyDescent="0.2">
      <c r="D2008">
        <f t="shared" si="338"/>
        <v>1985</v>
      </c>
      <c r="E2008" s="1">
        <f t="shared" si="339"/>
        <v>-18.418406622449737</v>
      </c>
      <c r="F2008" s="1">
        <f t="shared" si="340"/>
        <v>-20.754116336979468</v>
      </c>
      <c r="G2008" s="1">
        <f t="shared" ref="G2008:G2023" si="348">EXP(F2008)</f>
        <v>9.6962052047669865E-10</v>
      </c>
      <c r="H2008" s="1">
        <f t="shared" si="341"/>
        <v>9.9716652020557576E-12</v>
      </c>
      <c r="I2008">
        <f t="shared" si="342"/>
        <v>10</v>
      </c>
      <c r="J2008">
        <f t="shared" si="343"/>
        <v>1971</v>
      </c>
      <c r="K2008" s="5">
        <f t="shared" si="344"/>
        <v>0</v>
      </c>
      <c r="L2008">
        <f t="shared" si="345"/>
        <v>95</v>
      </c>
      <c r="M2008">
        <f t="shared" si="346"/>
        <v>1</v>
      </c>
      <c r="N2008">
        <f t="shared" si="347"/>
        <v>0</v>
      </c>
    </row>
    <row r="2009" spans="4:14" x14ac:dyDescent="0.2">
      <c r="D2009">
        <f t="shared" ref="D2009:D2023" si="349">1+D2008</f>
        <v>1986</v>
      </c>
      <c r="E2009" s="1">
        <f t="shared" ref="E2009:E2023" si="350">IF($H$11=1,IF(D2009&lt;=$A$15, E2008+LN($D$11)-LN(60/$E$11)-LN(MIN(D2009,$F$11)), E2008-LN(60/$E$11)-LN(MIN(D2009,$F$11))), IF(D2009&lt;=$A$15, E2008+LN($D$11)-LN(60/$E$11)-LN(MIN(D2009,$F$11)), E2008+LN($D$11)+LN(1-$H$11)-LN(60/$E$11)-LN(MIN(D2009,$F$11))))</f>
        <v>-18.428877922317032</v>
      </c>
      <c r="F2009" s="1">
        <f t="shared" ref="F2009:F2023" si="351">E2009-$E$21</f>
        <v>-20.764587636846763</v>
      </c>
      <c r="G2009" s="1">
        <f t="shared" si="348"/>
        <v>9.5952030672173408E-10</v>
      </c>
      <c r="H2009" s="1">
        <f t="shared" si="341"/>
        <v>9.8677936895343542E-12</v>
      </c>
      <c r="I2009">
        <f t="shared" si="342"/>
        <v>10</v>
      </c>
      <c r="J2009">
        <f t="shared" si="343"/>
        <v>1972</v>
      </c>
      <c r="K2009" s="5">
        <f t="shared" si="344"/>
        <v>0</v>
      </c>
      <c r="L2009">
        <f t="shared" si="345"/>
        <v>95</v>
      </c>
      <c r="M2009">
        <f t="shared" si="346"/>
        <v>1</v>
      </c>
      <c r="N2009">
        <f t="shared" si="347"/>
        <v>0</v>
      </c>
    </row>
    <row r="2010" spans="4:14" x14ac:dyDescent="0.2">
      <c r="D2010">
        <f t="shared" si="349"/>
        <v>1987</v>
      </c>
      <c r="E2010" s="1">
        <f t="shared" si="350"/>
        <v>-18.439349222184326</v>
      </c>
      <c r="F2010" s="1">
        <f t="shared" si="351"/>
        <v>-20.775058936714057</v>
      </c>
      <c r="G2010" s="1">
        <f t="shared" si="348"/>
        <v>9.4952530352671688E-10</v>
      </c>
      <c r="H2010" s="1">
        <f t="shared" si="341"/>
        <v>9.7650041719350467E-12</v>
      </c>
      <c r="I2010">
        <f t="shared" si="342"/>
        <v>10</v>
      </c>
      <c r="J2010">
        <f t="shared" si="343"/>
        <v>1973</v>
      </c>
      <c r="K2010" s="5">
        <f t="shared" si="344"/>
        <v>0</v>
      </c>
      <c r="L2010">
        <f t="shared" si="345"/>
        <v>95</v>
      </c>
      <c r="M2010">
        <f t="shared" si="346"/>
        <v>1</v>
      </c>
      <c r="N2010">
        <f t="shared" si="347"/>
        <v>0</v>
      </c>
    </row>
    <row r="2011" spans="4:14" x14ac:dyDescent="0.2">
      <c r="D2011">
        <f t="shared" si="349"/>
        <v>1988</v>
      </c>
      <c r="E2011" s="1">
        <f t="shared" si="350"/>
        <v>-18.44982052205162</v>
      </c>
      <c r="F2011" s="1">
        <f t="shared" si="351"/>
        <v>-20.785530236581351</v>
      </c>
      <c r="G2011" s="1">
        <f t="shared" si="348"/>
        <v>9.3963441494831456E-10</v>
      </c>
      <c r="H2011" s="1">
        <f t="shared" si="341"/>
        <v>9.6632853784773989E-12</v>
      </c>
      <c r="I2011">
        <f t="shared" si="342"/>
        <v>10</v>
      </c>
      <c r="J2011">
        <f t="shared" si="343"/>
        <v>1974</v>
      </c>
      <c r="K2011" s="5">
        <f t="shared" si="344"/>
        <v>0</v>
      </c>
      <c r="L2011">
        <f t="shared" si="345"/>
        <v>95</v>
      </c>
      <c r="M2011">
        <f t="shared" si="346"/>
        <v>1</v>
      </c>
      <c r="N2011">
        <f t="shared" si="347"/>
        <v>0</v>
      </c>
    </row>
    <row r="2012" spans="4:14" x14ac:dyDescent="0.2">
      <c r="D2012">
        <f t="shared" si="349"/>
        <v>1989</v>
      </c>
      <c r="E2012" s="1">
        <f t="shared" si="350"/>
        <v>-18.460291821918915</v>
      </c>
      <c r="F2012" s="1">
        <f t="shared" si="351"/>
        <v>-20.796001536448646</v>
      </c>
      <c r="G2012" s="1">
        <f t="shared" si="348"/>
        <v>9.2984655645927048E-10</v>
      </c>
      <c r="H2012" s="1">
        <f t="shared" si="341"/>
        <v>9.5626261557849355E-12</v>
      </c>
      <c r="I2012">
        <f t="shared" si="342"/>
        <v>10</v>
      </c>
      <c r="J2012">
        <f t="shared" si="343"/>
        <v>1975</v>
      </c>
      <c r="K2012" s="5">
        <f t="shared" si="344"/>
        <v>0</v>
      </c>
      <c r="L2012">
        <f t="shared" si="345"/>
        <v>95</v>
      </c>
      <c r="M2012">
        <f t="shared" si="346"/>
        <v>1</v>
      </c>
      <c r="N2012">
        <f t="shared" si="347"/>
        <v>0</v>
      </c>
    </row>
    <row r="2013" spans="4:14" x14ac:dyDescent="0.2">
      <c r="D2013">
        <f t="shared" si="349"/>
        <v>1990</v>
      </c>
      <c r="E2013" s="1">
        <f t="shared" si="350"/>
        <v>-18.470763121786209</v>
      </c>
      <c r="F2013" s="1">
        <f t="shared" si="351"/>
        <v>-20.80647283631594</v>
      </c>
      <c r="G2013" s="1">
        <f t="shared" si="348"/>
        <v>9.2016065482948724E-10</v>
      </c>
      <c r="H2013" s="1">
        <f t="shared" si="341"/>
        <v>9.4630154666621846E-12</v>
      </c>
      <c r="I2013">
        <f t="shared" si="342"/>
        <v>10</v>
      </c>
      <c r="J2013">
        <f t="shared" si="343"/>
        <v>1976</v>
      </c>
      <c r="K2013" s="5">
        <f t="shared" si="344"/>
        <v>0</v>
      </c>
      <c r="L2013">
        <f t="shared" si="345"/>
        <v>95</v>
      </c>
      <c r="M2013">
        <f t="shared" si="346"/>
        <v>1</v>
      </c>
      <c r="N2013">
        <f t="shared" si="347"/>
        <v>0</v>
      </c>
    </row>
    <row r="2014" spans="4:14" x14ac:dyDescent="0.2">
      <c r="D2014">
        <f t="shared" si="349"/>
        <v>1991</v>
      </c>
      <c r="E2014" s="1">
        <f t="shared" si="350"/>
        <v>-18.481234421653504</v>
      </c>
      <c r="F2014" s="1">
        <f t="shared" si="351"/>
        <v>-20.816944136183235</v>
      </c>
      <c r="G2014" s="1">
        <f t="shared" si="348"/>
        <v>9.1057564800834764E-10</v>
      </c>
      <c r="H2014" s="1">
        <f t="shared" si="341"/>
        <v>9.3644423888844626E-12</v>
      </c>
      <c r="I2014">
        <f t="shared" si="342"/>
        <v>10</v>
      </c>
      <c r="J2014">
        <f t="shared" si="343"/>
        <v>1977</v>
      </c>
      <c r="K2014" s="5">
        <f t="shared" si="344"/>
        <v>0</v>
      </c>
      <c r="L2014">
        <f t="shared" si="345"/>
        <v>95</v>
      </c>
      <c r="M2014">
        <f t="shared" si="346"/>
        <v>1</v>
      </c>
      <c r="N2014">
        <f t="shared" si="347"/>
        <v>0</v>
      </c>
    </row>
    <row r="2015" spans="4:14" x14ac:dyDescent="0.2">
      <c r="D2015">
        <f t="shared" si="349"/>
        <v>1992</v>
      </c>
      <c r="E2015" s="1">
        <f t="shared" si="350"/>
        <v>-18.491705721520798</v>
      </c>
      <c r="F2015" s="1">
        <f t="shared" si="351"/>
        <v>-20.827415436050529</v>
      </c>
      <c r="G2015" s="1">
        <f t="shared" si="348"/>
        <v>9.0109048500826149E-10</v>
      </c>
      <c r="H2015" s="1">
        <f t="shared" si="341"/>
        <v>9.266896114000257E-12</v>
      </c>
      <c r="I2015">
        <f t="shared" si="342"/>
        <v>10</v>
      </c>
      <c r="J2015">
        <f t="shared" si="343"/>
        <v>1978</v>
      </c>
      <c r="K2015" s="5">
        <f t="shared" si="344"/>
        <v>0</v>
      </c>
      <c r="L2015">
        <f t="shared" si="345"/>
        <v>95</v>
      </c>
      <c r="M2015">
        <f t="shared" si="346"/>
        <v>1</v>
      </c>
      <c r="N2015">
        <f t="shared" si="347"/>
        <v>0</v>
      </c>
    </row>
    <row r="2016" spans="4:14" x14ac:dyDescent="0.2">
      <c r="D2016">
        <f t="shared" si="349"/>
        <v>1993</v>
      </c>
      <c r="E2016" s="1">
        <f t="shared" si="350"/>
        <v>-18.502177021388093</v>
      </c>
      <c r="F2016" s="1">
        <f t="shared" si="351"/>
        <v>-20.837886735917824</v>
      </c>
      <c r="G2016" s="1">
        <f t="shared" si="348"/>
        <v>8.9170412578942634E-10</v>
      </c>
      <c r="H2016" s="1">
        <f t="shared" si="341"/>
        <v>9.170365946146098E-12</v>
      </c>
      <c r="I2016">
        <f t="shared" si="342"/>
        <v>10</v>
      </c>
      <c r="J2016">
        <f t="shared" si="343"/>
        <v>1979</v>
      </c>
      <c r="K2016" s="5">
        <f t="shared" si="344"/>
        <v>0</v>
      </c>
      <c r="L2016">
        <f t="shared" si="345"/>
        <v>95</v>
      </c>
      <c r="M2016">
        <f t="shared" si="346"/>
        <v>1</v>
      </c>
      <c r="N2016">
        <f t="shared" si="347"/>
        <v>0</v>
      </c>
    </row>
    <row r="2017" spans="4:14" x14ac:dyDescent="0.2">
      <c r="D2017">
        <f t="shared" si="349"/>
        <v>1994</v>
      </c>
      <c r="E2017" s="1">
        <f t="shared" si="350"/>
        <v>-18.512648321255387</v>
      </c>
      <c r="F2017" s="1">
        <f t="shared" si="351"/>
        <v>-20.848358035785118</v>
      </c>
      <c r="G2017" s="1">
        <f t="shared" si="348"/>
        <v>8.8241554114578734E-10</v>
      </c>
      <c r="H2017" s="1">
        <f t="shared" si="341"/>
        <v>9.0748413008737504E-12</v>
      </c>
      <c r="I2017">
        <f t="shared" si="342"/>
        <v>10</v>
      </c>
      <c r="J2017">
        <f t="shared" si="343"/>
        <v>1980</v>
      </c>
      <c r="K2017" s="5">
        <f t="shared" si="344"/>
        <v>0</v>
      </c>
      <c r="L2017">
        <f t="shared" si="345"/>
        <v>95</v>
      </c>
      <c r="M2017">
        <f t="shared" si="346"/>
        <v>1</v>
      </c>
      <c r="N2017">
        <f t="shared" si="347"/>
        <v>0</v>
      </c>
    </row>
    <row r="2018" spans="4:14" x14ac:dyDescent="0.2">
      <c r="D2018">
        <f t="shared" si="349"/>
        <v>1995</v>
      </c>
      <c r="E2018" s="1">
        <f t="shared" si="350"/>
        <v>-18.523119621122682</v>
      </c>
      <c r="F2018" s="1">
        <f t="shared" si="351"/>
        <v>-20.858829335652413</v>
      </c>
      <c r="G2018" s="1">
        <f t="shared" si="348"/>
        <v>8.7322371259218623E-10</v>
      </c>
      <c r="H2018" s="1">
        <f t="shared" si="341"/>
        <v>8.9803117039896584E-12</v>
      </c>
      <c r="I2018">
        <f t="shared" si="342"/>
        <v>10</v>
      </c>
      <c r="J2018">
        <f t="shared" si="343"/>
        <v>1981</v>
      </c>
      <c r="K2018" s="5">
        <f t="shared" si="344"/>
        <v>0</v>
      </c>
      <c r="L2018">
        <f t="shared" si="345"/>
        <v>95</v>
      </c>
      <c r="M2018">
        <f t="shared" si="346"/>
        <v>1</v>
      </c>
      <c r="N2018">
        <f t="shared" si="347"/>
        <v>0</v>
      </c>
    </row>
    <row r="2019" spans="4:14" x14ac:dyDescent="0.2">
      <c r="D2019">
        <f t="shared" si="349"/>
        <v>1996</v>
      </c>
      <c r="E2019" s="1">
        <f t="shared" si="350"/>
        <v>-18.533590920989976</v>
      </c>
      <c r="F2019" s="1">
        <f t="shared" si="351"/>
        <v>-20.869300635519707</v>
      </c>
      <c r="G2019" s="1">
        <f t="shared" si="348"/>
        <v>8.6412763225268504E-10</v>
      </c>
      <c r="H2019" s="1">
        <f t="shared" si="341"/>
        <v>8.8867667904064407E-12</v>
      </c>
      <c r="I2019">
        <f t="shared" si="342"/>
        <v>10</v>
      </c>
      <c r="J2019">
        <f t="shared" si="343"/>
        <v>1982</v>
      </c>
      <c r="K2019" s="5">
        <f t="shared" si="344"/>
        <v>0</v>
      </c>
      <c r="L2019">
        <f t="shared" si="345"/>
        <v>95</v>
      </c>
      <c r="M2019">
        <f t="shared" si="346"/>
        <v>1</v>
      </c>
      <c r="N2019">
        <f t="shared" si="347"/>
        <v>0</v>
      </c>
    </row>
    <row r="2020" spans="4:14" x14ac:dyDescent="0.2">
      <c r="D2020">
        <f t="shared" si="349"/>
        <v>1997</v>
      </c>
      <c r="E2020" s="1">
        <f t="shared" si="350"/>
        <v>-18.544062220857271</v>
      </c>
      <c r="F2020" s="1">
        <f t="shared" si="351"/>
        <v>-20.879771935387001</v>
      </c>
      <c r="G2020" s="1">
        <f t="shared" si="348"/>
        <v>8.5512630275005375E-10</v>
      </c>
      <c r="H2020" s="1">
        <f t="shared" si="341"/>
        <v>8.7941963030063816E-12</v>
      </c>
      <c r="I2020">
        <f t="shared" si="342"/>
        <v>10</v>
      </c>
      <c r="J2020">
        <f t="shared" si="343"/>
        <v>1983</v>
      </c>
      <c r="K2020" s="5">
        <f t="shared" si="344"/>
        <v>0</v>
      </c>
      <c r="L2020">
        <f t="shared" si="345"/>
        <v>95</v>
      </c>
      <c r="M2020">
        <f t="shared" si="346"/>
        <v>1</v>
      </c>
      <c r="N2020">
        <f t="shared" si="347"/>
        <v>0</v>
      </c>
    </row>
    <row r="2021" spans="4:14" x14ac:dyDescent="0.2">
      <c r="D2021">
        <f t="shared" si="349"/>
        <v>1998</v>
      </c>
      <c r="E2021" s="1">
        <f t="shared" si="350"/>
        <v>-18.554533520724565</v>
      </c>
      <c r="F2021" s="1">
        <f t="shared" si="351"/>
        <v>-20.890243235254296</v>
      </c>
      <c r="G2021" s="1">
        <f t="shared" si="348"/>
        <v>8.4621873709640815E-10</v>
      </c>
      <c r="H2021" s="1">
        <f t="shared" si="341"/>
        <v>8.7025900915167398E-12</v>
      </c>
      <c r="I2021">
        <f t="shared" si="342"/>
        <v>10</v>
      </c>
      <c r="J2021">
        <f t="shared" si="343"/>
        <v>1984</v>
      </c>
      <c r="K2021" s="5">
        <f t="shared" si="344"/>
        <v>0</v>
      </c>
      <c r="L2021">
        <f t="shared" si="345"/>
        <v>95</v>
      </c>
      <c r="M2021">
        <f t="shared" si="346"/>
        <v>1</v>
      </c>
      <c r="N2021">
        <f t="shared" si="347"/>
        <v>0</v>
      </c>
    </row>
    <row r="2022" spans="4:14" x14ac:dyDescent="0.2">
      <c r="D2022">
        <f t="shared" si="349"/>
        <v>1999</v>
      </c>
      <c r="E2022" s="1">
        <f t="shared" si="350"/>
        <v>-18.565004820591859</v>
      </c>
      <c r="F2022" s="1">
        <f t="shared" si="351"/>
        <v>-20.90071453512159</v>
      </c>
      <c r="G2022" s="1">
        <f t="shared" si="348"/>
        <v>8.3740395858498802E-10</v>
      </c>
      <c r="H2022" s="1">
        <f t="shared" si="341"/>
        <v>8.6119381113967821E-12</v>
      </c>
      <c r="I2022">
        <f t="shared" si="342"/>
        <v>10</v>
      </c>
      <c r="J2022">
        <f t="shared" si="343"/>
        <v>1985</v>
      </c>
      <c r="K2022" s="5">
        <f t="shared" si="344"/>
        <v>0</v>
      </c>
      <c r="L2022">
        <f t="shared" si="345"/>
        <v>95</v>
      </c>
      <c r="M2022">
        <f t="shared" si="346"/>
        <v>1</v>
      </c>
      <c r="N2022">
        <f t="shared" si="347"/>
        <v>0</v>
      </c>
    </row>
    <row r="2023" spans="4:14" x14ac:dyDescent="0.2">
      <c r="D2023">
        <f t="shared" si="349"/>
        <v>2000</v>
      </c>
      <c r="E2023" s="1">
        <f t="shared" si="350"/>
        <v>-18.575476120459154</v>
      </c>
      <c r="F2023" s="1">
        <f t="shared" si="351"/>
        <v>-20.911185834988885</v>
      </c>
      <c r="G2023" s="1">
        <f t="shared" si="348"/>
        <v>8.2868100068306185E-10</v>
      </c>
      <c r="H2023" s="1">
        <f t="shared" si="341"/>
        <v>8.5222304227364065E-12</v>
      </c>
      <c r="I2023">
        <f t="shared" si="342"/>
        <v>10</v>
      </c>
      <c r="J2023">
        <f t="shared" si="343"/>
        <v>1986</v>
      </c>
      <c r="K2023" s="5">
        <f t="shared" si="344"/>
        <v>0</v>
      </c>
      <c r="L2023">
        <f t="shared" si="345"/>
        <v>95</v>
      </c>
      <c r="M2023">
        <f t="shared" si="346"/>
        <v>1</v>
      </c>
      <c r="N2023">
        <f t="shared" si="347"/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opLeftCell="A2" workbookViewId="0">
      <pane xSplit="4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AC29" sqref="AC29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4.5" customWidth="1" collapsed="1"/>
    <col min="5" max="6" width="13" bestFit="1" customWidth="1"/>
    <col min="8" max="11" width="12.6640625" customWidth="1"/>
    <col min="14" max="14" width="10.83203125" hidden="1" customWidth="1" outlineLevel="1"/>
    <col min="15" max="15" width="1" customWidth="1" collapsed="1"/>
    <col min="16" max="16" width="1" customWidth="1"/>
    <col min="19" max="19" width="12.33203125" customWidth="1"/>
    <col min="21" max="21" width="14.6640625" customWidth="1"/>
    <col min="22" max="22" width="17.6640625" hidden="1" customWidth="1" outlineLevel="1"/>
    <col min="23" max="23" width="15" hidden="1" customWidth="1" outlineLevel="1"/>
    <col min="24" max="24" width="10.83203125" hidden="1" customWidth="1" outlineLevel="1"/>
    <col min="25" max="25" width="15.33203125" hidden="1" customWidth="1" outlineLevel="1"/>
    <col min="26" max="26" width="15" hidden="1" customWidth="1" outlineLevel="1"/>
    <col min="27" max="27" width="15" bestFit="1" customWidth="1" collapsed="1"/>
    <col min="28" max="28" width="1" customWidth="1"/>
    <col min="29" max="29" width="25" customWidth="1"/>
  </cols>
  <sheetData>
    <row r="1" spans="1:29" s="12" customFormat="1" outlineLevel="1" x14ac:dyDescent="0.2">
      <c r="E1" s="12" t="s">
        <v>55</v>
      </c>
    </row>
    <row r="2" spans="1:29" ht="19" x14ac:dyDescent="0.25">
      <c r="A2" s="54" t="s">
        <v>48</v>
      </c>
    </row>
    <row r="3" spans="1:29" ht="21" x14ac:dyDescent="0.25">
      <c r="E3" s="14" t="s">
        <v>20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21</v>
      </c>
      <c r="G6" s="15"/>
      <c r="H6" s="15"/>
      <c r="I6" s="15"/>
      <c r="J6" s="15"/>
      <c r="K6" s="15"/>
      <c r="L6" s="15"/>
      <c r="M6" s="15"/>
      <c r="N6" s="15"/>
      <c r="Q6" s="18" t="s">
        <v>22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54</v>
      </c>
      <c r="C8">
        <v>3</v>
      </c>
      <c r="F8" s="7" t="s">
        <v>42</v>
      </c>
      <c r="G8" s="7" t="s">
        <v>50</v>
      </c>
      <c r="H8" s="7" t="s">
        <v>43</v>
      </c>
      <c r="I8" s="7" t="s">
        <v>2</v>
      </c>
      <c r="J8" s="7" t="s">
        <v>0</v>
      </c>
      <c r="K8" s="7" t="s">
        <v>57</v>
      </c>
      <c r="L8" s="7" t="s">
        <v>56</v>
      </c>
      <c r="M8" s="7" t="s">
        <v>41</v>
      </c>
      <c r="N8" s="7" t="s">
        <v>3</v>
      </c>
      <c r="Q8" s="7" t="s">
        <v>6</v>
      </c>
      <c r="R8" s="7" t="s">
        <v>45</v>
      </c>
      <c r="S8" s="7" t="s">
        <v>8</v>
      </c>
      <c r="T8" s="7" t="s">
        <v>49</v>
      </c>
      <c r="U8" s="7" t="s">
        <v>46</v>
      </c>
      <c r="V8" s="7" t="s">
        <v>51</v>
      </c>
      <c r="W8" s="7" t="s">
        <v>52</v>
      </c>
      <c r="X8" s="7" t="s">
        <v>7</v>
      </c>
      <c r="Y8" s="7" t="s">
        <v>11</v>
      </c>
      <c r="Z8" s="7" t="s">
        <v>9</v>
      </c>
      <c r="AA8" s="7" t="s">
        <v>12</v>
      </c>
      <c r="AB8" s="7"/>
      <c r="AC8" s="7" t="s">
        <v>17</v>
      </c>
    </row>
    <row r="9" spans="1:29" ht="30" x14ac:dyDescent="0.2">
      <c r="F9" s="6" t="s">
        <v>1</v>
      </c>
      <c r="G9" s="6" t="s">
        <v>14</v>
      </c>
      <c r="H9" s="6" t="s">
        <v>14</v>
      </c>
      <c r="I9" s="6" t="s">
        <v>14</v>
      </c>
      <c r="J9" s="6" t="s">
        <v>1</v>
      </c>
      <c r="K9" s="6" t="s">
        <v>4</v>
      </c>
      <c r="L9" s="6" t="s">
        <v>5</v>
      </c>
      <c r="M9" s="6" t="s">
        <v>13</v>
      </c>
      <c r="N9" s="6" t="s">
        <v>15</v>
      </c>
      <c r="Q9" s="6" t="s">
        <v>13</v>
      </c>
      <c r="R9" s="6" t="s">
        <v>14</v>
      </c>
      <c r="S9" s="6" t="s">
        <v>14</v>
      </c>
      <c r="T9" s="6" t="s">
        <v>15</v>
      </c>
      <c r="U9" s="6" t="s">
        <v>15</v>
      </c>
      <c r="V9" s="6" t="s">
        <v>14</v>
      </c>
      <c r="W9" s="6" t="s">
        <v>14</v>
      </c>
      <c r="X9" s="6" t="s">
        <v>14</v>
      </c>
      <c r="Y9" s="6" t="s">
        <v>16</v>
      </c>
      <c r="Z9" s="6" t="s">
        <v>15</v>
      </c>
      <c r="AC9" s="6" t="s">
        <v>19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Polling Place 1</v>
      </c>
      <c r="F13">
        <v>20</v>
      </c>
      <c r="G13">
        <v>5</v>
      </c>
      <c r="H13">
        <v>5</v>
      </c>
      <c r="I13" s="53">
        <f>IF(E13="","",F13-G13-H13)</f>
        <v>10</v>
      </c>
      <c r="J13">
        <v>45</v>
      </c>
      <c r="K13">
        <v>2.5</v>
      </c>
      <c r="L13">
        <v>2</v>
      </c>
      <c r="M13">
        <v>30</v>
      </c>
      <c r="N13" s="8">
        <v>0</v>
      </c>
      <c r="Q13" s="1">
        <v>18.145161290322477</v>
      </c>
      <c r="R13" s="1">
        <v>13.608870967741861</v>
      </c>
      <c r="S13" s="1">
        <v>7.1373149326187004</v>
      </c>
      <c r="T13" s="8">
        <v>0.47582099550791573</v>
      </c>
      <c r="U13" s="8">
        <v>0.18072271704126586</v>
      </c>
      <c r="V13" s="1">
        <v>14.999999999999925</v>
      </c>
      <c r="W13" s="1">
        <v>24</v>
      </c>
      <c r="X13" s="1">
        <v>6.47155603512316</v>
      </c>
      <c r="Y13">
        <v>45.000000000000014</v>
      </c>
      <c r="Z13" s="8">
        <v>9.2741935483871218E-2</v>
      </c>
      <c r="AA13" t="s">
        <v>18</v>
      </c>
    </row>
    <row r="14" spans="1:29" x14ac:dyDescent="0.2">
      <c r="A14" s="12">
        <f>A13+1</f>
        <v>2</v>
      </c>
      <c r="E14" s="10" t="str">
        <f t="shared" si="0"/>
        <v>Polling Place 2</v>
      </c>
      <c r="F14">
        <v>20</v>
      </c>
      <c r="G14">
        <v>5</v>
      </c>
      <c r="H14">
        <v>5</v>
      </c>
      <c r="I14" s="53">
        <f t="shared" ref="I14:I77" si="1">IF(E14="","",F14-G14-H14)</f>
        <v>10</v>
      </c>
      <c r="J14">
        <v>45</v>
      </c>
      <c r="K14">
        <v>2.5</v>
      </c>
      <c r="L14">
        <v>3</v>
      </c>
      <c r="M14">
        <v>30</v>
      </c>
      <c r="N14" s="8">
        <v>0</v>
      </c>
      <c r="Q14" s="1">
        <v>0.86088154269972361</v>
      </c>
      <c r="R14" s="1">
        <v>0.64566115702479332</v>
      </c>
      <c r="S14" s="1">
        <v>5.8722540145462691E-3</v>
      </c>
      <c r="T14" s="8">
        <v>3.5233524087277656E-3</v>
      </c>
      <c r="U14" s="8">
        <v>1.0857166721223166E-8</v>
      </c>
      <c r="V14" s="1">
        <v>1.6666666666666647</v>
      </c>
      <c r="W14" s="1">
        <v>36</v>
      </c>
      <c r="X14" s="1">
        <v>0.63978890301024705</v>
      </c>
      <c r="Y14">
        <v>45.000000000000043</v>
      </c>
      <c r="Z14" s="8">
        <v>0.61260330578512445</v>
      </c>
      <c r="AA14" t="s">
        <v>18</v>
      </c>
    </row>
    <row r="15" spans="1:29" x14ac:dyDescent="0.2">
      <c r="A15" s="12">
        <f t="shared" ref="A15:A78" si="2">A14+1</f>
        <v>3</v>
      </c>
      <c r="E15" s="10" t="str">
        <f t="shared" si="0"/>
        <v>Polling Place 3</v>
      </c>
      <c r="F15">
        <v>20</v>
      </c>
      <c r="G15">
        <v>5</v>
      </c>
      <c r="H15">
        <v>5</v>
      </c>
      <c r="I15" s="53">
        <f t="shared" si="1"/>
        <v>10</v>
      </c>
      <c r="J15">
        <v>95</v>
      </c>
      <c r="K15">
        <v>2.5</v>
      </c>
      <c r="L15">
        <v>4</v>
      </c>
      <c r="M15">
        <v>30</v>
      </c>
      <c r="N15" s="8">
        <v>0</v>
      </c>
      <c r="Q15" s="1">
        <v>58.61931489090346</v>
      </c>
      <c r="R15" s="1">
        <v>92.813915243930495</v>
      </c>
      <c r="S15" s="1">
        <v>83.586629802613146</v>
      </c>
      <c r="T15" s="8">
        <v>0.87985927801380259</v>
      </c>
      <c r="U15" s="8">
        <v>0.58486513842511523</v>
      </c>
      <c r="V15" s="1">
        <v>94.999998171641607</v>
      </c>
      <c r="W15" s="1">
        <v>48</v>
      </c>
      <c r="X15" s="1">
        <v>9.2272854413173526</v>
      </c>
      <c r="Y15">
        <v>95.000000000000014</v>
      </c>
      <c r="Z15" s="8">
        <v>2.3011401466054404E-2</v>
      </c>
      <c r="AA15" t="s">
        <v>18</v>
      </c>
    </row>
    <row r="16" spans="1:29" x14ac:dyDescent="0.2">
      <c r="A16" s="12">
        <f t="shared" si="2"/>
        <v>4</v>
      </c>
      <c r="E16" s="10" t="str">
        <f t="shared" si="0"/>
        <v/>
      </c>
      <c r="I16" s="53" t="str">
        <f t="shared" si="1"/>
        <v/>
      </c>
      <c r="N16" s="8">
        <v>0</v>
      </c>
      <c r="Q16" s="1"/>
      <c r="R16" s="1"/>
      <c r="S16" s="1"/>
      <c r="T16" s="8"/>
      <c r="U16" s="8"/>
      <c r="V16" s="1"/>
      <c r="W16" s="1"/>
      <c r="X16" s="1"/>
      <c r="Z16" s="8"/>
    </row>
    <row r="17" spans="1:26" x14ac:dyDescent="0.2">
      <c r="A17" s="12">
        <f t="shared" si="2"/>
        <v>5</v>
      </c>
      <c r="E17" s="10" t="str">
        <f t="shared" si="0"/>
        <v/>
      </c>
      <c r="I17" s="53" t="str">
        <f t="shared" si="1"/>
        <v/>
      </c>
      <c r="N17" s="8">
        <v>0</v>
      </c>
      <c r="Q17" s="1"/>
      <c r="R17" s="1"/>
      <c r="S17" s="1"/>
      <c r="T17" s="8"/>
      <c r="U17" s="8"/>
      <c r="V17" s="1"/>
      <c r="W17" s="1"/>
      <c r="X17" s="1"/>
      <c r="Z17" s="8"/>
    </row>
    <row r="18" spans="1:26" x14ac:dyDescent="0.2">
      <c r="A18" s="12">
        <f t="shared" si="2"/>
        <v>6</v>
      </c>
      <c r="E18" s="10" t="str">
        <f t="shared" si="0"/>
        <v/>
      </c>
      <c r="I18" s="53" t="str">
        <f t="shared" si="1"/>
        <v/>
      </c>
      <c r="N18" s="8">
        <v>0</v>
      </c>
      <c r="Q18" s="1"/>
      <c r="R18" s="1"/>
      <c r="S18" s="1"/>
      <c r="T18" s="8"/>
      <c r="U18" s="8"/>
      <c r="V18" s="1"/>
      <c r="W18" s="1"/>
      <c r="X18" s="1"/>
      <c r="Z18" s="8"/>
    </row>
    <row r="19" spans="1:26" x14ac:dyDescent="0.2">
      <c r="A19" s="12">
        <f t="shared" si="2"/>
        <v>7</v>
      </c>
      <c r="E19" s="10" t="str">
        <f t="shared" si="0"/>
        <v/>
      </c>
      <c r="I19" s="53" t="str">
        <f t="shared" si="1"/>
        <v/>
      </c>
      <c r="N19" s="8">
        <v>0</v>
      </c>
      <c r="Q19" s="1"/>
      <c r="R19" s="1"/>
      <c r="S19" s="1"/>
      <c r="T19" s="8"/>
      <c r="U19" s="8"/>
      <c r="V19" s="1"/>
      <c r="W19" s="1"/>
      <c r="X19" s="1"/>
      <c r="Z19" s="8"/>
    </row>
    <row r="20" spans="1:26" x14ac:dyDescent="0.2">
      <c r="A20" s="12">
        <f t="shared" si="2"/>
        <v>8</v>
      </c>
      <c r="E20" s="10" t="str">
        <f t="shared" si="0"/>
        <v/>
      </c>
      <c r="I20" s="53" t="str">
        <f t="shared" si="1"/>
        <v/>
      </c>
      <c r="N20" s="8">
        <v>0</v>
      </c>
      <c r="Q20" s="1"/>
      <c r="R20" s="1"/>
      <c r="S20" s="1"/>
      <c r="T20" s="8"/>
      <c r="U20" s="8"/>
      <c r="V20" s="1"/>
      <c r="W20" s="1"/>
      <c r="X20" s="1"/>
      <c r="Z20" s="8"/>
    </row>
    <row r="21" spans="1:26" x14ac:dyDescent="0.2">
      <c r="A21" s="12">
        <f t="shared" si="2"/>
        <v>9</v>
      </c>
      <c r="E21" s="10" t="str">
        <f t="shared" si="0"/>
        <v/>
      </c>
      <c r="I21" s="53" t="str">
        <f t="shared" si="1"/>
        <v/>
      </c>
      <c r="N21" s="8">
        <v>0</v>
      </c>
      <c r="Q21" s="1"/>
      <c r="R21" s="1"/>
      <c r="S21" s="1"/>
      <c r="T21" s="8"/>
      <c r="U21" s="8"/>
      <c r="V21" s="1"/>
      <c r="W21" s="1"/>
      <c r="X21" s="1"/>
      <c r="Z21" s="8"/>
    </row>
    <row r="22" spans="1:26" x14ac:dyDescent="0.2">
      <c r="A22" s="12">
        <f t="shared" si="2"/>
        <v>10</v>
      </c>
      <c r="E22" s="10" t="str">
        <f t="shared" si="0"/>
        <v/>
      </c>
      <c r="I22" s="53" t="str">
        <f t="shared" si="1"/>
        <v/>
      </c>
      <c r="N22" s="8">
        <v>0</v>
      </c>
      <c r="Q22" s="1"/>
      <c r="R22" s="1"/>
      <c r="S22" s="1"/>
      <c r="T22" s="8"/>
      <c r="U22" s="8"/>
      <c r="V22" s="1"/>
      <c r="W22" s="1"/>
      <c r="X22" s="1"/>
      <c r="Z22" s="8"/>
    </row>
    <row r="23" spans="1:26" x14ac:dyDescent="0.2">
      <c r="A23" s="12">
        <f t="shared" si="2"/>
        <v>11</v>
      </c>
      <c r="E23" s="10" t="str">
        <f t="shared" si="0"/>
        <v/>
      </c>
      <c r="I23" s="53" t="str">
        <f t="shared" si="1"/>
        <v/>
      </c>
      <c r="N23" s="8">
        <v>0</v>
      </c>
      <c r="Q23" s="1"/>
      <c r="R23" s="1"/>
      <c r="S23" s="1"/>
      <c r="T23" s="8"/>
      <c r="U23" s="8"/>
      <c r="V23" s="1"/>
      <c r="W23" s="1"/>
      <c r="X23" s="1"/>
      <c r="Z23" s="8"/>
    </row>
    <row r="24" spans="1:26" x14ac:dyDescent="0.2">
      <c r="A24" s="12">
        <f t="shared" si="2"/>
        <v>12</v>
      </c>
      <c r="E24" s="10" t="str">
        <f t="shared" si="0"/>
        <v/>
      </c>
      <c r="I24" s="53" t="str">
        <f t="shared" si="1"/>
        <v/>
      </c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6" x14ac:dyDescent="0.2">
      <c r="A25" s="12">
        <f t="shared" si="2"/>
        <v>13</v>
      </c>
      <c r="E25" s="10" t="str">
        <f t="shared" si="0"/>
        <v/>
      </c>
      <c r="I25" s="53" t="str">
        <f t="shared" si="1"/>
        <v/>
      </c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6" x14ac:dyDescent="0.2">
      <c r="A26" s="12">
        <f t="shared" si="2"/>
        <v>14</v>
      </c>
      <c r="E26" s="10" t="str">
        <f t="shared" si="0"/>
        <v/>
      </c>
      <c r="I26" s="53" t="str">
        <f t="shared" si="1"/>
        <v/>
      </c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6" x14ac:dyDescent="0.2">
      <c r="A27" s="12">
        <f t="shared" si="2"/>
        <v>15</v>
      </c>
      <c r="E27" s="10" t="str">
        <f t="shared" si="0"/>
        <v/>
      </c>
      <c r="I27" s="53" t="str">
        <f t="shared" si="1"/>
        <v/>
      </c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6" x14ac:dyDescent="0.2">
      <c r="A28" s="12">
        <f t="shared" si="2"/>
        <v>16</v>
      </c>
      <c r="E28" s="10" t="str">
        <f t="shared" si="0"/>
        <v/>
      </c>
      <c r="I28" s="53" t="str">
        <f t="shared" si="1"/>
        <v/>
      </c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6" x14ac:dyDescent="0.2">
      <c r="A29" s="12">
        <f t="shared" si="2"/>
        <v>17</v>
      </c>
      <c r="E29" s="10" t="str">
        <f t="shared" si="0"/>
        <v/>
      </c>
      <c r="I29" s="53" t="str">
        <f t="shared" si="1"/>
        <v/>
      </c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6" x14ac:dyDescent="0.2">
      <c r="A30" s="12">
        <f t="shared" si="2"/>
        <v>18</v>
      </c>
      <c r="E30" s="10" t="str">
        <f t="shared" si="0"/>
        <v/>
      </c>
      <c r="I30" s="53" t="str">
        <f t="shared" si="1"/>
        <v/>
      </c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6" x14ac:dyDescent="0.2">
      <c r="A31" s="12">
        <f t="shared" si="2"/>
        <v>19</v>
      </c>
      <c r="E31" s="10" t="str">
        <f t="shared" si="0"/>
        <v/>
      </c>
      <c r="I31" s="53" t="str">
        <f t="shared" si="1"/>
        <v/>
      </c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6" x14ac:dyDescent="0.2">
      <c r="A32" s="12">
        <f t="shared" si="2"/>
        <v>20</v>
      </c>
      <c r="E32" s="10" t="str">
        <f t="shared" si="0"/>
        <v/>
      </c>
      <c r="I32" s="53" t="str">
        <f t="shared" si="1"/>
        <v/>
      </c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2"/>
        <v>21</v>
      </c>
      <c r="E33" s="10" t="str">
        <f t="shared" si="0"/>
        <v/>
      </c>
      <c r="I33" s="53" t="str">
        <f t="shared" si="1"/>
        <v/>
      </c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2"/>
        <v>22</v>
      </c>
      <c r="E34" s="10" t="str">
        <f t="shared" si="0"/>
        <v/>
      </c>
      <c r="I34" s="53" t="str">
        <f t="shared" si="1"/>
        <v/>
      </c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2"/>
        <v>23</v>
      </c>
      <c r="E35" s="10" t="str">
        <f t="shared" si="0"/>
        <v/>
      </c>
      <c r="I35" s="53" t="str">
        <f t="shared" si="1"/>
        <v/>
      </c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2"/>
        <v>24</v>
      </c>
      <c r="E36" s="10" t="str">
        <f t="shared" si="0"/>
        <v/>
      </c>
      <c r="I36" s="53" t="str">
        <f t="shared" si="1"/>
        <v/>
      </c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2"/>
        <v>25</v>
      </c>
      <c r="E37" s="10" t="str">
        <f t="shared" si="0"/>
        <v/>
      </c>
      <c r="I37" s="53" t="str">
        <f t="shared" si="1"/>
        <v/>
      </c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2"/>
        <v>26</v>
      </c>
      <c r="E38" s="10" t="str">
        <f t="shared" si="0"/>
        <v/>
      </c>
      <c r="I38" s="53" t="str">
        <f t="shared" si="1"/>
        <v/>
      </c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2"/>
        <v>27</v>
      </c>
      <c r="E39" s="10" t="str">
        <f t="shared" si="0"/>
        <v/>
      </c>
      <c r="I39" s="53" t="str">
        <f t="shared" si="1"/>
        <v/>
      </c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2"/>
        <v>28</v>
      </c>
      <c r="E40" s="10" t="str">
        <f t="shared" si="0"/>
        <v/>
      </c>
      <c r="I40" s="53" t="str">
        <f t="shared" si="1"/>
        <v/>
      </c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2"/>
        <v>29</v>
      </c>
      <c r="E41" s="10" t="str">
        <f t="shared" si="0"/>
        <v/>
      </c>
      <c r="I41" s="53" t="str">
        <f t="shared" si="1"/>
        <v/>
      </c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2"/>
        <v>30</v>
      </c>
      <c r="E42" s="10" t="str">
        <f t="shared" si="0"/>
        <v/>
      </c>
      <c r="I42" s="53" t="str">
        <f t="shared" si="1"/>
        <v/>
      </c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2"/>
        <v>31</v>
      </c>
      <c r="E43" s="10" t="str">
        <f t="shared" si="0"/>
        <v/>
      </c>
      <c r="I43" s="53" t="str">
        <f t="shared" si="1"/>
        <v/>
      </c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2"/>
        <v>32</v>
      </c>
      <c r="E44" s="10" t="str">
        <f t="shared" si="0"/>
        <v/>
      </c>
      <c r="I44" s="53" t="str">
        <f t="shared" si="1"/>
        <v/>
      </c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2"/>
        <v>33</v>
      </c>
      <c r="E45" s="10" t="str">
        <f t="shared" si="0"/>
        <v/>
      </c>
      <c r="I45" s="53" t="str">
        <f t="shared" si="1"/>
        <v/>
      </c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2"/>
        <v>34</v>
      </c>
      <c r="E46" s="10" t="str">
        <f t="shared" si="0"/>
        <v/>
      </c>
      <c r="I46" s="53" t="str">
        <f t="shared" si="1"/>
        <v/>
      </c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2"/>
        <v>35</v>
      </c>
      <c r="E47" s="10" t="str">
        <f t="shared" si="0"/>
        <v/>
      </c>
      <c r="I47" s="53" t="str">
        <f t="shared" si="1"/>
        <v/>
      </c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2"/>
        <v>36</v>
      </c>
      <c r="E48" s="10" t="str">
        <f t="shared" si="0"/>
        <v/>
      </c>
      <c r="I48" s="53" t="str">
        <f t="shared" si="1"/>
        <v/>
      </c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2"/>
        <v>37</v>
      </c>
      <c r="E49" s="10" t="str">
        <f t="shared" si="0"/>
        <v/>
      </c>
      <c r="I49" s="53" t="str">
        <f t="shared" si="1"/>
        <v/>
      </c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2"/>
        <v>38</v>
      </c>
      <c r="E50" s="10" t="str">
        <f t="shared" si="0"/>
        <v/>
      </c>
      <c r="I50" s="53" t="str">
        <f t="shared" si="1"/>
        <v/>
      </c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2"/>
        <v>39</v>
      </c>
      <c r="E51" s="10" t="str">
        <f t="shared" si="0"/>
        <v/>
      </c>
      <c r="I51" s="53" t="str">
        <f t="shared" si="1"/>
        <v/>
      </c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2"/>
        <v>40</v>
      </c>
      <c r="E52" s="10" t="str">
        <f t="shared" si="0"/>
        <v/>
      </c>
      <c r="I52" s="53" t="str">
        <f t="shared" si="1"/>
        <v/>
      </c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2"/>
        <v>41</v>
      </c>
      <c r="E53" s="10" t="str">
        <f t="shared" si="0"/>
        <v/>
      </c>
      <c r="I53" s="53" t="str">
        <f t="shared" si="1"/>
        <v/>
      </c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2"/>
        <v>42</v>
      </c>
      <c r="E54" s="10" t="str">
        <f t="shared" si="0"/>
        <v/>
      </c>
      <c r="I54" s="53" t="str">
        <f t="shared" si="1"/>
        <v/>
      </c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2"/>
        <v>43</v>
      </c>
      <c r="E55" s="10" t="str">
        <f t="shared" si="0"/>
        <v/>
      </c>
      <c r="I55" s="53" t="str">
        <f t="shared" si="1"/>
        <v/>
      </c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2"/>
        <v>44</v>
      </c>
      <c r="E56" s="10" t="str">
        <f t="shared" si="0"/>
        <v/>
      </c>
      <c r="I56" s="53" t="str">
        <f t="shared" si="1"/>
        <v/>
      </c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2"/>
        <v>45</v>
      </c>
      <c r="E57" s="10" t="str">
        <f t="shared" si="0"/>
        <v/>
      </c>
      <c r="I57" s="53" t="str">
        <f t="shared" si="1"/>
        <v/>
      </c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2"/>
        <v>46</v>
      </c>
      <c r="E58" s="10" t="str">
        <f t="shared" si="0"/>
        <v/>
      </c>
      <c r="I58" s="53" t="str">
        <f t="shared" si="1"/>
        <v/>
      </c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2"/>
        <v>47</v>
      </c>
      <c r="E59" s="10" t="str">
        <f t="shared" si="0"/>
        <v/>
      </c>
      <c r="I59" s="53" t="str">
        <f t="shared" si="1"/>
        <v/>
      </c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2"/>
        <v>48</v>
      </c>
      <c r="E60" s="10" t="str">
        <f t="shared" si="0"/>
        <v/>
      </c>
      <c r="I60" s="53" t="str">
        <f t="shared" si="1"/>
        <v/>
      </c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2"/>
        <v>49</v>
      </c>
      <c r="E61" s="10" t="str">
        <f t="shared" si="0"/>
        <v/>
      </c>
      <c r="I61" s="53" t="str">
        <f t="shared" si="1"/>
        <v/>
      </c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2"/>
        <v>50</v>
      </c>
      <c r="E62" s="10" t="str">
        <f t="shared" si="0"/>
        <v/>
      </c>
      <c r="I62" s="53" t="str">
        <f t="shared" si="1"/>
        <v/>
      </c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2"/>
        <v>51</v>
      </c>
      <c r="E63" s="10" t="str">
        <f t="shared" si="0"/>
        <v/>
      </c>
      <c r="I63" s="53" t="str">
        <f t="shared" si="1"/>
        <v/>
      </c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2"/>
        <v>52</v>
      </c>
      <c r="E64" s="10" t="str">
        <f t="shared" si="0"/>
        <v/>
      </c>
      <c r="I64" s="53" t="str">
        <f t="shared" si="1"/>
        <v/>
      </c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2"/>
        <v>53</v>
      </c>
      <c r="E65" s="10" t="str">
        <f t="shared" si="0"/>
        <v/>
      </c>
      <c r="I65" s="53" t="str">
        <f t="shared" si="1"/>
        <v/>
      </c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2"/>
        <v>54</v>
      </c>
      <c r="E66" s="10" t="str">
        <f t="shared" si="0"/>
        <v/>
      </c>
      <c r="I66" s="53" t="str">
        <f t="shared" si="1"/>
        <v/>
      </c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2"/>
        <v>55</v>
      </c>
      <c r="E67" s="10" t="str">
        <f t="shared" si="0"/>
        <v/>
      </c>
      <c r="I67" s="53" t="str">
        <f t="shared" si="1"/>
        <v/>
      </c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2"/>
        <v>56</v>
      </c>
      <c r="E68" s="10" t="str">
        <f t="shared" si="0"/>
        <v/>
      </c>
      <c r="I68" s="53" t="str">
        <f t="shared" si="1"/>
        <v/>
      </c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2"/>
        <v>57</v>
      </c>
      <c r="E69" s="10" t="str">
        <f t="shared" si="0"/>
        <v/>
      </c>
      <c r="I69" s="53" t="str">
        <f t="shared" si="1"/>
        <v/>
      </c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2"/>
        <v>58</v>
      </c>
      <c r="E70" s="10" t="str">
        <f t="shared" si="0"/>
        <v/>
      </c>
      <c r="I70" s="53" t="str">
        <f t="shared" si="1"/>
        <v/>
      </c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2"/>
        <v>59</v>
      </c>
      <c r="E71" s="10" t="str">
        <f t="shared" si="0"/>
        <v/>
      </c>
      <c r="I71" s="53" t="str">
        <f t="shared" si="1"/>
        <v/>
      </c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2"/>
        <v>60</v>
      </c>
      <c r="E72" s="10" t="str">
        <f t="shared" si="0"/>
        <v/>
      </c>
      <c r="I72" s="53" t="str">
        <f t="shared" si="1"/>
        <v/>
      </c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2"/>
        <v>61</v>
      </c>
      <c r="E73" s="10" t="str">
        <f t="shared" si="0"/>
        <v/>
      </c>
      <c r="I73" s="53" t="str">
        <f t="shared" si="1"/>
        <v/>
      </c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2"/>
        <v>62</v>
      </c>
      <c r="E74" s="10" t="str">
        <f t="shared" si="0"/>
        <v/>
      </c>
      <c r="I74" s="53" t="str">
        <f t="shared" si="1"/>
        <v/>
      </c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2"/>
        <v>63</v>
      </c>
      <c r="E75" s="10" t="str">
        <f t="shared" si="0"/>
        <v/>
      </c>
      <c r="I75" s="53" t="str">
        <f t="shared" si="1"/>
        <v/>
      </c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2"/>
        <v>64</v>
      </c>
      <c r="E76" s="10" t="str">
        <f t="shared" si="0"/>
        <v/>
      </c>
      <c r="I76" s="53" t="str">
        <f t="shared" si="1"/>
        <v/>
      </c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2"/>
        <v>65</v>
      </c>
      <c r="E77" s="10" t="str">
        <f t="shared" ref="E77:E140" si="3">IF($C$8&gt;=A77,$E$1&amp;" "&amp;A77,"")</f>
        <v/>
      </c>
      <c r="I77" s="53" t="str">
        <f t="shared" si="1"/>
        <v/>
      </c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2"/>
        <v>66</v>
      </c>
      <c r="E78" s="10" t="str">
        <f t="shared" si="3"/>
        <v/>
      </c>
      <c r="I78" s="53" t="str">
        <f t="shared" ref="I78:I141" si="4">IF(E78="","",F78-G78-H78)</f>
        <v/>
      </c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5">A78+1</f>
        <v>67</v>
      </c>
      <c r="E79" s="10" t="str">
        <f t="shared" si="3"/>
        <v/>
      </c>
      <c r="I79" s="53" t="str">
        <f t="shared" si="4"/>
        <v/>
      </c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5"/>
        <v>68</v>
      </c>
      <c r="E80" s="10" t="str">
        <f t="shared" si="3"/>
        <v/>
      </c>
      <c r="I80" s="53" t="str">
        <f t="shared" si="4"/>
        <v/>
      </c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5"/>
        <v>69</v>
      </c>
      <c r="E81" s="10" t="str">
        <f t="shared" si="3"/>
        <v/>
      </c>
      <c r="I81" s="53" t="str">
        <f t="shared" si="4"/>
        <v/>
      </c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5"/>
        <v>70</v>
      </c>
      <c r="E82" s="10" t="str">
        <f t="shared" si="3"/>
        <v/>
      </c>
      <c r="I82" s="53" t="str">
        <f t="shared" si="4"/>
        <v/>
      </c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5"/>
        <v>71</v>
      </c>
      <c r="E83" s="10" t="str">
        <f t="shared" si="3"/>
        <v/>
      </c>
      <c r="I83" s="53" t="str">
        <f t="shared" si="4"/>
        <v/>
      </c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5"/>
        <v>72</v>
      </c>
      <c r="E84" s="10" t="str">
        <f t="shared" si="3"/>
        <v/>
      </c>
      <c r="I84" s="53" t="str">
        <f t="shared" si="4"/>
        <v/>
      </c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5"/>
        <v>73</v>
      </c>
      <c r="E85" s="10" t="str">
        <f t="shared" si="3"/>
        <v/>
      </c>
      <c r="I85" s="53" t="str">
        <f t="shared" si="4"/>
        <v/>
      </c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5"/>
        <v>74</v>
      </c>
      <c r="E86" s="10" t="str">
        <f t="shared" si="3"/>
        <v/>
      </c>
      <c r="I86" s="53" t="str">
        <f t="shared" si="4"/>
        <v/>
      </c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5"/>
        <v>75</v>
      </c>
      <c r="E87" s="10" t="str">
        <f t="shared" si="3"/>
        <v/>
      </c>
      <c r="I87" s="53" t="str">
        <f t="shared" si="4"/>
        <v/>
      </c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5"/>
        <v>76</v>
      </c>
      <c r="E88" s="10" t="str">
        <f t="shared" si="3"/>
        <v/>
      </c>
      <c r="I88" s="53" t="str">
        <f t="shared" si="4"/>
        <v/>
      </c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5"/>
        <v>77</v>
      </c>
      <c r="E89" s="10" t="str">
        <f t="shared" si="3"/>
        <v/>
      </c>
      <c r="I89" s="53" t="str">
        <f t="shared" si="4"/>
        <v/>
      </c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5"/>
        <v>78</v>
      </c>
      <c r="E90" s="10" t="str">
        <f t="shared" si="3"/>
        <v/>
      </c>
      <c r="I90" s="53" t="str">
        <f t="shared" si="4"/>
        <v/>
      </c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5"/>
        <v>79</v>
      </c>
      <c r="E91" s="10" t="str">
        <f t="shared" si="3"/>
        <v/>
      </c>
      <c r="I91" s="53" t="str">
        <f t="shared" si="4"/>
        <v/>
      </c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5"/>
        <v>80</v>
      </c>
      <c r="E92" s="10" t="str">
        <f t="shared" si="3"/>
        <v/>
      </c>
      <c r="I92" s="53" t="str">
        <f t="shared" si="4"/>
        <v/>
      </c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5"/>
        <v>81</v>
      </c>
      <c r="E93" s="10" t="str">
        <f t="shared" si="3"/>
        <v/>
      </c>
      <c r="I93" s="53" t="str">
        <f t="shared" si="4"/>
        <v/>
      </c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5"/>
        <v>82</v>
      </c>
      <c r="E94" s="10" t="str">
        <f t="shared" si="3"/>
        <v/>
      </c>
      <c r="I94" s="53" t="str">
        <f t="shared" si="4"/>
        <v/>
      </c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5"/>
        <v>83</v>
      </c>
      <c r="E95" s="10" t="str">
        <f t="shared" si="3"/>
        <v/>
      </c>
      <c r="I95" s="53" t="str">
        <f t="shared" si="4"/>
        <v/>
      </c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5"/>
        <v>84</v>
      </c>
      <c r="E96" s="10" t="str">
        <f t="shared" si="3"/>
        <v/>
      </c>
      <c r="I96" s="53" t="str">
        <f t="shared" si="4"/>
        <v/>
      </c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5"/>
        <v>85</v>
      </c>
      <c r="E97" s="10" t="str">
        <f t="shared" si="3"/>
        <v/>
      </c>
      <c r="I97" s="53" t="str">
        <f t="shared" si="4"/>
        <v/>
      </c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5"/>
        <v>86</v>
      </c>
      <c r="E98" s="10" t="str">
        <f t="shared" si="3"/>
        <v/>
      </c>
      <c r="I98" s="53" t="str">
        <f t="shared" si="4"/>
        <v/>
      </c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5"/>
        <v>87</v>
      </c>
      <c r="E99" s="10" t="str">
        <f t="shared" si="3"/>
        <v/>
      </c>
      <c r="I99" s="53" t="str">
        <f t="shared" si="4"/>
        <v/>
      </c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5"/>
        <v>88</v>
      </c>
      <c r="E100" s="10" t="str">
        <f t="shared" si="3"/>
        <v/>
      </c>
      <c r="I100" s="53" t="str">
        <f t="shared" si="4"/>
        <v/>
      </c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5"/>
        <v>89</v>
      </c>
      <c r="E101" s="10" t="str">
        <f t="shared" si="3"/>
        <v/>
      </c>
      <c r="I101" s="53" t="str">
        <f t="shared" si="4"/>
        <v/>
      </c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5"/>
        <v>90</v>
      </c>
      <c r="E102" s="10" t="str">
        <f t="shared" si="3"/>
        <v/>
      </c>
      <c r="I102" s="53" t="str">
        <f t="shared" si="4"/>
        <v/>
      </c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5"/>
        <v>91</v>
      </c>
      <c r="E103" s="10" t="str">
        <f t="shared" si="3"/>
        <v/>
      </c>
      <c r="I103" s="53" t="str">
        <f t="shared" si="4"/>
        <v/>
      </c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5"/>
        <v>92</v>
      </c>
      <c r="E104" s="10" t="str">
        <f t="shared" si="3"/>
        <v/>
      </c>
      <c r="I104" s="53" t="str">
        <f t="shared" si="4"/>
        <v/>
      </c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5"/>
        <v>93</v>
      </c>
      <c r="E105" s="10" t="str">
        <f t="shared" si="3"/>
        <v/>
      </c>
      <c r="I105" s="53" t="str">
        <f t="shared" si="4"/>
        <v/>
      </c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5"/>
        <v>94</v>
      </c>
      <c r="E106" s="10" t="str">
        <f t="shared" si="3"/>
        <v/>
      </c>
      <c r="I106" s="53" t="str">
        <f t="shared" si="4"/>
        <v/>
      </c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5"/>
        <v>95</v>
      </c>
      <c r="E107" s="10" t="str">
        <f t="shared" si="3"/>
        <v/>
      </c>
      <c r="I107" s="53" t="str">
        <f t="shared" si="4"/>
        <v/>
      </c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5"/>
        <v>96</v>
      </c>
      <c r="E108" s="10" t="str">
        <f t="shared" si="3"/>
        <v/>
      </c>
      <c r="I108" s="53" t="str">
        <f t="shared" si="4"/>
        <v/>
      </c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5"/>
        <v>97</v>
      </c>
      <c r="E109" s="10" t="str">
        <f t="shared" si="3"/>
        <v/>
      </c>
      <c r="I109" s="53" t="str">
        <f t="shared" si="4"/>
        <v/>
      </c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5"/>
        <v>98</v>
      </c>
      <c r="E110" s="10" t="str">
        <f t="shared" si="3"/>
        <v/>
      </c>
      <c r="I110" s="53" t="str">
        <f t="shared" si="4"/>
        <v/>
      </c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5"/>
        <v>99</v>
      </c>
      <c r="E111" s="10" t="str">
        <f t="shared" si="3"/>
        <v/>
      </c>
      <c r="I111" s="53" t="str">
        <f t="shared" si="4"/>
        <v/>
      </c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5"/>
        <v>100</v>
      </c>
      <c r="E112" s="10" t="str">
        <f t="shared" si="3"/>
        <v/>
      </c>
      <c r="I112" s="53" t="str">
        <f t="shared" si="4"/>
        <v/>
      </c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5"/>
        <v>101</v>
      </c>
      <c r="E113" s="10" t="str">
        <f t="shared" si="3"/>
        <v/>
      </c>
      <c r="I113" s="53" t="str">
        <f t="shared" si="4"/>
        <v/>
      </c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5"/>
        <v>102</v>
      </c>
      <c r="E114" s="10" t="str">
        <f t="shared" si="3"/>
        <v/>
      </c>
      <c r="I114" s="53" t="str">
        <f t="shared" si="4"/>
        <v/>
      </c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5"/>
        <v>103</v>
      </c>
      <c r="E115" s="10" t="str">
        <f t="shared" si="3"/>
        <v/>
      </c>
      <c r="I115" s="53" t="str">
        <f t="shared" si="4"/>
        <v/>
      </c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5"/>
        <v>104</v>
      </c>
      <c r="E116" s="10" t="str">
        <f t="shared" si="3"/>
        <v/>
      </c>
      <c r="I116" s="53" t="str">
        <f t="shared" si="4"/>
        <v/>
      </c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5"/>
        <v>105</v>
      </c>
      <c r="E117" s="10" t="str">
        <f t="shared" si="3"/>
        <v/>
      </c>
      <c r="I117" s="53" t="str">
        <f t="shared" si="4"/>
        <v/>
      </c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5"/>
        <v>106</v>
      </c>
      <c r="E118" s="10" t="str">
        <f t="shared" si="3"/>
        <v/>
      </c>
      <c r="I118" s="53" t="str">
        <f t="shared" si="4"/>
        <v/>
      </c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5"/>
        <v>107</v>
      </c>
      <c r="E119" s="10" t="str">
        <f t="shared" si="3"/>
        <v/>
      </c>
      <c r="I119" s="53" t="str">
        <f t="shared" si="4"/>
        <v/>
      </c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5"/>
        <v>108</v>
      </c>
      <c r="E120" s="10" t="str">
        <f t="shared" si="3"/>
        <v/>
      </c>
      <c r="I120" s="53" t="str">
        <f t="shared" si="4"/>
        <v/>
      </c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5"/>
        <v>109</v>
      </c>
      <c r="E121" s="10" t="str">
        <f t="shared" si="3"/>
        <v/>
      </c>
      <c r="I121" s="53" t="str">
        <f t="shared" si="4"/>
        <v/>
      </c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5"/>
        <v>110</v>
      </c>
      <c r="E122" s="10" t="str">
        <f t="shared" si="3"/>
        <v/>
      </c>
      <c r="I122" s="53" t="str">
        <f t="shared" si="4"/>
        <v/>
      </c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5"/>
        <v>111</v>
      </c>
      <c r="E123" s="10" t="str">
        <f t="shared" si="3"/>
        <v/>
      </c>
      <c r="I123" s="53" t="str">
        <f t="shared" si="4"/>
        <v/>
      </c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5"/>
        <v>112</v>
      </c>
      <c r="E124" s="10" t="str">
        <f t="shared" si="3"/>
        <v/>
      </c>
      <c r="I124" s="53" t="str">
        <f t="shared" si="4"/>
        <v/>
      </c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5"/>
        <v>113</v>
      </c>
      <c r="E125" s="10" t="str">
        <f t="shared" si="3"/>
        <v/>
      </c>
      <c r="I125" s="53" t="str">
        <f t="shared" si="4"/>
        <v/>
      </c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5"/>
        <v>114</v>
      </c>
      <c r="E126" s="10" t="str">
        <f t="shared" si="3"/>
        <v/>
      </c>
      <c r="I126" s="53" t="str">
        <f t="shared" si="4"/>
        <v/>
      </c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5"/>
        <v>115</v>
      </c>
      <c r="E127" s="10" t="str">
        <f t="shared" si="3"/>
        <v/>
      </c>
      <c r="I127" s="53" t="str">
        <f t="shared" si="4"/>
        <v/>
      </c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5"/>
        <v>116</v>
      </c>
      <c r="E128" s="10" t="str">
        <f t="shared" si="3"/>
        <v/>
      </c>
      <c r="I128" s="53" t="str">
        <f t="shared" si="4"/>
        <v/>
      </c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5"/>
        <v>117</v>
      </c>
      <c r="E129" s="10" t="str">
        <f t="shared" si="3"/>
        <v/>
      </c>
      <c r="I129" s="53" t="str">
        <f t="shared" si="4"/>
        <v/>
      </c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5"/>
        <v>118</v>
      </c>
      <c r="E130" s="10" t="str">
        <f t="shared" si="3"/>
        <v/>
      </c>
      <c r="I130" s="53" t="str">
        <f t="shared" si="4"/>
        <v/>
      </c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5"/>
        <v>119</v>
      </c>
      <c r="E131" s="10" t="str">
        <f t="shared" si="3"/>
        <v/>
      </c>
      <c r="I131" s="53" t="str">
        <f t="shared" si="4"/>
        <v/>
      </c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5"/>
        <v>120</v>
      </c>
      <c r="E132" s="10" t="str">
        <f t="shared" si="3"/>
        <v/>
      </c>
      <c r="I132" s="53" t="str">
        <f t="shared" si="4"/>
        <v/>
      </c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5"/>
        <v>121</v>
      </c>
      <c r="E133" s="10" t="str">
        <f t="shared" si="3"/>
        <v/>
      </c>
      <c r="I133" s="53" t="str">
        <f t="shared" si="4"/>
        <v/>
      </c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5"/>
        <v>122</v>
      </c>
      <c r="E134" s="10" t="str">
        <f t="shared" si="3"/>
        <v/>
      </c>
      <c r="I134" s="53" t="str">
        <f t="shared" si="4"/>
        <v/>
      </c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5"/>
        <v>123</v>
      </c>
      <c r="E135" s="10" t="str">
        <f t="shared" si="3"/>
        <v/>
      </c>
      <c r="I135" s="53" t="str">
        <f t="shared" si="4"/>
        <v/>
      </c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5"/>
        <v>124</v>
      </c>
      <c r="E136" s="10" t="str">
        <f t="shared" si="3"/>
        <v/>
      </c>
      <c r="I136" s="53" t="str">
        <f t="shared" si="4"/>
        <v/>
      </c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5"/>
        <v>125</v>
      </c>
      <c r="E137" s="10" t="str">
        <f t="shared" si="3"/>
        <v/>
      </c>
      <c r="I137" s="53" t="str">
        <f t="shared" si="4"/>
        <v/>
      </c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5"/>
        <v>126</v>
      </c>
      <c r="E138" s="10" t="str">
        <f t="shared" si="3"/>
        <v/>
      </c>
      <c r="I138" s="53" t="str">
        <f t="shared" si="4"/>
        <v/>
      </c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5"/>
        <v>127</v>
      </c>
      <c r="E139" s="10" t="str">
        <f t="shared" si="3"/>
        <v/>
      </c>
      <c r="I139" s="53" t="str">
        <f t="shared" si="4"/>
        <v/>
      </c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5"/>
        <v>128</v>
      </c>
      <c r="E140" s="10" t="str">
        <f t="shared" si="3"/>
        <v/>
      </c>
      <c r="I140" s="53" t="str">
        <f t="shared" si="4"/>
        <v/>
      </c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5"/>
        <v>129</v>
      </c>
      <c r="E141" s="10" t="str">
        <f t="shared" ref="E141:E204" si="6">IF($C$8&gt;=A141,$E$1&amp;" "&amp;A141,"")</f>
        <v/>
      </c>
      <c r="I141" s="53" t="str">
        <f t="shared" si="4"/>
        <v/>
      </c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5"/>
        <v>130</v>
      </c>
      <c r="E142" s="10" t="str">
        <f t="shared" si="6"/>
        <v/>
      </c>
      <c r="I142" s="53" t="str">
        <f t="shared" ref="I142:I205" si="7">IF(E142="","",F142-G142-H142)</f>
        <v/>
      </c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8">A142+1</f>
        <v>131</v>
      </c>
      <c r="E143" s="10" t="str">
        <f t="shared" si="6"/>
        <v/>
      </c>
      <c r="I143" s="53" t="str">
        <f t="shared" si="7"/>
        <v/>
      </c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8"/>
        <v>132</v>
      </c>
      <c r="E144" s="10" t="str">
        <f t="shared" si="6"/>
        <v/>
      </c>
      <c r="I144" s="53" t="str">
        <f t="shared" si="7"/>
        <v/>
      </c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8"/>
        <v>133</v>
      </c>
      <c r="E145" s="10" t="str">
        <f t="shared" si="6"/>
        <v/>
      </c>
      <c r="I145" s="53" t="str">
        <f t="shared" si="7"/>
        <v/>
      </c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8"/>
        <v>134</v>
      </c>
      <c r="E146" s="10" t="str">
        <f t="shared" si="6"/>
        <v/>
      </c>
      <c r="I146" s="53" t="str">
        <f t="shared" si="7"/>
        <v/>
      </c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8"/>
        <v>135</v>
      </c>
      <c r="E147" s="10" t="str">
        <f t="shared" si="6"/>
        <v/>
      </c>
      <c r="I147" s="53" t="str">
        <f t="shared" si="7"/>
        <v/>
      </c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8"/>
        <v>136</v>
      </c>
      <c r="E148" s="10" t="str">
        <f t="shared" si="6"/>
        <v/>
      </c>
      <c r="I148" s="53" t="str">
        <f t="shared" si="7"/>
        <v/>
      </c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8"/>
        <v>137</v>
      </c>
      <c r="E149" s="10" t="str">
        <f t="shared" si="6"/>
        <v/>
      </c>
      <c r="I149" s="53" t="str">
        <f t="shared" si="7"/>
        <v/>
      </c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8"/>
        <v>138</v>
      </c>
      <c r="E150" s="10" t="str">
        <f t="shared" si="6"/>
        <v/>
      </c>
      <c r="I150" s="53" t="str">
        <f t="shared" si="7"/>
        <v/>
      </c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8"/>
        <v>139</v>
      </c>
      <c r="E151" s="10" t="str">
        <f t="shared" si="6"/>
        <v/>
      </c>
      <c r="I151" s="53" t="str">
        <f t="shared" si="7"/>
        <v/>
      </c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8"/>
        <v>140</v>
      </c>
      <c r="E152" s="10" t="str">
        <f t="shared" si="6"/>
        <v/>
      </c>
      <c r="I152" s="53" t="str">
        <f t="shared" si="7"/>
        <v/>
      </c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8"/>
        <v>141</v>
      </c>
      <c r="E153" s="10" t="str">
        <f t="shared" si="6"/>
        <v/>
      </c>
      <c r="I153" s="53" t="str">
        <f t="shared" si="7"/>
        <v/>
      </c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8"/>
        <v>142</v>
      </c>
      <c r="E154" s="10" t="str">
        <f t="shared" si="6"/>
        <v/>
      </c>
      <c r="I154" s="53" t="str">
        <f t="shared" si="7"/>
        <v/>
      </c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8"/>
        <v>143</v>
      </c>
      <c r="E155" s="10" t="str">
        <f t="shared" si="6"/>
        <v/>
      </c>
      <c r="I155" s="53" t="str">
        <f t="shared" si="7"/>
        <v/>
      </c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8"/>
        <v>144</v>
      </c>
      <c r="E156" s="10" t="str">
        <f t="shared" si="6"/>
        <v/>
      </c>
      <c r="I156" s="53" t="str">
        <f t="shared" si="7"/>
        <v/>
      </c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8"/>
        <v>145</v>
      </c>
      <c r="E157" s="10" t="str">
        <f t="shared" si="6"/>
        <v/>
      </c>
      <c r="I157" s="53" t="str">
        <f t="shared" si="7"/>
        <v/>
      </c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8"/>
        <v>146</v>
      </c>
      <c r="E158" s="10" t="str">
        <f t="shared" si="6"/>
        <v/>
      </c>
      <c r="I158" s="53" t="str">
        <f t="shared" si="7"/>
        <v/>
      </c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8"/>
        <v>147</v>
      </c>
      <c r="E159" s="10" t="str">
        <f t="shared" si="6"/>
        <v/>
      </c>
      <c r="I159" s="53" t="str">
        <f t="shared" si="7"/>
        <v/>
      </c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8"/>
        <v>148</v>
      </c>
      <c r="E160" s="10" t="str">
        <f t="shared" si="6"/>
        <v/>
      </c>
      <c r="I160" s="53" t="str">
        <f t="shared" si="7"/>
        <v/>
      </c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8"/>
        <v>149</v>
      </c>
      <c r="E161" s="10" t="str">
        <f t="shared" si="6"/>
        <v/>
      </c>
      <c r="I161" s="53" t="str">
        <f t="shared" si="7"/>
        <v/>
      </c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8"/>
        <v>150</v>
      </c>
      <c r="E162" s="10" t="str">
        <f t="shared" si="6"/>
        <v/>
      </c>
      <c r="I162" s="53" t="str">
        <f t="shared" si="7"/>
        <v/>
      </c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8"/>
        <v>151</v>
      </c>
      <c r="E163" s="10" t="str">
        <f t="shared" si="6"/>
        <v/>
      </c>
      <c r="I163" s="53" t="str">
        <f t="shared" si="7"/>
        <v/>
      </c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8"/>
        <v>152</v>
      </c>
      <c r="E164" s="10" t="str">
        <f t="shared" si="6"/>
        <v/>
      </c>
      <c r="I164" s="53" t="str">
        <f t="shared" si="7"/>
        <v/>
      </c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8"/>
        <v>153</v>
      </c>
      <c r="E165" s="10" t="str">
        <f t="shared" si="6"/>
        <v/>
      </c>
      <c r="I165" s="53" t="str">
        <f t="shared" si="7"/>
        <v/>
      </c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8"/>
        <v>154</v>
      </c>
      <c r="E166" s="10" t="str">
        <f t="shared" si="6"/>
        <v/>
      </c>
      <c r="I166" s="53" t="str">
        <f t="shared" si="7"/>
        <v/>
      </c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8"/>
        <v>155</v>
      </c>
      <c r="E167" s="10" t="str">
        <f t="shared" si="6"/>
        <v/>
      </c>
      <c r="I167" s="53" t="str">
        <f t="shared" si="7"/>
        <v/>
      </c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8"/>
        <v>156</v>
      </c>
      <c r="E168" s="10" t="str">
        <f t="shared" si="6"/>
        <v/>
      </c>
      <c r="I168" s="53" t="str">
        <f t="shared" si="7"/>
        <v/>
      </c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8"/>
        <v>157</v>
      </c>
      <c r="E169" s="10" t="str">
        <f t="shared" si="6"/>
        <v/>
      </c>
      <c r="I169" s="53" t="str">
        <f t="shared" si="7"/>
        <v/>
      </c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8"/>
        <v>158</v>
      </c>
      <c r="E170" s="10" t="str">
        <f t="shared" si="6"/>
        <v/>
      </c>
      <c r="I170" s="53" t="str">
        <f t="shared" si="7"/>
        <v/>
      </c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8"/>
        <v>159</v>
      </c>
      <c r="E171" s="10" t="str">
        <f t="shared" si="6"/>
        <v/>
      </c>
      <c r="I171" s="53" t="str">
        <f t="shared" si="7"/>
        <v/>
      </c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8"/>
        <v>160</v>
      </c>
      <c r="E172" s="10" t="str">
        <f t="shared" si="6"/>
        <v/>
      </c>
      <c r="I172" s="53" t="str">
        <f t="shared" si="7"/>
        <v/>
      </c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8"/>
        <v>161</v>
      </c>
      <c r="E173" s="10" t="str">
        <f t="shared" si="6"/>
        <v/>
      </c>
      <c r="I173" s="53" t="str">
        <f t="shared" si="7"/>
        <v/>
      </c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8"/>
        <v>162</v>
      </c>
      <c r="E174" s="10" t="str">
        <f t="shared" si="6"/>
        <v/>
      </c>
      <c r="I174" s="53" t="str">
        <f t="shared" si="7"/>
        <v/>
      </c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8"/>
        <v>163</v>
      </c>
      <c r="E175" s="10" t="str">
        <f t="shared" si="6"/>
        <v/>
      </c>
      <c r="I175" s="53" t="str">
        <f t="shared" si="7"/>
        <v/>
      </c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8"/>
        <v>164</v>
      </c>
      <c r="E176" s="10" t="str">
        <f t="shared" si="6"/>
        <v/>
      </c>
      <c r="I176" s="53" t="str">
        <f t="shared" si="7"/>
        <v/>
      </c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8"/>
        <v>165</v>
      </c>
      <c r="E177" s="10" t="str">
        <f t="shared" si="6"/>
        <v/>
      </c>
      <c r="I177" s="53" t="str">
        <f t="shared" si="7"/>
        <v/>
      </c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8"/>
        <v>166</v>
      </c>
      <c r="E178" s="10" t="str">
        <f t="shared" si="6"/>
        <v/>
      </c>
      <c r="I178" s="53" t="str">
        <f t="shared" si="7"/>
        <v/>
      </c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8"/>
        <v>167</v>
      </c>
      <c r="E179" s="10" t="str">
        <f t="shared" si="6"/>
        <v/>
      </c>
      <c r="I179" s="53" t="str">
        <f t="shared" si="7"/>
        <v/>
      </c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8"/>
        <v>168</v>
      </c>
      <c r="E180" s="10" t="str">
        <f t="shared" si="6"/>
        <v/>
      </c>
      <c r="I180" s="53" t="str">
        <f t="shared" si="7"/>
        <v/>
      </c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8"/>
        <v>169</v>
      </c>
      <c r="E181" s="10" t="str">
        <f t="shared" si="6"/>
        <v/>
      </c>
      <c r="I181" s="53" t="str">
        <f t="shared" si="7"/>
        <v/>
      </c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8"/>
        <v>170</v>
      </c>
      <c r="E182" s="10" t="str">
        <f t="shared" si="6"/>
        <v/>
      </c>
      <c r="I182" s="53" t="str">
        <f t="shared" si="7"/>
        <v/>
      </c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8"/>
        <v>171</v>
      </c>
      <c r="E183" s="10" t="str">
        <f t="shared" si="6"/>
        <v/>
      </c>
      <c r="I183" s="53" t="str">
        <f t="shared" si="7"/>
        <v/>
      </c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8"/>
        <v>172</v>
      </c>
      <c r="E184" s="10" t="str">
        <f t="shared" si="6"/>
        <v/>
      </c>
      <c r="I184" s="53" t="str">
        <f t="shared" si="7"/>
        <v/>
      </c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8"/>
        <v>173</v>
      </c>
      <c r="E185" s="10" t="str">
        <f t="shared" si="6"/>
        <v/>
      </c>
      <c r="I185" s="53" t="str">
        <f t="shared" si="7"/>
        <v/>
      </c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8"/>
        <v>174</v>
      </c>
      <c r="E186" s="10" t="str">
        <f t="shared" si="6"/>
        <v/>
      </c>
      <c r="I186" s="53" t="str">
        <f t="shared" si="7"/>
        <v/>
      </c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8"/>
        <v>175</v>
      </c>
      <c r="E187" s="10" t="str">
        <f t="shared" si="6"/>
        <v/>
      </c>
      <c r="I187" s="53" t="str">
        <f t="shared" si="7"/>
        <v/>
      </c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8"/>
        <v>176</v>
      </c>
      <c r="E188" s="10" t="str">
        <f t="shared" si="6"/>
        <v/>
      </c>
      <c r="I188" s="53" t="str">
        <f t="shared" si="7"/>
        <v/>
      </c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8"/>
        <v>177</v>
      </c>
      <c r="E189" s="10" t="str">
        <f t="shared" si="6"/>
        <v/>
      </c>
      <c r="I189" s="53" t="str">
        <f t="shared" si="7"/>
        <v/>
      </c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8"/>
        <v>178</v>
      </c>
      <c r="E190" s="10" t="str">
        <f t="shared" si="6"/>
        <v/>
      </c>
      <c r="I190" s="53" t="str">
        <f t="shared" si="7"/>
        <v/>
      </c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8"/>
        <v>179</v>
      </c>
      <c r="E191" s="10" t="str">
        <f t="shared" si="6"/>
        <v/>
      </c>
      <c r="I191" s="53" t="str">
        <f t="shared" si="7"/>
        <v/>
      </c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8"/>
        <v>180</v>
      </c>
      <c r="E192" s="10" t="str">
        <f t="shared" si="6"/>
        <v/>
      </c>
      <c r="I192" s="53" t="str">
        <f t="shared" si="7"/>
        <v/>
      </c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8"/>
        <v>181</v>
      </c>
      <c r="E193" s="10" t="str">
        <f t="shared" si="6"/>
        <v/>
      </c>
      <c r="I193" s="53" t="str">
        <f t="shared" si="7"/>
        <v/>
      </c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8"/>
        <v>182</v>
      </c>
      <c r="E194" s="10" t="str">
        <f t="shared" si="6"/>
        <v/>
      </c>
      <c r="I194" s="53" t="str">
        <f t="shared" si="7"/>
        <v/>
      </c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8"/>
        <v>183</v>
      </c>
      <c r="E195" s="10" t="str">
        <f t="shared" si="6"/>
        <v/>
      </c>
      <c r="I195" s="53" t="str">
        <f t="shared" si="7"/>
        <v/>
      </c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8"/>
        <v>184</v>
      </c>
      <c r="E196" s="10" t="str">
        <f t="shared" si="6"/>
        <v/>
      </c>
      <c r="I196" s="53" t="str">
        <f t="shared" si="7"/>
        <v/>
      </c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8"/>
        <v>185</v>
      </c>
      <c r="E197" s="10" t="str">
        <f t="shared" si="6"/>
        <v/>
      </c>
      <c r="I197" s="53" t="str">
        <f t="shared" si="7"/>
        <v/>
      </c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8"/>
        <v>186</v>
      </c>
      <c r="E198" s="10" t="str">
        <f t="shared" si="6"/>
        <v/>
      </c>
      <c r="I198" s="53" t="str">
        <f t="shared" si="7"/>
        <v/>
      </c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8"/>
        <v>187</v>
      </c>
      <c r="E199" s="10" t="str">
        <f t="shared" si="6"/>
        <v/>
      </c>
      <c r="I199" s="53" t="str">
        <f t="shared" si="7"/>
        <v/>
      </c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8"/>
        <v>188</v>
      </c>
      <c r="E200" s="10" t="str">
        <f t="shared" si="6"/>
        <v/>
      </c>
      <c r="I200" s="53" t="str">
        <f t="shared" si="7"/>
        <v/>
      </c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8"/>
        <v>189</v>
      </c>
      <c r="E201" s="10" t="str">
        <f t="shared" si="6"/>
        <v/>
      </c>
      <c r="I201" s="53" t="str">
        <f t="shared" si="7"/>
        <v/>
      </c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8"/>
        <v>190</v>
      </c>
      <c r="E202" s="10" t="str">
        <f t="shared" si="6"/>
        <v/>
      </c>
      <c r="I202" s="53" t="str">
        <f t="shared" si="7"/>
        <v/>
      </c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8"/>
        <v>191</v>
      </c>
      <c r="E203" s="10" t="str">
        <f t="shared" si="6"/>
        <v/>
      </c>
      <c r="I203" s="53" t="str">
        <f t="shared" si="7"/>
        <v/>
      </c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8"/>
        <v>192</v>
      </c>
      <c r="E204" s="10" t="str">
        <f t="shared" si="6"/>
        <v/>
      </c>
      <c r="I204" s="53" t="str">
        <f t="shared" si="7"/>
        <v/>
      </c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8"/>
        <v>193</v>
      </c>
      <c r="E205" s="10" t="str">
        <f t="shared" ref="E205:E268" si="9">IF($C$8&gt;=A205,$E$1&amp;" "&amp;A205,"")</f>
        <v/>
      </c>
      <c r="I205" s="53" t="str">
        <f t="shared" si="7"/>
        <v/>
      </c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8"/>
        <v>194</v>
      </c>
      <c r="E206" s="10" t="str">
        <f t="shared" si="9"/>
        <v/>
      </c>
      <c r="I206" s="53" t="str">
        <f t="shared" ref="I206:I269" si="10">IF(E206="","",F206-G206-H206)</f>
        <v/>
      </c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11">A206+1</f>
        <v>195</v>
      </c>
      <c r="E207" s="10" t="str">
        <f t="shared" si="9"/>
        <v/>
      </c>
      <c r="I207" s="53" t="str">
        <f t="shared" si="10"/>
        <v/>
      </c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11"/>
        <v>196</v>
      </c>
      <c r="E208" s="10" t="str">
        <f t="shared" si="9"/>
        <v/>
      </c>
      <c r="I208" s="53" t="str">
        <f t="shared" si="10"/>
        <v/>
      </c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11"/>
        <v>197</v>
      </c>
      <c r="E209" s="10" t="str">
        <f t="shared" si="9"/>
        <v/>
      </c>
      <c r="I209" s="53" t="str">
        <f t="shared" si="10"/>
        <v/>
      </c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11"/>
        <v>198</v>
      </c>
      <c r="E210" s="10" t="str">
        <f t="shared" si="9"/>
        <v/>
      </c>
      <c r="I210" s="53" t="str">
        <f t="shared" si="10"/>
        <v/>
      </c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11"/>
        <v>199</v>
      </c>
      <c r="E211" s="10" t="str">
        <f t="shared" si="9"/>
        <v/>
      </c>
      <c r="I211" s="53" t="str">
        <f t="shared" si="10"/>
        <v/>
      </c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11"/>
        <v>200</v>
      </c>
      <c r="E212" s="10" t="str">
        <f t="shared" si="9"/>
        <v/>
      </c>
      <c r="I212" s="53" t="str">
        <f t="shared" si="10"/>
        <v/>
      </c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11"/>
        <v>201</v>
      </c>
      <c r="E213" s="10" t="str">
        <f t="shared" si="9"/>
        <v/>
      </c>
      <c r="I213" s="53" t="str">
        <f t="shared" si="10"/>
        <v/>
      </c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11"/>
        <v>202</v>
      </c>
      <c r="E214" s="10" t="str">
        <f t="shared" si="9"/>
        <v/>
      </c>
      <c r="I214" s="53" t="str">
        <f t="shared" si="10"/>
        <v/>
      </c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11"/>
        <v>203</v>
      </c>
      <c r="E215" s="10" t="str">
        <f t="shared" si="9"/>
        <v/>
      </c>
      <c r="I215" s="53" t="str">
        <f t="shared" si="10"/>
        <v/>
      </c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11"/>
        <v>204</v>
      </c>
      <c r="E216" s="10" t="str">
        <f t="shared" si="9"/>
        <v/>
      </c>
      <c r="I216" s="53" t="str">
        <f t="shared" si="10"/>
        <v/>
      </c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11"/>
        <v>205</v>
      </c>
      <c r="E217" s="10" t="str">
        <f t="shared" si="9"/>
        <v/>
      </c>
      <c r="I217" s="53" t="str">
        <f t="shared" si="10"/>
        <v/>
      </c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11"/>
        <v>206</v>
      </c>
      <c r="E218" s="10" t="str">
        <f t="shared" si="9"/>
        <v/>
      </c>
      <c r="I218" s="53" t="str">
        <f t="shared" si="10"/>
        <v/>
      </c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11"/>
        <v>207</v>
      </c>
      <c r="E219" s="10" t="str">
        <f t="shared" si="9"/>
        <v/>
      </c>
      <c r="I219" s="53" t="str">
        <f t="shared" si="10"/>
        <v/>
      </c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11"/>
        <v>208</v>
      </c>
      <c r="E220" s="10" t="str">
        <f t="shared" si="9"/>
        <v/>
      </c>
      <c r="I220" s="53" t="str">
        <f t="shared" si="10"/>
        <v/>
      </c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11"/>
        <v>209</v>
      </c>
      <c r="E221" s="10" t="str">
        <f t="shared" si="9"/>
        <v/>
      </c>
      <c r="I221" s="53" t="str">
        <f t="shared" si="10"/>
        <v/>
      </c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11"/>
        <v>210</v>
      </c>
      <c r="E222" s="10" t="str">
        <f t="shared" si="9"/>
        <v/>
      </c>
      <c r="I222" s="53" t="str">
        <f t="shared" si="10"/>
        <v/>
      </c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11"/>
        <v>211</v>
      </c>
      <c r="E223" s="10" t="str">
        <f t="shared" si="9"/>
        <v/>
      </c>
      <c r="I223" s="53" t="str">
        <f t="shared" si="10"/>
        <v/>
      </c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11"/>
        <v>212</v>
      </c>
      <c r="E224" s="10" t="str">
        <f t="shared" si="9"/>
        <v/>
      </c>
      <c r="I224" s="53" t="str">
        <f t="shared" si="10"/>
        <v/>
      </c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11"/>
        <v>213</v>
      </c>
      <c r="E225" s="10" t="str">
        <f t="shared" si="9"/>
        <v/>
      </c>
      <c r="I225" s="53" t="str">
        <f t="shared" si="10"/>
        <v/>
      </c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11"/>
        <v>214</v>
      </c>
      <c r="E226" s="10" t="str">
        <f t="shared" si="9"/>
        <v/>
      </c>
      <c r="I226" s="53" t="str">
        <f t="shared" si="10"/>
        <v/>
      </c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11"/>
        <v>215</v>
      </c>
      <c r="E227" s="10" t="str">
        <f t="shared" si="9"/>
        <v/>
      </c>
      <c r="I227" s="53" t="str">
        <f t="shared" si="10"/>
        <v/>
      </c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11"/>
        <v>216</v>
      </c>
      <c r="E228" s="10" t="str">
        <f t="shared" si="9"/>
        <v/>
      </c>
      <c r="I228" s="53" t="str">
        <f t="shared" si="10"/>
        <v/>
      </c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11"/>
        <v>217</v>
      </c>
      <c r="E229" s="10" t="str">
        <f t="shared" si="9"/>
        <v/>
      </c>
      <c r="I229" s="53" t="str">
        <f t="shared" si="10"/>
        <v/>
      </c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11"/>
        <v>218</v>
      </c>
      <c r="E230" s="10" t="str">
        <f t="shared" si="9"/>
        <v/>
      </c>
      <c r="I230" s="53" t="str">
        <f t="shared" si="10"/>
        <v/>
      </c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11"/>
        <v>219</v>
      </c>
      <c r="E231" s="10" t="str">
        <f t="shared" si="9"/>
        <v/>
      </c>
      <c r="I231" s="53" t="str">
        <f t="shared" si="10"/>
        <v/>
      </c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11"/>
        <v>220</v>
      </c>
      <c r="E232" s="10" t="str">
        <f t="shared" si="9"/>
        <v/>
      </c>
      <c r="I232" s="53" t="str">
        <f t="shared" si="10"/>
        <v/>
      </c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11"/>
        <v>221</v>
      </c>
      <c r="E233" s="10" t="str">
        <f t="shared" si="9"/>
        <v/>
      </c>
      <c r="I233" s="53" t="str">
        <f t="shared" si="10"/>
        <v/>
      </c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11"/>
        <v>222</v>
      </c>
      <c r="E234" s="10" t="str">
        <f t="shared" si="9"/>
        <v/>
      </c>
      <c r="I234" s="53" t="str">
        <f t="shared" si="10"/>
        <v/>
      </c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11"/>
        <v>223</v>
      </c>
      <c r="E235" s="10" t="str">
        <f t="shared" si="9"/>
        <v/>
      </c>
      <c r="I235" s="53" t="str">
        <f t="shared" si="10"/>
        <v/>
      </c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11"/>
        <v>224</v>
      </c>
      <c r="E236" s="10" t="str">
        <f t="shared" si="9"/>
        <v/>
      </c>
      <c r="I236" s="53" t="str">
        <f t="shared" si="10"/>
        <v/>
      </c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11"/>
        <v>225</v>
      </c>
      <c r="E237" s="10" t="str">
        <f t="shared" si="9"/>
        <v/>
      </c>
      <c r="I237" s="53" t="str">
        <f t="shared" si="10"/>
        <v/>
      </c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11"/>
        <v>226</v>
      </c>
      <c r="E238" s="10" t="str">
        <f t="shared" si="9"/>
        <v/>
      </c>
      <c r="I238" s="53" t="str">
        <f t="shared" si="10"/>
        <v/>
      </c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11"/>
        <v>227</v>
      </c>
      <c r="E239" s="10" t="str">
        <f t="shared" si="9"/>
        <v/>
      </c>
      <c r="I239" s="53" t="str">
        <f t="shared" si="10"/>
        <v/>
      </c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11"/>
        <v>228</v>
      </c>
      <c r="E240" s="10" t="str">
        <f t="shared" si="9"/>
        <v/>
      </c>
      <c r="I240" s="53" t="str">
        <f t="shared" si="10"/>
        <v/>
      </c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11"/>
        <v>229</v>
      </c>
      <c r="E241" s="10" t="str">
        <f t="shared" si="9"/>
        <v/>
      </c>
      <c r="I241" s="53" t="str">
        <f t="shared" si="10"/>
        <v/>
      </c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11"/>
        <v>230</v>
      </c>
      <c r="E242" s="10" t="str">
        <f t="shared" si="9"/>
        <v/>
      </c>
      <c r="I242" s="53" t="str">
        <f t="shared" si="10"/>
        <v/>
      </c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11"/>
        <v>231</v>
      </c>
      <c r="E243" s="10" t="str">
        <f t="shared" si="9"/>
        <v/>
      </c>
      <c r="I243" s="53" t="str">
        <f t="shared" si="10"/>
        <v/>
      </c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11"/>
        <v>232</v>
      </c>
      <c r="E244" s="10" t="str">
        <f t="shared" si="9"/>
        <v/>
      </c>
      <c r="I244" s="53" t="str">
        <f t="shared" si="10"/>
        <v/>
      </c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11"/>
        <v>233</v>
      </c>
      <c r="E245" s="10" t="str">
        <f t="shared" si="9"/>
        <v/>
      </c>
      <c r="I245" s="53" t="str">
        <f t="shared" si="10"/>
        <v/>
      </c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11"/>
        <v>234</v>
      </c>
      <c r="E246" s="10" t="str">
        <f t="shared" si="9"/>
        <v/>
      </c>
      <c r="I246" s="53" t="str">
        <f t="shared" si="10"/>
        <v/>
      </c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11"/>
        <v>235</v>
      </c>
      <c r="E247" s="10" t="str">
        <f t="shared" si="9"/>
        <v/>
      </c>
      <c r="I247" s="53" t="str">
        <f t="shared" si="10"/>
        <v/>
      </c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11"/>
        <v>236</v>
      </c>
      <c r="E248" s="10" t="str">
        <f t="shared" si="9"/>
        <v/>
      </c>
      <c r="I248" s="53" t="str">
        <f t="shared" si="10"/>
        <v/>
      </c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11"/>
        <v>237</v>
      </c>
      <c r="E249" s="10" t="str">
        <f t="shared" si="9"/>
        <v/>
      </c>
      <c r="I249" s="53" t="str">
        <f t="shared" si="10"/>
        <v/>
      </c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11"/>
        <v>238</v>
      </c>
      <c r="E250" s="10" t="str">
        <f t="shared" si="9"/>
        <v/>
      </c>
      <c r="I250" s="53" t="str">
        <f t="shared" si="10"/>
        <v/>
      </c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11"/>
        <v>239</v>
      </c>
      <c r="E251" s="10" t="str">
        <f t="shared" si="9"/>
        <v/>
      </c>
      <c r="I251" s="53" t="str">
        <f t="shared" si="10"/>
        <v/>
      </c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11"/>
        <v>240</v>
      </c>
      <c r="E252" s="10" t="str">
        <f t="shared" si="9"/>
        <v/>
      </c>
      <c r="I252" s="53" t="str">
        <f t="shared" si="10"/>
        <v/>
      </c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11"/>
        <v>241</v>
      </c>
      <c r="E253" s="10" t="str">
        <f t="shared" si="9"/>
        <v/>
      </c>
      <c r="I253" s="53" t="str">
        <f t="shared" si="10"/>
        <v/>
      </c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11"/>
        <v>242</v>
      </c>
      <c r="E254" s="10" t="str">
        <f t="shared" si="9"/>
        <v/>
      </c>
      <c r="I254" s="53" t="str">
        <f t="shared" si="10"/>
        <v/>
      </c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11"/>
        <v>243</v>
      </c>
      <c r="E255" s="10" t="str">
        <f t="shared" si="9"/>
        <v/>
      </c>
      <c r="I255" s="53" t="str">
        <f t="shared" si="10"/>
        <v/>
      </c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11"/>
        <v>244</v>
      </c>
      <c r="E256" s="10" t="str">
        <f t="shared" si="9"/>
        <v/>
      </c>
      <c r="I256" s="53" t="str">
        <f t="shared" si="10"/>
        <v/>
      </c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11"/>
        <v>245</v>
      </c>
      <c r="E257" s="10" t="str">
        <f t="shared" si="9"/>
        <v/>
      </c>
      <c r="I257" s="53" t="str">
        <f t="shared" si="10"/>
        <v/>
      </c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11"/>
        <v>246</v>
      </c>
      <c r="E258" s="10" t="str">
        <f t="shared" si="9"/>
        <v/>
      </c>
      <c r="I258" s="53" t="str">
        <f t="shared" si="10"/>
        <v/>
      </c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11"/>
        <v>247</v>
      </c>
      <c r="E259" s="10" t="str">
        <f t="shared" si="9"/>
        <v/>
      </c>
      <c r="I259" s="53" t="str">
        <f t="shared" si="10"/>
        <v/>
      </c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11"/>
        <v>248</v>
      </c>
      <c r="E260" s="10" t="str">
        <f t="shared" si="9"/>
        <v/>
      </c>
      <c r="I260" s="53" t="str">
        <f t="shared" si="10"/>
        <v/>
      </c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11"/>
        <v>249</v>
      </c>
      <c r="E261" s="10" t="str">
        <f t="shared" si="9"/>
        <v/>
      </c>
      <c r="I261" s="53" t="str">
        <f t="shared" si="10"/>
        <v/>
      </c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11"/>
        <v>250</v>
      </c>
      <c r="E262" s="10" t="str">
        <f t="shared" si="9"/>
        <v/>
      </c>
      <c r="I262" s="53" t="str">
        <f t="shared" si="10"/>
        <v/>
      </c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11"/>
        <v>251</v>
      </c>
      <c r="E263" s="10" t="str">
        <f t="shared" si="9"/>
        <v/>
      </c>
      <c r="I263" s="53" t="str">
        <f t="shared" si="10"/>
        <v/>
      </c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11"/>
        <v>252</v>
      </c>
      <c r="E264" s="10" t="str">
        <f t="shared" si="9"/>
        <v/>
      </c>
      <c r="I264" s="53" t="str">
        <f t="shared" si="10"/>
        <v/>
      </c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11"/>
        <v>253</v>
      </c>
      <c r="E265" s="10" t="str">
        <f t="shared" si="9"/>
        <v/>
      </c>
      <c r="I265" s="53" t="str">
        <f t="shared" si="10"/>
        <v/>
      </c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11"/>
        <v>254</v>
      </c>
      <c r="E266" s="10" t="str">
        <f t="shared" si="9"/>
        <v/>
      </c>
      <c r="I266" s="53" t="str">
        <f t="shared" si="10"/>
        <v/>
      </c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11"/>
        <v>255</v>
      </c>
      <c r="E267" s="10" t="str">
        <f t="shared" si="9"/>
        <v/>
      </c>
      <c r="I267" s="53" t="str">
        <f t="shared" si="10"/>
        <v/>
      </c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11"/>
        <v>256</v>
      </c>
      <c r="E268" s="10" t="str">
        <f t="shared" si="9"/>
        <v/>
      </c>
      <c r="I268" s="53" t="str">
        <f t="shared" si="10"/>
        <v/>
      </c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11"/>
        <v>257</v>
      </c>
      <c r="E269" s="10" t="str">
        <f t="shared" ref="E269:E332" si="12">IF($C$8&gt;=A269,$E$1&amp;" "&amp;A269,"")</f>
        <v/>
      </c>
      <c r="I269" s="53" t="str">
        <f t="shared" si="10"/>
        <v/>
      </c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11"/>
        <v>258</v>
      </c>
      <c r="E270" s="10" t="str">
        <f t="shared" si="12"/>
        <v/>
      </c>
      <c r="I270" s="53" t="str">
        <f t="shared" ref="I270:I333" si="13">IF(E270="","",F270-G270-H270)</f>
        <v/>
      </c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4">A270+1</f>
        <v>259</v>
      </c>
      <c r="E271" s="10" t="str">
        <f t="shared" si="12"/>
        <v/>
      </c>
      <c r="I271" s="53" t="str">
        <f t="shared" si="13"/>
        <v/>
      </c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4"/>
        <v>260</v>
      </c>
      <c r="E272" s="10" t="str">
        <f t="shared" si="12"/>
        <v/>
      </c>
      <c r="I272" s="53" t="str">
        <f t="shared" si="13"/>
        <v/>
      </c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4"/>
        <v>261</v>
      </c>
      <c r="E273" s="10" t="str">
        <f t="shared" si="12"/>
        <v/>
      </c>
      <c r="I273" s="53" t="str">
        <f t="shared" si="13"/>
        <v/>
      </c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4"/>
        <v>262</v>
      </c>
      <c r="E274" s="10" t="str">
        <f t="shared" si="12"/>
        <v/>
      </c>
      <c r="I274" s="53" t="str">
        <f t="shared" si="13"/>
        <v/>
      </c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4"/>
        <v>263</v>
      </c>
      <c r="E275" s="10" t="str">
        <f t="shared" si="12"/>
        <v/>
      </c>
      <c r="I275" s="53" t="str">
        <f t="shared" si="13"/>
        <v/>
      </c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4"/>
        <v>264</v>
      </c>
      <c r="E276" s="10" t="str">
        <f t="shared" si="12"/>
        <v/>
      </c>
      <c r="I276" s="53" t="str">
        <f t="shared" si="13"/>
        <v/>
      </c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4"/>
        <v>265</v>
      </c>
      <c r="E277" s="10" t="str">
        <f t="shared" si="12"/>
        <v/>
      </c>
      <c r="I277" s="53" t="str">
        <f t="shared" si="13"/>
        <v/>
      </c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4"/>
        <v>266</v>
      </c>
      <c r="E278" s="10" t="str">
        <f t="shared" si="12"/>
        <v/>
      </c>
      <c r="I278" s="53" t="str">
        <f t="shared" si="13"/>
        <v/>
      </c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4"/>
        <v>267</v>
      </c>
      <c r="E279" s="10" t="str">
        <f t="shared" si="12"/>
        <v/>
      </c>
      <c r="I279" s="53" t="str">
        <f t="shared" si="13"/>
        <v/>
      </c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4"/>
        <v>268</v>
      </c>
      <c r="E280" s="10" t="str">
        <f t="shared" si="12"/>
        <v/>
      </c>
      <c r="I280" s="53" t="str">
        <f t="shared" si="13"/>
        <v/>
      </c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4"/>
        <v>269</v>
      </c>
      <c r="E281" s="10" t="str">
        <f t="shared" si="12"/>
        <v/>
      </c>
      <c r="I281" s="53" t="str">
        <f t="shared" si="13"/>
        <v/>
      </c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4"/>
        <v>270</v>
      </c>
      <c r="E282" s="10" t="str">
        <f t="shared" si="12"/>
        <v/>
      </c>
      <c r="I282" s="53" t="str">
        <f t="shared" si="13"/>
        <v/>
      </c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4"/>
        <v>271</v>
      </c>
      <c r="E283" s="10" t="str">
        <f t="shared" si="12"/>
        <v/>
      </c>
      <c r="I283" s="53" t="str">
        <f t="shared" si="13"/>
        <v/>
      </c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4"/>
        <v>272</v>
      </c>
      <c r="E284" s="10" t="str">
        <f t="shared" si="12"/>
        <v/>
      </c>
      <c r="I284" s="53" t="str">
        <f t="shared" si="13"/>
        <v/>
      </c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4"/>
        <v>273</v>
      </c>
      <c r="E285" s="10" t="str">
        <f t="shared" si="12"/>
        <v/>
      </c>
      <c r="I285" s="53" t="str">
        <f t="shared" si="13"/>
        <v/>
      </c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4"/>
        <v>274</v>
      </c>
      <c r="E286" s="10" t="str">
        <f t="shared" si="12"/>
        <v/>
      </c>
      <c r="I286" s="53" t="str">
        <f t="shared" si="13"/>
        <v/>
      </c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4"/>
        <v>275</v>
      </c>
      <c r="E287" s="10" t="str">
        <f t="shared" si="12"/>
        <v/>
      </c>
      <c r="I287" s="53" t="str">
        <f t="shared" si="13"/>
        <v/>
      </c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4"/>
        <v>276</v>
      </c>
      <c r="E288" s="10" t="str">
        <f t="shared" si="12"/>
        <v/>
      </c>
      <c r="I288" s="53" t="str">
        <f t="shared" si="13"/>
        <v/>
      </c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4"/>
        <v>277</v>
      </c>
      <c r="E289" s="10" t="str">
        <f t="shared" si="12"/>
        <v/>
      </c>
      <c r="I289" s="53" t="str">
        <f t="shared" si="13"/>
        <v/>
      </c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4"/>
        <v>278</v>
      </c>
      <c r="E290" s="10" t="str">
        <f t="shared" si="12"/>
        <v/>
      </c>
      <c r="I290" s="53" t="str">
        <f t="shared" si="13"/>
        <v/>
      </c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4"/>
        <v>279</v>
      </c>
      <c r="E291" s="10" t="str">
        <f t="shared" si="12"/>
        <v/>
      </c>
      <c r="I291" s="53" t="str">
        <f t="shared" si="13"/>
        <v/>
      </c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4"/>
        <v>280</v>
      </c>
      <c r="E292" s="10" t="str">
        <f t="shared" si="12"/>
        <v/>
      </c>
      <c r="I292" s="53" t="str">
        <f t="shared" si="13"/>
        <v/>
      </c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4"/>
        <v>281</v>
      </c>
      <c r="E293" s="10" t="str">
        <f t="shared" si="12"/>
        <v/>
      </c>
      <c r="I293" s="53" t="str">
        <f t="shared" si="13"/>
        <v/>
      </c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4"/>
        <v>282</v>
      </c>
      <c r="E294" s="10" t="str">
        <f t="shared" si="12"/>
        <v/>
      </c>
      <c r="I294" s="53" t="str">
        <f t="shared" si="13"/>
        <v/>
      </c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4"/>
        <v>283</v>
      </c>
      <c r="E295" s="10" t="str">
        <f t="shared" si="12"/>
        <v/>
      </c>
      <c r="I295" s="53" t="str">
        <f t="shared" si="13"/>
        <v/>
      </c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4"/>
        <v>284</v>
      </c>
      <c r="E296" s="10" t="str">
        <f t="shared" si="12"/>
        <v/>
      </c>
      <c r="I296" s="53" t="str">
        <f t="shared" si="13"/>
        <v/>
      </c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4"/>
        <v>285</v>
      </c>
      <c r="E297" s="10" t="str">
        <f t="shared" si="12"/>
        <v/>
      </c>
      <c r="I297" s="53" t="str">
        <f t="shared" si="13"/>
        <v/>
      </c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4"/>
        <v>286</v>
      </c>
      <c r="E298" s="10" t="str">
        <f t="shared" si="12"/>
        <v/>
      </c>
      <c r="I298" s="53" t="str">
        <f t="shared" si="13"/>
        <v/>
      </c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4"/>
        <v>287</v>
      </c>
      <c r="E299" s="10" t="str">
        <f t="shared" si="12"/>
        <v/>
      </c>
      <c r="I299" s="53" t="str">
        <f t="shared" si="13"/>
        <v/>
      </c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4"/>
        <v>288</v>
      </c>
      <c r="E300" s="10" t="str">
        <f t="shared" si="12"/>
        <v/>
      </c>
      <c r="I300" s="53" t="str">
        <f t="shared" si="13"/>
        <v/>
      </c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4"/>
        <v>289</v>
      </c>
      <c r="E301" s="10" t="str">
        <f t="shared" si="12"/>
        <v/>
      </c>
      <c r="I301" s="53" t="str">
        <f t="shared" si="13"/>
        <v/>
      </c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4"/>
        <v>290</v>
      </c>
      <c r="E302" s="10" t="str">
        <f t="shared" si="12"/>
        <v/>
      </c>
      <c r="I302" s="53" t="str">
        <f t="shared" si="13"/>
        <v/>
      </c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4"/>
        <v>291</v>
      </c>
      <c r="E303" s="10" t="str">
        <f t="shared" si="12"/>
        <v/>
      </c>
      <c r="I303" s="53" t="str">
        <f t="shared" si="13"/>
        <v/>
      </c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4"/>
        <v>292</v>
      </c>
      <c r="E304" s="10" t="str">
        <f t="shared" si="12"/>
        <v/>
      </c>
      <c r="I304" s="53" t="str">
        <f t="shared" si="13"/>
        <v/>
      </c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4"/>
        <v>293</v>
      </c>
      <c r="E305" s="10" t="str">
        <f t="shared" si="12"/>
        <v/>
      </c>
      <c r="I305" s="53" t="str">
        <f t="shared" si="13"/>
        <v/>
      </c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4"/>
        <v>294</v>
      </c>
      <c r="E306" s="10" t="str">
        <f t="shared" si="12"/>
        <v/>
      </c>
      <c r="I306" s="53" t="str">
        <f t="shared" si="13"/>
        <v/>
      </c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4"/>
        <v>295</v>
      </c>
      <c r="E307" s="10" t="str">
        <f t="shared" si="12"/>
        <v/>
      </c>
      <c r="I307" s="53" t="str">
        <f t="shared" si="13"/>
        <v/>
      </c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4"/>
        <v>296</v>
      </c>
      <c r="E308" s="10" t="str">
        <f t="shared" si="12"/>
        <v/>
      </c>
      <c r="I308" s="53" t="str">
        <f t="shared" si="13"/>
        <v/>
      </c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4"/>
        <v>297</v>
      </c>
      <c r="E309" s="10" t="str">
        <f t="shared" si="12"/>
        <v/>
      </c>
      <c r="I309" s="53" t="str">
        <f t="shared" si="13"/>
        <v/>
      </c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4"/>
        <v>298</v>
      </c>
      <c r="E310" s="10" t="str">
        <f t="shared" si="12"/>
        <v/>
      </c>
      <c r="I310" s="53" t="str">
        <f t="shared" si="13"/>
        <v/>
      </c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4"/>
        <v>299</v>
      </c>
      <c r="E311" s="10" t="str">
        <f t="shared" si="12"/>
        <v/>
      </c>
      <c r="I311" s="53" t="str">
        <f t="shared" si="13"/>
        <v/>
      </c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4"/>
        <v>300</v>
      </c>
      <c r="E312" s="10" t="str">
        <f t="shared" si="12"/>
        <v/>
      </c>
      <c r="I312" s="53" t="str">
        <f t="shared" si="13"/>
        <v/>
      </c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4"/>
        <v>301</v>
      </c>
      <c r="E313" s="10" t="str">
        <f t="shared" si="12"/>
        <v/>
      </c>
      <c r="I313" s="53" t="str">
        <f t="shared" si="13"/>
        <v/>
      </c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4"/>
        <v>302</v>
      </c>
      <c r="E314" s="10" t="str">
        <f t="shared" si="12"/>
        <v/>
      </c>
      <c r="I314" s="53" t="str">
        <f t="shared" si="13"/>
        <v/>
      </c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4"/>
        <v>303</v>
      </c>
      <c r="E315" s="10" t="str">
        <f t="shared" si="12"/>
        <v/>
      </c>
      <c r="I315" s="53" t="str">
        <f t="shared" si="13"/>
        <v/>
      </c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4"/>
        <v>304</v>
      </c>
      <c r="E316" s="10" t="str">
        <f t="shared" si="12"/>
        <v/>
      </c>
      <c r="I316" s="53" t="str">
        <f t="shared" si="13"/>
        <v/>
      </c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4"/>
        <v>305</v>
      </c>
      <c r="E317" s="10" t="str">
        <f t="shared" si="12"/>
        <v/>
      </c>
      <c r="I317" s="53" t="str">
        <f t="shared" si="13"/>
        <v/>
      </c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4"/>
        <v>306</v>
      </c>
      <c r="E318" s="10" t="str">
        <f t="shared" si="12"/>
        <v/>
      </c>
      <c r="I318" s="53" t="str">
        <f t="shared" si="13"/>
        <v/>
      </c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4"/>
        <v>307</v>
      </c>
      <c r="E319" s="10" t="str">
        <f t="shared" si="12"/>
        <v/>
      </c>
      <c r="I319" s="53" t="str">
        <f t="shared" si="13"/>
        <v/>
      </c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4"/>
        <v>308</v>
      </c>
      <c r="E320" s="10" t="str">
        <f t="shared" si="12"/>
        <v/>
      </c>
      <c r="I320" s="53" t="str">
        <f t="shared" si="13"/>
        <v/>
      </c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4"/>
        <v>309</v>
      </c>
      <c r="E321" s="10" t="str">
        <f t="shared" si="12"/>
        <v/>
      </c>
      <c r="I321" s="53" t="str">
        <f t="shared" si="13"/>
        <v/>
      </c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4"/>
        <v>310</v>
      </c>
      <c r="E322" s="10" t="str">
        <f t="shared" si="12"/>
        <v/>
      </c>
      <c r="I322" s="53" t="str">
        <f t="shared" si="13"/>
        <v/>
      </c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4"/>
        <v>311</v>
      </c>
      <c r="E323" s="10" t="str">
        <f t="shared" si="12"/>
        <v/>
      </c>
      <c r="I323" s="53" t="str">
        <f t="shared" si="13"/>
        <v/>
      </c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4"/>
        <v>312</v>
      </c>
      <c r="E324" s="10" t="str">
        <f t="shared" si="12"/>
        <v/>
      </c>
      <c r="I324" s="53" t="str">
        <f t="shared" si="13"/>
        <v/>
      </c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4"/>
        <v>313</v>
      </c>
      <c r="E325" s="10" t="str">
        <f t="shared" si="12"/>
        <v/>
      </c>
      <c r="I325" s="53" t="str">
        <f t="shared" si="13"/>
        <v/>
      </c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4"/>
        <v>314</v>
      </c>
      <c r="E326" s="10" t="str">
        <f t="shared" si="12"/>
        <v/>
      </c>
      <c r="I326" s="53" t="str">
        <f t="shared" si="13"/>
        <v/>
      </c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4"/>
        <v>315</v>
      </c>
      <c r="E327" s="10" t="str">
        <f t="shared" si="12"/>
        <v/>
      </c>
      <c r="I327" s="53" t="str">
        <f t="shared" si="13"/>
        <v/>
      </c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4"/>
        <v>316</v>
      </c>
      <c r="E328" s="10" t="str">
        <f t="shared" si="12"/>
        <v/>
      </c>
      <c r="I328" s="53" t="str">
        <f t="shared" si="13"/>
        <v/>
      </c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4"/>
        <v>317</v>
      </c>
      <c r="E329" s="10" t="str">
        <f t="shared" si="12"/>
        <v/>
      </c>
      <c r="I329" s="53" t="str">
        <f t="shared" si="13"/>
        <v/>
      </c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4"/>
        <v>318</v>
      </c>
      <c r="E330" s="10" t="str">
        <f t="shared" si="12"/>
        <v/>
      </c>
      <c r="I330" s="53" t="str">
        <f t="shared" si="13"/>
        <v/>
      </c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4"/>
        <v>319</v>
      </c>
      <c r="E331" s="10" t="str">
        <f t="shared" si="12"/>
        <v/>
      </c>
      <c r="I331" s="53" t="str">
        <f t="shared" si="13"/>
        <v/>
      </c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4"/>
        <v>320</v>
      </c>
      <c r="E332" s="10" t="str">
        <f t="shared" si="12"/>
        <v/>
      </c>
      <c r="I332" s="53" t="str">
        <f t="shared" si="13"/>
        <v/>
      </c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4"/>
        <v>321</v>
      </c>
      <c r="E333" s="10" t="str">
        <f t="shared" ref="E333:E396" si="15">IF($C$8&gt;=A333,$E$1&amp;" "&amp;A333,"")</f>
        <v/>
      </c>
      <c r="I333" s="53" t="str">
        <f t="shared" si="13"/>
        <v/>
      </c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4"/>
        <v>322</v>
      </c>
      <c r="E334" s="10" t="str">
        <f t="shared" si="15"/>
        <v/>
      </c>
      <c r="I334" s="53" t="str">
        <f t="shared" ref="I334:I397" si="16">IF(E334="","",F334-G334-H334)</f>
        <v/>
      </c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7">A334+1</f>
        <v>323</v>
      </c>
      <c r="E335" s="10" t="str">
        <f t="shared" si="15"/>
        <v/>
      </c>
      <c r="I335" s="53" t="str">
        <f t="shared" si="16"/>
        <v/>
      </c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7"/>
        <v>324</v>
      </c>
      <c r="E336" s="10" t="str">
        <f t="shared" si="15"/>
        <v/>
      </c>
      <c r="I336" s="53" t="str">
        <f t="shared" si="16"/>
        <v/>
      </c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7"/>
        <v>325</v>
      </c>
      <c r="E337" s="10" t="str">
        <f t="shared" si="15"/>
        <v/>
      </c>
      <c r="I337" s="53" t="str">
        <f t="shared" si="16"/>
        <v/>
      </c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7"/>
        <v>326</v>
      </c>
      <c r="E338" s="10" t="str">
        <f t="shared" si="15"/>
        <v/>
      </c>
      <c r="I338" s="53" t="str">
        <f t="shared" si="16"/>
        <v/>
      </c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7"/>
        <v>327</v>
      </c>
      <c r="E339" s="10" t="str">
        <f t="shared" si="15"/>
        <v/>
      </c>
      <c r="I339" s="53" t="str">
        <f t="shared" si="16"/>
        <v/>
      </c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7"/>
        <v>328</v>
      </c>
      <c r="E340" s="10" t="str">
        <f t="shared" si="15"/>
        <v/>
      </c>
      <c r="I340" s="53" t="str">
        <f t="shared" si="16"/>
        <v/>
      </c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7"/>
        <v>329</v>
      </c>
      <c r="E341" s="10" t="str">
        <f t="shared" si="15"/>
        <v/>
      </c>
      <c r="I341" s="53" t="str">
        <f t="shared" si="16"/>
        <v/>
      </c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7"/>
        <v>330</v>
      </c>
      <c r="E342" s="10" t="str">
        <f t="shared" si="15"/>
        <v/>
      </c>
      <c r="I342" s="53" t="str">
        <f t="shared" si="16"/>
        <v/>
      </c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7"/>
        <v>331</v>
      </c>
      <c r="E343" s="10" t="str">
        <f t="shared" si="15"/>
        <v/>
      </c>
      <c r="I343" s="53" t="str">
        <f t="shared" si="16"/>
        <v/>
      </c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7"/>
        <v>332</v>
      </c>
      <c r="E344" s="10" t="str">
        <f t="shared" si="15"/>
        <v/>
      </c>
      <c r="I344" s="53" t="str">
        <f t="shared" si="16"/>
        <v/>
      </c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7"/>
        <v>333</v>
      </c>
      <c r="E345" s="10" t="str">
        <f t="shared" si="15"/>
        <v/>
      </c>
      <c r="I345" s="53" t="str">
        <f t="shared" si="16"/>
        <v/>
      </c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7"/>
        <v>334</v>
      </c>
      <c r="E346" s="10" t="str">
        <f t="shared" si="15"/>
        <v/>
      </c>
      <c r="I346" s="53" t="str">
        <f t="shared" si="16"/>
        <v/>
      </c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7"/>
        <v>335</v>
      </c>
      <c r="E347" s="10" t="str">
        <f t="shared" si="15"/>
        <v/>
      </c>
      <c r="I347" s="53" t="str">
        <f t="shared" si="16"/>
        <v/>
      </c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7"/>
        <v>336</v>
      </c>
      <c r="E348" s="10" t="str">
        <f t="shared" si="15"/>
        <v/>
      </c>
      <c r="I348" s="53" t="str">
        <f t="shared" si="16"/>
        <v/>
      </c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7"/>
        <v>337</v>
      </c>
      <c r="E349" s="10" t="str">
        <f t="shared" si="15"/>
        <v/>
      </c>
      <c r="I349" s="53" t="str">
        <f t="shared" si="16"/>
        <v/>
      </c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7"/>
        <v>338</v>
      </c>
      <c r="E350" s="10" t="str">
        <f t="shared" si="15"/>
        <v/>
      </c>
      <c r="I350" s="53" t="str">
        <f t="shared" si="16"/>
        <v/>
      </c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7"/>
        <v>339</v>
      </c>
      <c r="E351" s="10" t="str">
        <f t="shared" si="15"/>
        <v/>
      </c>
      <c r="I351" s="53" t="str">
        <f t="shared" si="16"/>
        <v/>
      </c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7"/>
        <v>340</v>
      </c>
      <c r="E352" s="10" t="str">
        <f t="shared" si="15"/>
        <v/>
      </c>
      <c r="I352" s="53" t="str">
        <f t="shared" si="16"/>
        <v/>
      </c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7"/>
        <v>341</v>
      </c>
      <c r="E353" s="10" t="str">
        <f t="shared" si="15"/>
        <v/>
      </c>
      <c r="I353" s="53" t="str">
        <f t="shared" si="16"/>
        <v/>
      </c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7"/>
        <v>342</v>
      </c>
      <c r="E354" s="10" t="str">
        <f t="shared" si="15"/>
        <v/>
      </c>
      <c r="I354" s="53" t="str">
        <f t="shared" si="16"/>
        <v/>
      </c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7"/>
        <v>343</v>
      </c>
      <c r="E355" s="10" t="str">
        <f t="shared" si="15"/>
        <v/>
      </c>
      <c r="I355" s="53" t="str">
        <f t="shared" si="16"/>
        <v/>
      </c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7"/>
        <v>344</v>
      </c>
      <c r="E356" s="10" t="str">
        <f t="shared" si="15"/>
        <v/>
      </c>
      <c r="I356" s="53" t="str">
        <f t="shared" si="16"/>
        <v/>
      </c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7"/>
        <v>345</v>
      </c>
      <c r="E357" s="10" t="str">
        <f t="shared" si="15"/>
        <v/>
      </c>
      <c r="I357" s="53" t="str">
        <f t="shared" si="16"/>
        <v/>
      </c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7"/>
        <v>346</v>
      </c>
      <c r="E358" s="10" t="str">
        <f t="shared" si="15"/>
        <v/>
      </c>
      <c r="I358" s="53" t="str">
        <f t="shared" si="16"/>
        <v/>
      </c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7"/>
        <v>347</v>
      </c>
      <c r="E359" s="10" t="str">
        <f t="shared" si="15"/>
        <v/>
      </c>
      <c r="I359" s="53" t="str">
        <f t="shared" si="16"/>
        <v/>
      </c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7"/>
        <v>348</v>
      </c>
      <c r="E360" s="10" t="str">
        <f t="shared" si="15"/>
        <v/>
      </c>
      <c r="I360" s="53" t="str">
        <f t="shared" si="16"/>
        <v/>
      </c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7"/>
        <v>349</v>
      </c>
      <c r="E361" s="10" t="str">
        <f t="shared" si="15"/>
        <v/>
      </c>
      <c r="I361" s="53" t="str">
        <f t="shared" si="16"/>
        <v/>
      </c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7"/>
        <v>350</v>
      </c>
      <c r="E362" s="10" t="str">
        <f t="shared" si="15"/>
        <v/>
      </c>
      <c r="I362" s="53" t="str">
        <f t="shared" si="16"/>
        <v/>
      </c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7"/>
        <v>351</v>
      </c>
      <c r="E363" s="10" t="str">
        <f t="shared" si="15"/>
        <v/>
      </c>
      <c r="I363" s="53" t="str">
        <f t="shared" si="16"/>
        <v/>
      </c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7"/>
        <v>352</v>
      </c>
      <c r="E364" s="10" t="str">
        <f t="shared" si="15"/>
        <v/>
      </c>
      <c r="I364" s="53" t="str">
        <f t="shared" si="16"/>
        <v/>
      </c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7"/>
        <v>353</v>
      </c>
      <c r="E365" s="10" t="str">
        <f t="shared" si="15"/>
        <v/>
      </c>
      <c r="I365" s="53" t="str">
        <f t="shared" si="16"/>
        <v/>
      </c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7"/>
        <v>354</v>
      </c>
      <c r="E366" s="10" t="str">
        <f t="shared" si="15"/>
        <v/>
      </c>
      <c r="I366" s="53" t="str">
        <f t="shared" si="16"/>
        <v/>
      </c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7"/>
        <v>355</v>
      </c>
      <c r="E367" s="10" t="str">
        <f t="shared" si="15"/>
        <v/>
      </c>
      <c r="I367" s="53" t="str">
        <f t="shared" si="16"/>
        <v/>
      </c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7"/>
        <v>356</v>
      </c>
      <c r="E368" s="10" t="str">
        <f t="shared" si="15"/>
        <v/>
      </c>
      <c r="I368" s="53" t="str">
        <f t="shared" si="16"/>
        <v/>
      </c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7"/>
        <v>357</v>
      </c>
      <c r="E369" s="10" t="str">
        <f t="shared" si="15"/>
        <v/>
      </c>
      <c r="I369" s="53" t="str">
        <f t="shared" si="16"/>
        <v/>
      </c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7"/>
        <v>358</v>
      </c>
      <c r="E370" s="10" t="str">
        <f t="shared" si="15"/>
        <v/>
      </c>
      <c r="I370" s="53" t="str">
        <f t="shared" si="16"/>
        <v/>
      </c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7"/>
        <v>359</v>
      </c>
      <c r="E371" s="10" t="str">
        <f t="shared" si="15"/>
        <v/>
      </c>
      <c r="I371" s="53" t="str">
        <f t="shared" si="16"/>
        <v/>
      </c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7"/>
        <v>360</v>
      </c>
      <c r="E372" s="10" t="str">
        <f t="shared" si="15"/>
        <v/>
      </c>
      <c r="I372" s="53" t="str">
        <f t="shared" si="16"/>
        <v/>
      </c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7"/>
        <v>361</v>
      </c>
      <c r="E373" s="10" t="str">
        <f t="shared" si="15"/>
        <v/>
      </c>
      <c r="I373" s="53" t="str">
        <f t="shared" si="16"/>
        <v/>
      </c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7"/>
        <v>362</v>
      </c>
      <c r="E374" s="10" t="str">
        <f t="shared" si="15"/>
        <v/>
      </c>
      <c r="I374" s="53" t="str">
        <f t="shared" si="16"/>
        <v/>
      </c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7"/>
        <v>363</v>
      </c>
      <c r="E375" s="10" t="str">
        <f t="shared" si="15"/>
        <v/>
      </c>
      <c r="I375" s="53" t="str">
        <f t="shared" si="16"/>
        <v/>
      </c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7"/>
        <v>364</v>
      </c>
      <c r="E376" s="10" t="str">
        <f t="shared" si="15"/>
        <v/>
      </c>
      <c r="I376" s="53" t="str">
        <f t="shared" si="16"/>
        <v/>
      </c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7"/>
        <v>365</v>
      </c>
      <c r="E377" s="10" t="str">
        <f t="shared" si="15"/>
        <v/>
      </c>
      <c r="I377" s="53" t="str">
        <f t="shared" si="16"/>
        <v/>
      </c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7"/>
        <v>366</v>
      </c>
      <c r="E378" s="10" t="str">
        <f t="shared" si="15"/>
        <v/>
      </c>
      <c r="I378" s="53" t="str">
        <f t="shared" si="16"/>
        <v/>
      </c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7"/>
        <v>367</v>
      </c>
      <c r="E379" s="10" t="str">
        <f t="shared" si="15"/>
        <v/>
      </c>
      <c r="I379" s="53" t="str">
        <f t="shared" si="16"/>
        <v/>
      </c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7"/>
        <v>368</v>
      </c>
      <c r="E380" s="10" t="str">
        <f t="shared" si="15"/>
        <v/>
      </c>
      <c r="I380" s="53" t="str">
        <f t="shared" si="16"/>
        <v/>
      </c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7"/>
        <v>369</v>
      </c>
      <c r="E381" s="10" t="str">
        <f t="shared" si="15"/>
        <v/>
      </c>
      <c r="I381" s="53" t="str">
        <f t="shared" si="16"/>
        <v/>
      </c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7"/>
        <v>370</v>
      </c>
      <c r="E382" s="10" t="str">
        <f t="shared" si="15"/>
        <v/>
      </c>
      <c r="I382" s="53" t="str">
        <f t="shared" si="16"/>
        <v/>
      </c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7"/>
        <v>371</v>
      </c>
      <c r="E383" s="10" t="str">
        <f t="shared" si="15"/>
        <v/>
      </c>
      <c r="I383" s="53" t="str">
        <f t="shared" si="16"/>
        <v/>
      </c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7"/>
        <v>372</v>
      </c>
      <c r="E384" s="10" t="str">
        <f t="shared" si="15"/>
        <v/>
      </c>
      <c r="I384" s="53" t="str">
        <f t="shared" si="16"/>
        <v/>
      </c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7"/>
        <v>373</v>
      </c>
      <c r="E385" s="10" t="str">
        <f t="shared" si="15"/>
        <v/>
      </c>
      <c r="I385" s="53" t="str">
        <f t="shared" si="16"/>
        <v/>
      </c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7"/>
        <v>374</v>
      </c>
      <c r="E386" s="10" t="str">
        <f t="shared" si="15"/>
        <v/>
      </c>
      <c r="I386" s="53" t="str">
        <f t="shared" si="16"/>
        <v/>
      </c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7"/>
        <v>375</v>
      </c>
      <c r="E387" s="10" t="str">
        <f t="shared" si="15"/>
        <v/>
      </c>
      <c r="I387" s="53" t="str">
        <f t="shared" si="16"/>
        <v/>
      </c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7"/>
        <v>376</v>
      </c>
      <c r="E388" s="10" t="str">
        <f t="shared" si="15"/>
        <v/>
      </c>
      <c r="I388" s="53" t="str">
        <f t="shared" si="16"/>
        <v/>
      </c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7"/>
        <v>377</v>
      </c>
      <c r="E389" s="10" t="str">
        <f t="shared" si="15"/>
        <v/>
      </c>
      <c r="I389" s="53" t="str">
        <f t="shared" si="16"/>
        <v/>
      </c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7"/>
        <v>378</v>
      </c>
      <c r="E390" s="10" t="str">
        <f t="shared" si="15"/>
        <v/>
      </c>
      <c r="I390" s="53" t="str">
        <f t="shared" si="16"/>
        <v/>
      </c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7"/>
        <v>379</v>
      </c>
      <c r="E391" s="10" t="str">
        <f t="shared" si="15"/>
        <v/>
      </c>
      <c r="I391" s="53" t="str">
        <f t="shared" si="16"/>
        <v/>
      </c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7"/>
        <v>380</v>
      </c>
      <c r="E392" s="10" t="str">
        <f t="shared" si="15"/>
        <v/>
      </c>
      <c r="I392" s="53" t="str">
        <f t="shared" si="16"/>
        <v/>
      </c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7"/>
        <v>381</v>
      </c>
      <c r="E393" s="10" t="str">
        <f t="shared" si="15"/>
        <v/>
      </c>
      <c r="I393" s="53" t="str">
        <f t="shared" si="16"/>
        <v/>
      </c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7"/>
        <v>382</v>
      </c>
      <c r="E394" s="10" t="str">
        <f t="shared" si="15"/>
        <v/>
      </c>
      <c r="I394" s="53" t="str">
        <f t="shared" si="16"/>
        <v/>
      </c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7"/>
        <v>383</v>
      </c>
      <c r="E395" s="10" t="str">
        <f t="shared" si="15"/>
        <v/>
      </c>
      <c r="I395" s="53" t="str">
        <f t="shared" si="16"/>
        <v/>
      </c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7"/>
        <v>384</v>
      </c>
      <c r="E396" s="10" t="str">
        <f t="shared" si="15"/>
        <v/>
      </c>
      <c r="I396" s="53" t="str">
        <f t="shared" si="16"/>
        <v/>
      </c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7"/>
        <v>385</v>
      </c>
      <c r="E397" s="10" t="str">
        <f t="shared" ref="E397:E460" si="18">IF($C$8&gt;=A397,$E$1&amp;" "&amp;A397,"")</f>
        <v/>
      </c>
      <c r="I397" s="53" t="str">
        <f t="shared" si="16"/>
        <v/>
      </c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7"/>
        <v>386</v>
      </c>
      <c r="E398" s="10" t="str">
        <f t="shared" si="18"/>
        <v/>
      </c>
      <c r="I398" s="53" t="str">
        <f t="shared" ref="I398:I461" si="19">IF(E398="","",F398-G398-H398)</f>
        <v/>
      </c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20">A398+1</f>
        <v>387</v>
      </c>
      <c r="E399" s="10" t="str">
        <f t="shared" si="18"/>
        <v/>
      </c>
      <c r="I399" s="53" t="str">
        <f t="shared" si="19"/>
        <v/>
      </c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20"/>
        <v>388</v>
      </c>
      <c r="E400" s="10" t="str">
        <f t="shared" si="18"/>
        <v/>
      </c>
      <c r="I400" s="53" t="str">
        <f t="shared" si="19"/>
        <v/>
      </c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20"/>
        <v>389</v>
      </c>
      <c r="E401" s="10" t="str">
        <f t="shared" si="18"/>
        <v/>
      </c>
      <c r="I401" s="53" t="str">
        <f t="shared" si="19"/>
        <v/>
      </c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20"/>
        <v>390</v>
      </c>
      <c r="E402" s="10" t="str">
        <f t="shared" si="18"/>
        <v/>
      </c>
      <c r="I402" s="53" t="str">
        <f t="shared" si="19"/>
        <v/>
      </c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20"/>
        <v>391</v>
      </c>
      <c r="E403" s="10" t="str">
        <f t="shared" si="18"/>
        <v/>
      </c>
      <c r="I403" s="53" t="str">
        <f t="shared" si="19"/>
        <v/>
      </c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20"/>
        <v>392</v>
      </c>
      <c r="E404" s="10" t="str">
        <f t="shared" si="18"/>
        <v/>
      </c>
      <c r="I404" s="53" t="str">
        <f t="shared" si="19"/>
        <v/>
      </c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20"/>
        <v>393</v>
      </c>
      <c r="E405" s="10" t="str">
        <f t="shared" si="18"/>
        <v/>
      </c>
      <c r="I405" s="53" t="str">
        <f t="shared" si="19"/>
        <v/>
      </c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20"/>
        <v>394</v>
      </c>
      <c r="E406" s="10" t="str">
        <f t="shared" si="18"/>
        <v/>
      </c>
      <c r="I406" s="53" t="str">
        <f t="shared" si="19"/>
        <v/>
      </c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20"/>
        <v>395</v>
      </c>
      <c r="E407" s="10" t="str">
        <f t="shared" si="18"/>
        <v/>
      </c>
      <c r="I407" s="53" t="str">
        <f t="shared" si="19"/>
        <v/>
      </c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20"/>
        <v>396</v>
      </c>
      <c r="E408" s="10" t="str">
        <f t="shared" si="18"/>
        <v/>
      </c>
      <c r="I408" s="53" t="str">
        <f t="shared" si="19"/>
        <v/>
      </c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20"/>
        <v>397</v>
      </c>
      <c r="E409" s="10" t="str">
        <f t="shared" si="18"/>
        <v/>
      </c>
      <c r="I409" s="53" t="str">
        <f t="shared" si="19"/>
        <v/>
      </c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20"/>
        <v>398</v>
      </c>
      <c r="E410" s="10" t="str">
        <f t="shared" si="18"/>
        <v/>
      </c>
      <c r="I410" s="53" t="str">
        <f t="shared" si="19"/>
        <v/>
      </c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20"/>
        <v>399</v>
      </c>
      <c r="E411" s="10" t="str">
        <f t="shared" si="18"/>
        <v/>
      </c>
      <c r="I411" s="53" t="str">
        <f t="shared" si="19"/>
        <v/>
      </c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20"/>
        <v>400</v>
      </c>
      <c r="E412" s="10" t="str">
        <f t="shared" si="18"/>
        <v/>
      </c>
      <c r="I412" s="53" t="str">
        <f t="shared" si="19"/>
        <v/>
      </c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20"/>
        <v>401</v>
      </c>
      <c r="E413" s="10" t="str">
        <f t="shared" si="18"/>
        <v/>
      </c>
      <c r="I413" s="53" t="str">
        <f t="shared" si="19"/>
        <v/>
      </c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20"/>
        <v>402</v>
      </c>
      <c r="E414" s="10" t="str">
        <f t="shared" si="18"/>
        <v/>
      </c>
      <c r="I414" s="53" t="str">
        <f t="shared" si="19"/>
        <v/>
      </c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20"/>
        <v>403</v>
      </c>
      <c r="E415" s="10" t="str">
        <f t="shared" si="18"/>
        <v/>
      </c>
      <c r="I415" s="53" t="str">
        <f t="shared" si="19"/>
        <v/>
      </c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20"/>
        <v>404</v>
      </c>
      <c r="E416" s="10" t="str">
        <f t="shared" si="18"/>
        <v/>
      </c>
      <c r="I416" s="53" t="str">
        <f t="shared" si="19"/>
        <v/>
      </c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20"/>
        <v>405</v>
      </c>
      <c r="E417" s="10" t="str">
        <f t="shared" si="18"/>
        <v/>
      </c>
      <c r="I417" s="53" t="str">
        <f t="shared" si="19"/>
        <v/>
      </c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20"/>
        <v>406</v>
      </c>
      <c r="E418" s="10" t="str">
        <f t="shared" si="18"/>
        <v/>
      </c>
      <c r="I418" s="53" t="str">
        <f t="shared" si="19"/>
        <v/>
      </c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20"/>
        <v>407</v>
      </c>
      <c r="E419" s="10" t="str">
        <f t="shared" si="18"/>
        <v/>
      </c>
      <c r="I419" s="53" t="str">
        <f t="shared" si="19"/>
        <v/>
      </c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20"/>
        <v>408</v>
      </c>
      <c r="E420" s="10" t="str">
        <f t="shared" si="18"/>
        <v/>
      </c>
      <c r="I420" s="53" t="str">
        <f t="shared" si="19"/>
        <v/>
      </c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20"/>
        <v>409</v>
      </c>
      <c r="E421" s="10" t="str">
        <f t="shared" si="18"/>
        <v/>
      </c>
      <c r="I421" s="53" t="str">
        <f t="shared" si="19"/>
        <v/>
      </c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20"/>
        <v>410</v>
      </c>
      <c r="E422" s="10" t="str">
        <f t="shared" si="18"/>
        <v/>
      </c>
      <c r="I422" s="53" t="str">
        <f t="shared" si="19"/>
        <v/>
      </c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20"/>
        <v>411</v>
      </c>
      <c r="E423" s="10" t="str">
        <f t="shared" si="18"/>
        <v/>
      </c>
      <c r="I423" s="53" t="str">
        <f t="shared" si="19"/>
        <v/>
      </c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20"/>
        <v>412</v>
      </c>
      <c r="E424" s="10" t="str">
        <f t="shared" si="18"/>
        <v/>
      </c>
      <c r="I424" s="53" t="str">
        <f t="shared" si="19"/>
        <v/>
      </c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20"/>
        <v>413</v>
      </c>
      <c r="E425" s="10" t="str">
        <f t="shared" si="18"/>
        <v/>
      </c>
      <c r="I425" s="53" t="str">
        <f t="shared" si="19"/>
        <v/>
      </c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20"/>
        <v>414</v>
      </c>
      <c r="E426" s="10" t="str">
        <f t="shared" si="18"/>
        <v/>
      </c>
      <c r="I426" s="53" t="str">
        <f t="shared" si="19"/>
        <v/>
      </c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20"/>
        <v>415</v>
      </c>
      <c r="E427" s="10" t="str">
        <f t="shared" si="18"/>
        <v/>
      </c>
      <c r="I427" s="53" t="str">
        <f t="shared" si="19"/>
        <v/>
      </c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20"/>
        <v>416</v>
      </c>
      <c r="E428" s="10" t="str">
        <f t="shared" si="18"/>
        <v/>
      </c>
      <c r="I428" s="53" t="str">
        <f t="shared" si="19"/>
        <v/>
      </c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20"/>
        <v>417</v>
      </c>
      <c r="E429" s="10" t="str">
        <f t="shared" si="18"/>
        <v/>
      </c>
      <c r="I429" s="53" t="str">
        <f t="shared" si="19"/>
        <v/>
      </c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20"/>
        <v>418</v>
      </c>
      <c r="E430" s="10" t="str">
        <f t="shared" si="18"/>
        <v/>
      </c>
      <c r="I430" s="53" t="str">
        <f t="shared" si="19"/>
        <v/>
      </c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20"/>
        <v>419</v>
      </c>
      <c r="E431" s="10" t="str">
        <f t="shared" si="18"/>
        <v/>
      </c>
      <c r="I431" s="53" t="str">
        <f t="shared" si="19"/>
        <v/>
      </c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20"/>
        <v>420</v>
      </c>
      <c r="E432" s="10" t="str">
        <f t="shared" si="18"/>
        <v/>
      </c>
      <c r="I432" s="53" t="str">
        <f t="shared" si="19"/>
        <v/>
      </c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20"/>
        <v>421</v>
      </c>
      <c r="E433" s="10" t="str">
        <f t="shared" si="18"/>
        <v/>
      </c>
      <c r="I433" s="53" t="str">
        <f t="shared" si="19"/>
        <v/>
      </c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20"/>
        <v>422</v>
      </c>
      <c r="E434" s="10" t="str">
        <f t="shared" si="18"/>
        <v/>
      </c>
      <c r="I434" s="53" t="str">
        <f t="shared" si="19"/>
        <v/>
      </c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20"/>
        <v>423</v>
      </c>
      <c r="E435" s="10" t="str">
        <f t="shared" si="18"/>
        <v/>
      </c>
      <c r="I435" s="53" t="str">
        <f t="shared" si="19"/>
        <v/>
      </c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20"/>
        <v>424</v>
      </c>
      <c r="E436" s="10" t="str">
        <f t="shared" si="18"/>
        <v/>
      </c>
      <c r="I436" s="53" t="str">
        <f t="shared" si="19"/>
        <v/>
      </c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20"/>
        <v>425</v>
      </c>
      <c r="E437" s="10" t="str">
        <f t="shared" si="18"/>
        <v/>
      </c>
      <c r="I437" s="53" t="str">
        <f t="shared" si="19"/>
        <v/>
      </c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20"/>
        <v>426</v>
      </c>
      <c r="E438" s="10" t="str">
        <f t="shared" si="18"/>
        <v/>
      </c>
      <c r="I438" s="53" t="str">
        <f t="shared" si="19"/>
        <v/>
      </c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20"/>
        <v>427</v>
      </c>
      <c r="E439" s="10" t="str">
        <f t="shared" si="18"/>
        <v/>
      </c>
      <c r="I439" s="53" t="str">
        <f t="shared" si="19"/>
        <v/>
      </c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20"/>
        <v>428</v>
      </c>
      <c r="E440" s="10" t="str">
        <f t="shared" si="18"/>
        <v/>
      </c>
      <c r="I440" s="53" t="str">
        <f t="shared" si="19"/>
        <v/>
      </c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20"/>
        <v>429</v>
      </c>
      <c r="E441" s="10" t="str">
        <f t="shared" si="18"/>
        <v/>
      </c>
      <c r="I441" s="53" t="str">
        <f t="shared" si="19"/>
        <v/>
      </c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20"/>
        <v>430</v>
      </c>
      <c r="E442" s="10" t="str">
        <f t="shared" si="18"/>
        <v/>
      </c>
      <c r="I442" s="53" t="str">
        <f t="shared" si="19"/>
        <v/>
      </c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20"/>
        <v>431</v>
      </c>
      <c r="E443" s="10" t="str">
        <f t="shared" si="18"/>
        <v/>
      </c>
      <c r="I443" s="53" t="str">
        <f t="shared" si="19"/>
        <v/>
      </c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20"/>
        <v>432</v>
      </c>
      <c r="E444" s="10" t="str">
        <f t="shared" si="18"/>
        <v/>
      </c>
      <c r="I444" s="53" t="str">
        <f t="shared" si="19"/>
        <v/>
      </c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20"/>
        <v>433</v>
      </c>
      <c r="E445" s="10" t="str">
        <f t="shared" si="18"/>
        <v/>
      </c>
      <c r="I445" s="53" t="str">
        <f t="shared" si="19"/>
        <v/>
      </c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20"/>
        <v>434</v>
      </c>
      <c r="E446" s="10" t="str">
        <f t="shared" si="18"/>
        <v/>
      </c>
      <c r="I446" s="53" t="str">
        <f t="shared" si="19"/>
        <v/>
      </c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20"/>
        <v>435</v>
      </c>
      <c r="E447" s="10" t="str">
        <f t="shared" si="18"/>
        <v/>
      </c>
      <c r="I447" s="53" t="str">
        <f t="shared" si="19"/>
        <v/>
      </c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20"/>
        <v>436</v>
      </c>
      <c r="E448" s="10" t="str">
        <f t="shared" si="18"/>
        <v/>
      </c>
      <c r="I448" s="53" t="str">
        <f t="shared" si="19"/>
        <v/>
      </c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20"/>
        <v>437</v>
      </c>
      <c r="E449" s="10" t="str">
        <f t="shared" si="18"/>
        <v/>
      </c>
      <c r="I449" s="53" t="str">
        <f t="shared" si="19"/>
        <v/>
      </c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20"/>
        <v>438</v>
      </c>
      <c r="E450" s="10" t="str">
        <f t="shared" si="18"/>
        <v/>
      </c>
      <c r="I450" s="53" t="str">
        <f t="shared" si="19"/>
        <v/>
      </c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20"/>
        <v>439</v>
      </c>
      <c r="E451" s="10" t="str">
        <f t="shared" si="18"/>
        <v/>
      </c>
      <c r="I451" s="53" t="str">
        <f t="shared" si="19"/>
        <v/>
      </c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20"/>
        <v>440</v>
      </c>
      <c r="E452" s="10" t="str">
        <f t="shared" si="18"/>
        <v/>
      </c>
      <c r="I452" s="53" t="str">
        <f t="shared" si="19"/>
        <v/>
      </c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20"/>
        <v>441</v>
      </c>
      <c r="E453" s="10" t="str">
        <f t="shared" si="18"/>
        <v/>
      </c>
      <c r="I453" s="53" t="str">
        <f t="shared" si="19"/>
        <v/>
      </c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20"/>
        <v>442</v>
      </c>
      <c r="E454" s="10" t="str">
        <f t="shared" si="18"/>
        <v/>
      </c>
      <c r="I454" s="53" t="str">
        <f t="shared" si="19"/>
        <v/>
      </c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20"/>
        <v>443</v>
      </c>
      <c r="E455" s="10" t="str">
        <f t="shared" si="18"/>
        <v/>
      </c>
      <c r="I455" s="53" t="str">
        <f t="shared" si="19"/>
        <v/>
      </c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20"/>
        <v>444</v>
      </c>
      <c r="E456" s="10" t="str">
        <f t="shared" si="18"/>
        <v/>
      </c>
      <c r="I456" s="53" t="str">
        <f t="shared" si="19"/>
        <v/>
      </c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20"/>
        <v>445</v>
      </c>
      <c r="E457" s="10" t="str">
        <f t="shared" si="18"/>
        <v/>
      </c>
      <c r="I457" s="53" t="str">
        <f t="shared" si="19"/>
        <v/>
      </c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20"/>
        <v>446</v>
      </c>
      <c r="E458" s="10" t="str">
        <f t="shared" si="18"/>
        <v/>
      </c>
      <c r="I458" s="53" t="str">
        <f t="shared" si="19"/>
        <v/>
      </c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20"/>
        <v>447</v>
      </c>
      <c r="E459" s="10" t="str">
        <f t="shared" si="18"/>
        <v/>
      </c>
      <c r="I459" s="53" t="str">
        <f t="shared" si="19"/>
        <v/>
      </c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20"/>
        <v>448</v>
      </c>
      <c r="E460" s="10" t="str">
        <f t="shared" si="18"/>
        <v/>
      </c>
      <c r="I460" s="53" t="str">
        <f t="shared" si="19"/>
        <v/>
      </c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20"/>
        <v>449</v>
      </c>
      <c r="E461" s="10" t="str">
        <f t="shared" ref="E461:E524" si="21">IF($C$8&gt;=A461,$E$1&amp;" "&amp;A461,"")</f>
        <v/>
      </c>
      <c r="I461" s="53" t="str">
        <f t="shared" si="19"/>
        <v/>
      </c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20"/>
        <v>450</v>
      </c>
      <c r="E462" s="10" t="str">
        <f t="shared" si="21"/>
        <v/>
      </c>
      <c r="I462" s="53" t="str">
        <f t="shared" ref="I462:I525" si="22">IF(E462="","",F462-G462-H462)</f>
        <v/>
      </c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23">A462+1</f>
        <v>451</v>
      </c>
      <c r="E463" s="10" t="str">
        <f t="shared" si="21"/>
        <v/>
      </c>
      <c r="I463" s="53" t="str">
        <f t="shared" si="22"/>
        <v/>
      </c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23"/>
        <v>452</v>
      </c>
      <c r="E464" s="10" t="str">
        <f t="shared" si="21"/>
        <v/>
      </c>
      <c r="I464" s="53" t="str">
        <f t="shared" si="22"/>
        <v/>
      </c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23"/>
        <v>453</v>
      </c>
      <c r="E465" s="10" t="str">
        <f t="shared" si="21"/>
        <v/>
      </c>
      <c r="I465" s="53" t="str">
        <f t="shared" si="22"/>
        <v/>
      </c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23"/>
        <v>454</v>
      </c>
      <c r="E466" s="10" t="str">
        <f t="shared" si="21"/>
        <v/>
      </c>
      <c r="I466" s="53" t="str">
        <f t="shared" si="22"/>
        <v/>
      </c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23"/>
        <v>455</v>
      </c>
      <c r="E467" s="10" t="str">
        <f t="shared" si="21"/>
        <v/>
      </c>
      <c r="I467" s="53" t="str">
        <f t="shared" si="22"/>
        <v/>
      </c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23"/>
        <v>456</v>
      </c>
      <c r="E468" s="10" t="str">
        <f t="shared" si="21"/>
        <v/>
      </c>
      <c r="I468" s="53" t="str">
        <f t="shared" si="22"/>
        <v/>
      </c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23"/>
        <v>457</v>
      </c>
      <c r="E469" s="10" t="str">
        <f t="shared" si="21"/>
        <v/>
      </c>
      <c r="I469" s="53" t="str">
        <f t="shared" si="22"/>
        <v/>
      </c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23"/>
        <v>458</v>
      </c>
      <c r="E470" s="10" t="str">
        <f t="shared" si="21"/>
        <v/>
      </c>
      <c r="I470" s="53" t="str">
        <f t="shared" si="22"/>
        <v/>
      </c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23"/>
        <v>459</v>
      </c>
      <c r="E471" s="10" t="str">
        <f t="shared" si="21"/>
        <v/>
      </c>
      <c r="I471" s="53" t="str">
        <f t="shared" si="22"/>
        <v/>
      </c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23"/>
        <v>460</v>
      </c>
      <c r="E472" s="10" t="str">
        <f t="shared" si="21"/>
        <v/>
      </c>
      <c r="I472" s="53" t="str">
        <f t="shared" si="22"/>
        <v/>
      </c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23"/>
        <v>461</v>
      </c>
      <c r="E473" s="10" t="str">
        <f t="shared" si="21"/>
        <v/>
      </c>
      <c r="I473" s="53" t="str">
        <f t="shared" si="22"/>
        <v/>
      </c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23"/>
        <v>462</v>
      </c>
      <c r="E474" s="10" t="str">
        <f t="shared" si="21"/>
        <v/>
      </c>
      <c r="I474" s="53" t="str">
        <f t="shared" si="22"/>
        <v/>
      </c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23"/>
        <v>463</v>
      </c>
      <c r="E475" s="10" t="str">
        <f t="shared" si="21"/>
        <v/>
      </c>
      <c r="I475" s="53" t="str">
        <f t="shared" si="22"/>
        <v/>
      </c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23"/>
        <v>464</v>
      </c>
      <c r="E476" s="10" t="str">
        <f t="shared" si="21"/>
        <v/>
      </c>
      <c r="I476" s="53" t="str">
        <f t="shared" si="22"/>
        <v/>
      </c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23"/>
        <v>465</v>
      </c>
      <c r="E477" s="10" t="str">
        <f t="shared" si="21"/>
        <v/>
      </c>
      <c r="I477" s="53" t="str">
        <f t="shared" si="22"/>
        <v/>
      </c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23"/>
        <v>466</v>
      </c>
      <c r="E478" s="10" t="str">
        <f t="shared" si="21"/>
        <v/>
      </c>
      <c r="I478" s="53" t="str">
        <f t="shared" si="22"/>
        <v/>
      </c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23"/>
        <v>467</v>
      </c>
      <c r="E479" s="10" t="str">
        <f t="shared" si="21"/>
        <v/>
      </c>
      <c r="I479" s="53" t="str">
        <f t="shared" si="22"/>
        <v/>
      </c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23"/>
        <v>468</v>
      </c>
      <c r="E480" s="10" t="str">
        <f t="shared" si="21"/>
        <v/>
      </c>
      <c r="I480" s="53" t="str">
        <f t="shared" si="22"/>
        <v/>
      </c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23"/>
        <v>469</v>
      </c>
      <c r="E481" s="10" t="str">
        <f t="shared" si="21"/>
        <v/>
      </c>
      <c r="I481" s="53" t="str">
        <f t="shared" si="22"/>
        <v/>
      </c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23"/>
        <v>470</v>
      </c>
      <c r="E482" s="10" t="str">
        <f t="shared" si="21"/>
        <v/>
      </c>
      <c r="I482" s="53" t="str">
        <f t="shared" si="22"/>
        <v/>
      </c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23"/>
        <v>471</v>
      </c>
      <c r="E483" s="10" t="str">
        <f t="shared" si="21"/>
        <v/>
      </c>
      <c r="I483" s="53" t="str">
        <f t="shared" si="22"/>
        <v/>
      </c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23"/>
        <v>472</v>
      </c>
      <c r="E484" s="10" t="str">
        <f t="shared" si="21"/>
        <v/>
      </c>
      <c r="I484" s="53" t="str">
        <f t="shared" si="22"/>
        <v/>
      </c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23"/>
        <v>473</v>
      </c>
      <c r="E485" s="10" t="str">
        <f t="shared" si="21"/>
        <v/>
      </c>
      <c r="I485" s="53" t="str">
        <f t="shared" si="22"/>
        <v/>
      </c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23"/>
        <v>474</v>
      </c>
      <c r="E486" s="10" t="str">
        <f t="shared" si="21"/>
        <v/>
      </c>
      <c r="I486" s="53" t="str">
        <f t="shared" si="22"/>
        <v/>
      </c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23"/>
        <v>475</v>
      </c>
      <c r="E487" s="10" t="str">
        <f t="shared" si="21"/>
        <v/>
      </c>
      <c r="I487" s="53" t="str">
        <f t="shared" si="22"/>
        <v/>
      </c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23"/>
        <v>476</v>
      </c>
      <c r="E488" s="10" t="str">
        <f t="shared" si="21"/>
        <v/>
      </c>
      <c r="I488" s="53" t="str">
        <f t="shared" si="22"/>
        <v/>
      </c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23"/>
        <v>477</v>
      </c>
      <c r="E489" s="10" t="str">
        <f t="shared" si="21"/>
        <v/>
      </c>
      <c r="I489" s="53" t="str">
        <f t="shared" si="22"/>
        <v/>
      </c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23"/>
        <v>478</v>
      </c>
      <c r="E490" s="10" t="str">
        <f t="shared" si="21"/>
        <v/>
      </c>
      <c r="I490" s="53" t="str">
        <f t="shared" si="22"/>
        <v/>
      </c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23"/>
        <v>479</v>
      </c>
      <c r="E491" s="10" t="str">
        <f t="shared" si="21"/>
        <v/>
      </c>
      <c r="I491" s="53" t="str">
        <f t="shared" si="22"/>
        <v/>
      </c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23"/>
        <v>480</v>
      </c>
      <c r="E492" s="10" t="str">
        <f t="shared" si="21"/>
        <v/>
      </c>
      <c r="I492" s="53" t="str">
        <f t="shared" si="22"/>
        <v/>
      </c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23"/>
        <v>481</v>
      </c>
      <c r="E493" s="10" t="str">
        <f t="shared" si="21"/>
        <v/>
      </c>
      <c r="I493" s="53" t="str">
        <f t="shared" si="22"/>
        <v/>
      </c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23"/>
        <v>482</v>
      </c>
      <c r="E494" s="10" t="str">
        <f t="shared" si="21"/>
        <v/>
      </c>
      <c r="I494" s="53" t="str">
        <f t="shared" si="22"/>
        <v/>
      </c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23"/>
        <v>483</v>
      </c>
      <c r="E495" s="10" t="str">
        <f t="shared" si="21"/>
        <v/>
      </c>
      <c r="I495" s="53" t="str">
        <f t="shared" si="22"/>
        <v/>
      </c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23"/>
        <v>484</v>
      </c>
      <c r="E496" s="10" t="str">
        <f t="shared" si="21"/>
        <v/>
      </c>
      <c r="I496" s="53" t="str">
        <f t="shared" si="22"/>
        <v/>
      </c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23"/>
        <v>485</v>
      </c>
      <c r="E497" s="10" t="str">
        <f t="shared" si="21"/>
        <v/>
      </c>
      <c r="I497" s="53" t="str">
        <f t="shared" si="22"/>
        <v/>
      </c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23"/>
        <v>486</v>
      </c>
      <c r="E498" s="10" t="str">
        <f t="shared" si="21"/>
        <v/>
      </c>
      <c r="I498" s="53" t="str">
        <f t="shared" si="22"/>
        <v/>
      </c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23"/>
        <v>487</v>
      </c>
      <c r="E499" s="10" t="str">
        <f t="shared" si="21"/>
        <v/>
      </c>
      <c r="I499" s="53" t="str">
        <f t="shared" si="22"/>
        <v/>
      </c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23"/>
        <v>488</v>
      </c>
      <c r="E500" s="10" t="str">
        <f t="shared" si="21"/>
        <v/>
      </c>
      <c r="I500" s="53" t="str">
        <f t="shared" si="22"/>
        <v/>
      </c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23"/>
        <v>489</v>
      </c>
      <c r="E501" s="10" t="str">
        <f t="shared" si="21"/>
        <v/>
      </c>
      <c r="I501" s="53" t="str">
        <f t="shared" si="22"/>
        <v/>
      </c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23"/>
        <v>490</v>
      </c>
      <c r="E502" s="10" t="str">
        <f t="shared" si="21"/>
        <v/>
      </c>
      <c r="I502" s="53" t="str">
        <f t="shared" si="22"/>
        <v/>
      </c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23"/>
        <v>491</v>
      </c>
      <c r="E503" s="10" t="str">
        <f t="shared" si="21"/>
        <v/>
      </c>
      <c r="I503" s="53" t="str">
        <f t="shared" si="22"/>
        <v/>
      </c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23"/>
        <v>492</v>
      </c>
      <c r="E504" s="10" t="str">
        <f t="shared" si="21"/>
        <v/>
      </c>
      <c r="I504" s="53" t="str">
        <f t="shared" si="22"/>
        <v/>
      </c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23"/>
        <v>493</v>
      </c>
      <c r="E505" s="10" t="str">
        <f t="shared" si="21"/>
        <v/>
      </c>
      <c r="I505" s="53" t="str">
        <f t="shared" si="22"/>
        <v/>
      </c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23"/>
        <v>494</v>
      </c>
      <c r="E506" s="10" t="str">
        <f t="shared" si="21"/>
        <v/>
      </c>
      <c r="I506" s="53" t="str">
        <f t="shared" si="22"/>
        <v/>
      </c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23"/>
        <v>495</v>
      </c>
      <c r="E507" s="10" t="str">
        <f t="shared" si="21"/>
        <v/>
      </c>
      <c r="I507" s="53" t="str">
        <f t="shared" si="22"/>
        <v/>
      </c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23"/>
        <v>496</v>
      </c>
      <c r="E508" s="10" t="str">
        <f t="shared" si="21"/>
        <v/>
      </c>
      <c r="I508" s="53" t="str">
        <f t="shared" si="22"/>
        <v/>
      </c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23"/>
        <v>497</v>
      </c>
      <c r="E509" s="10" t="str">
        <f t="shared" si="21"/>
        <v/>
      </c>
      <c r="I509" s="53" t="str">
        <f t="shared" si="22"/>
        <v/>
      </c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23"/>
        <v>498</v>
      </c>
      <c r="E510" s="10" t="str">
        <f t="shared" si="21"/>
        <v/>
      </c>
      <c r="I510" s="53" t="str">
        <f t="shared" si="22"/>
        <v/>
      </c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23"/>
        <v>499</v>
      </c>
      <c r="E511" s="10" t="str">
        <f t="shared" si="21"/>
        <v/>
      </c>
      <c r="I511" s="53" t="str">
        <f t="shared" si="22"/>
        <v/>
      </c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23"/>
        <v>500</v>
      </c>
      <c r="E512" s="10" t="str">
        <f t="shared" si="21"/>
        <v/>
      </c>
      <c r="I512" s="53" t="str">
        <f t="shared" si="22"/>
        <v/>
      </c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23"/>
        <v>501</v>
      </c>
      <c r="E513" s="10" t="str">
        <f t="shared" si="21"/>
        <v/>
      </c>
      <c r="I513" s="53" t="str">
        <f t="shared" si="22"/>
        <v/>
      </c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23"/>
        <v>502</v>
      </c>
      <c r="E514" s="10" t="str">
        <f t="shared" si="21"/>
        <v/>
      </c>
      <c r="I514" s="53" t="str">
        <f t="shared" si="22"/>
        <v/>
      </c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23"/>
        <v>503</v>
      </c>
      <c r="E515" s="10" t="str">
        <f t="shared" si="21"/>
        <v/>
      </c>
      <c r="I515" s="53" t="str">
        <f t="shared" si="22"/>
        <v/>
      </c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23"/>
        <v>504</v>
      </c>
      <c r="E516" s="10" t="str">
        <f t="shared" si="21"/>
        <v/>
      </c>
      <c r="I516" s="53" t="str">
        <f t="shared" si="22"/>
        <v/>
      </c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23"/>
        <v>505</v>
      </c>
      <c r="E517" s="10" t="str">
        <f t="shared" si="21"/>
        <v/>
      </c>
      <c r="I517" s="53" t="str">
        <f t="shared" si="22"/>
        <v/>
      </c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23"/>
        <v>506</v>
      </c>
      <c r="E518" s="10" t="str">
        <f t="shared" si="21"/>
        <v/>
      </c>
      <c r="I518" s="53" t="str">
        <f t="shared" si="22"/>
        <v/>
      </c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23"/>
        <v>507</v>
      </c>
      <c r="E519" s="10" t="str">
        <f t="shared" si="21"/>
        <v/>
      </c>
      <c r="I519" s="53" t="str">
        <f t="shared" si="22"/>
        <v/>
      </c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23"/>
        <v>508</v>
      </c>
      <c r="E520" s="10" t="str">
        <f t="shared" si="21"/>
        <v/>
      </c>
      <c r="I520" s="53" t="str">
        <f t="shared" si="22"/>
        <v/>
      </c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23"/>
        <v>509</v>
      </c>
      <c r="E521" s="10" t="str">
        <f t="shared" si="21"/>
        <v/>
      </c>
      <c r="I521" s="53" t="str">
        <f t="shared" si="22"/>
        <v/>
      </c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23"/>
        <v>510</v>
      </c>
      <c r="E522" s="10" t="str">
        <f t="shared" si="21"/>
        <v/>
      </c>
      <c r="I522" s="53" t="str">
        <f t="shared" si="22"/>
        <v/>
      </c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23"/>
        <v>511</v>
      </c>
      <c r="E523" s="10" t="str">
        <f t="shared" si="21"/>
        <v/>
      </c>
      <c r="I523" s="53" t="str">
        <f t="shared" si="22"/>
        <v/>
      </c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23"/>
        <v>512</v>
      </c>
      <c r="E524" s="10" t="str">
        <f t="shared" si="21"/>
        <v/>
      </c>
      <c r="I524" s="53" t="str">
        <f t="shared" si="22"/>
        <v/>
      </c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23"/>
        <v>513</v>
      </c>
      <c r="E525" s="10" t="str">
        <f t="shared" ref="E525:E588" si="24">IF($C$8&gt;=A525,$E$1&amp;" "&amp;A525,"")</f>
        <v/>
      </c>
      <c r="I525" s="53" t="str">
        <f t="shared" si="22"/>
        <v/>
      </c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23"/>
        <v>514</v>
      </c>
      <c r="E526" s="10" t="str">
        <f t="shared" si="24"/>
        <v/>
      </c>
      <c r="I526" s="53" t="str">
        <f t="shared" ref="I526:I589" si="25">IF(E526="","",F526-G526-H526)</f>
        <v/>
      </c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26">A526+1</f>
        <v>515</v>
      </c>
      <c r="E527" s="10" t="str">
        <f t="shared" si="24"/>
        <v/>
      </c>
      <c r="I527" s="53" t="str">
        <f t="shared" si="25"/>
        <v/>
      </c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26"/>
        <v>516</v>
      </c>
      <c r="E528" s="10" t="str">
        <f t="shared" si="24"/>
        <v/>
      </c>
      <c r="I528" s="53" t="str">
        <f t="shared" si="25"/>
        <v/>
      </c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26"/>
        <v>517</v>
      </c>
      <c r="E529" s="10" t="str">
        <f t="shared" si="24"/>
        <v/>
      </c>
      <c r="I529" s="53" t="str">
        <f t="shared" si="25"/>
        <v/>
      </c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26"/>
        <v>518</v>
      </c>
      <c r="E530" s="10" t="str">
        <f t="shared" si="24"/>
        <v/>
      </c>
      <c r="I530" s="53" t="str">
        <f t="shared" si="25"/>
        <v/>
      </c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26"/>
        <v>519</v>
      </c>
      <c r="E531" s="10" t="str">
        <f t="shared" si="24"/>
        <v/>
      </c>
      <c r="I531" s="53" t="str">
        <f t="shared" si="25"/>
        <v/>
      </c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26"/>
        <v>520</v>
      </c>
      <c r="E532" s="10" t="str">
        <f t="shared" si="24"/>
        <v/>
      </c>
      <c r="I532" s="53" t="str">
        <f t="shared" si="25"/>
        <v/>
      </c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26"/>
        <v>521</v>
      </c>
      <c r="E533" s="10" t="str">
        <f t="shared" si="24"/>
        <v/>
      </c>
      <c r="I533" s="53" t="str">
        <f t="shared" si="25"/>
        <v/>
      </c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26"/>
        <v>522</v>
      </c>
      <c r="E534" s="10" t="str">
        <f t="shared" si="24"/>
        <v/>
      </c>
      <c r="I534" s="53" t="str">
        <f t="shared" si="25"/>
        <v/>
      </c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26"/>
        <v>523</v>
      </c>
      <c r="E535" s="10" t="str">
        <f t="shared" si="24"/>
        <v/>
      </c>
      <c r="I535" s="53" t="str">
        <f t="shared" si="25"/>
        <v/>
      </c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26"/>
        <v>524</v>
      </c>
      <c r="E536" s="10" t="str">
        <f t="shared" si="24"/>
        <v/>
      </c>
      <c r="I536" s="53" t="str">
        <f t="shared" si="25"/>
        <v/>
      </c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26"/>
        <v>525</v>
      </c>
      <c r="E537" s="10" t="str">
        <f t="shared" si="24"/>
        <v/>
      </c>
      <c r="I537" s="53" t="str">
        <f t="shared" si="25"/>
        <v/>
      </c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26"/>
        <v>526</v>
      </c>
      <c r="E538" s="10" t="str">
        <f t="shared" si="24"/>
        <v/>
      </c>
      <c r="I538" s="53" t="str">
        <f t="shared" si="25"/>
        <v/>
      </c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26"/>
        <v>527</v>
      </c>
      <c r="E539" s="10" t="str">
        <f t="shared" si="24"/>
        <v/>
      </c>
      <c r="I539" s="53" t="str">
        <f t="shared" si="25"/>
        <v/>
      </c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26"/>
        <v>528</v>
      </c>
      <c r="E540" s="10" t="str">
        <f t="shared" si="24"/>
        <v/>
      </c>
      <c r="I540" s="53" t="str">
        <f t="shared" si="25"/>
        <v/>
      </c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26"/>
        <v>529</v>
      </c>
      <c r="E541" s="10" t="str">
        <f t="shared" si="24"/>
        <v/>
      </c>
      <c r="I541" s="53" t="str">
        <f t="shared" si="25"/>
        <v/>
      </c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26"/>
        <v>530</v>
      </c>
      <c r="E542" s="10" t="str">
        <f t="shared" si="24"/>
        <v/>
      </c>
      <c r="I542" s="53" t="str">
        <f t="shared" si="25"/>
        <v/>
      </c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26"/>
        <v>531</v>
      </c>
      <c r="E543" s="10" t="str">
        <f t="shared" si="24"/>
        <v/>
      </c>
      <c r="I543" s="53" t="str">
        <f t="shared" si="25"/>
        <v/>
      </c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26"/>
        <v>532</v>
      </c>
      <c r="E544" s="10" t="str">
        <f t="shared" si="24"/>
        <v/>
      </c>
      <c r="I544" s="53" t="str">
        <f t="shared" si="25"/>
        <v/>
      </c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26"/>
        <v>533</v>
      </c>
      <c r="E545" s="10" t="str">
        <f t="shared" si="24"/>
        <v/>
      </c>
      <c r="I545" s="53" t="str">
        <f t="shared" si="25"/>
        <v/>
      </c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26"/>
        <v>534</v>
      </c>
      <c r="E546" s="10" t="str">
        <f t="shared" si="24"/>
        <v/>
      </c>
      <c r="I546" s="53" t="str">
        <f t="shared" si="25"/>
        <v/>
      </c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26"/>
        <v>535</v>
      </c>
      <c r="E547" s="10" t="str">
        <f t="shared" si="24"/>
        <v/>
      </c>
      <c r="I547" s="53" t="str">
        <f t="shared" si="25"/>
        <v/>
      </c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26"/>
        <v>536</v>
      </c>
      <c r="E548" s="10" t="str">
        <f t="shared" si="24"/>
        <v/>
      </c>
      <c r="I548" s="53" t="str">
        <f t="shared" si="25"/>
        <v/>
      </c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26"/>
        <v>537</v>
      </c>
      <c r="E549" s="10" t="str">
        <f t="shared" si="24"/>
        <v/>
      </c>
      <c r="I549" s="53" t="str">
        <f t="shared" si="25"/>
        <v/>
      </c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26"/>
        <v>538</v>
      </c>
      <c r="E550" s="10" t="str">
        <f t="shared" si="24"/>
        <v/>
      </c>
      <c r="I550" s="53" t="str">
        <f t="shared" si="25"/>
        <v/>
      </c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26"/>
        <v>539</v>
      </c>
      <c r="E551" s="10" t="str">
        <f t="shared" si="24"/>
        <v/>
      </c>
      <c r="I551" s="53" t="str">
        <f t="shared" si="25"/>
        <v/>
      </c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26"/>
        <v>540</v>
      </c>
      <c r="E552" s="10" t="str">
        <f t="shared" si="24"/>
        <v/>
      </c>
      <c r="I552" s="53" t="str">
        <f t="shared" si="25"/>
        <v/>
      </c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26"/>
        <v>541</v>
      </c>
      <c r="E553" s="10" t="str">
        <f t="shared" si="24"/>
        <v/>
      </c>
      <c r="I553" s="53" t="str">
        <f t="shared" si="25"/>
        <v/>
      </c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26"/>
        <v>542</v>
      </c>
      <c r="E554" s="10" t="str">
        <f t="shared" si="24"/>
        <v/>
      </c>
      <c r="I554" s="53" t="str">
        <f t="shared" si="25"/>
        <v/>
      </c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26"/>
        <v>543</v>
      </c>
      <c r="E555" s="10" t="str">
        <f t="shared" si="24"/>
        <v/>
      </c>
      <c r="I555" s="53" t="str">
        <f t="shared" si="25"/>
        <v/>
      </c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26"/>
        <v>544</v>
      </c>
      <c r="E556" s="10" t="str">
        <f t="shared" si="24"/>
        <v/>
      </c>
      <c r="I556" s="53" t="str">
        <f t="shared" si="25"/>
        <v/>
      </c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26"/>
        <v>545</v>
      </c>
      <c r="E557" s="10" t="str">
        <f t="shared" si="24"/>
        <v/>
      </c>
      <c r="I557" s="53" t="str">
        <f t="shared" si="25"/>
        <v/>
      </c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26"/>
        <v>546</v>
      </c>
      <c r="E558" s="10" t="str">
        <f t="shared" si="24"/>
        <v/>
      </c>
      <c r="I558" s="53" t="str">
        <f t="shared" si="25"/>
        <v/>
      </c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26"/>
        <v>547</v>
      </c>
      <c r="E559" s="10" t="str">
        <f t="shared" si="24"/>
        <v/>
      </c>
      <c r="I559" s="53" t="str">
        <f t="shared" si="25"/>
        <v/>
      </c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26"/>
        <v>548</v>
      </c>
      <c r="E560" s="10" t="str">
        <f t="shared" si="24"/>
        <v/>
      </c>
      <c r="I560" s="53" t="str">
        <f t="shared" si="25"/>
        <v/>
      </c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26"/>
        <v>549</v>
      </c>
      <c r="E561" s="10" t="str">
        <f t="shared" si="24"/>
        <v/>
      </c>
      <c r="I561" s="53" t="str">
        <f t="shared" si="25"/>
        <v/>
      </c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26"/>
        <v>550</v>
      </c>
      <c r="E562" s="10" t="str">
        <f t="shared" si="24"/>
        <v/>
      </c>
      <c r="I562" s="53" t="str">
        <f t="shared" si="25"/>
        <v/>
      </c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26"/>
        <v>551</v>
      </c>
      <c r="E563" s="10" t="str">
        <f t="shared" si="24"/>
        <v/>
      </c>
      <c r="I563" s="53" t="str">
        <f t="shared" si="25"/>
        <v/>
      </c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26"/>
        <v>552</v>
      </c>
      <c r="E564" s="10" t="str">
        <f t="shared" si="24"/>
        <v/>
      </c>
      <c r="I564" s="53" t="str">
        <f t="shared" si="25"/>
        <v/>
      </c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26"/>
        <v>553</v>
      </c>
      <c r="E565" s="10" t="str">
        <f t="shared" si="24"/>
        <v/>
      </c>
      <c r="I565" s="53" t="str">
        <f t="shared" si="25"/>
        <v/>
      </c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26"/>
        <v>554</v>
      </c>
      <c r="E566" s="10" t="str">
        <f t="shared" si="24"/>
        <v/>
      </c>
      <c r="I566" s="53" t="str">
        <f t="shared" si="25"/>
        <v/>
      </c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26"/>
        <v>555</v>
      </c>
      <c r="E567" s="10" t="str">
        <f t="shared" si="24"/>
        <v/>
      </c>
      <c r="I567" s="53" t="str">
        <f t="shared" si="25"/>
        <v/>
      </c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26"/>
        <v>556</v>
      </c>
      <c r="E568" s="10" t="str">
        <f t="shared" si="24"/>
        <v/>
      </c>
      <c r="I568" s="53" t="str">
        <f t="shared" si="25"/>
        <v/>
      </c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26"/>
        <v>557</v>
      </c>
      <c r="E569" s="10" t="str">
        <f t="shared" si="24"/>
        <v/>
      </c>
      <c r="I569" s="53" t="str">
        <f t="shared" si="25"/>
        <v/>
      </c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26"/>
        <v>558</v>
      </c>
      <c r="E570" s="10" t="str">
        <f t="shared" si="24"/>
        <v/>
      </c>
      <c r="I570" s="53" t="str">
        <f t="shared" si="25"/>
        <v/>
      </c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26"/>
        <v>559</v>
      </c>
      <c r="E571" s="10" t="str">
        <f t="shared" si="24"/>
        <v/>
      </c>
      <c r="I571" s="53" t="str">
        <f t="shared" si="25"/>
        <v/>
      </c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26"/>
        <v>560</v>
      </c>
      <c r="E572" s="10" t="str">
        <f t="shared" si="24"/>
        <v/>
      </c>
      <c r="I572" s="53" t="str">
        <f t="shared" si="25"/>
        <v/>
      </c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26"/>
        <v>561</v>
      </c>
      <c r="E573" s="10" t="str">
        <f t="shared" si="24"/>
        <v/>
      </c>
      <c r="I573" s="53" t="str">
        <f t="shared" si="25"/>
        <v/>
      </c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26"/>
        <v>562</v>
      </c>
      <c r="E574" s="10" t="str">
        <f t="shared" si="24"/>
        <v/>
      </c>
      <c r="I574" s="53" t="str">
        <f t="shared" si="25"/>
        <v/>
      </c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26"/>
        <v>563</v>
      </c>
      <c r="E575" s="10" t="str">
        <f t="shared" si="24"/>
        <v/>
      </c>
      <c r="I575" s="53" t="str">
        <f t="shared" si="25"/>
        <v/>
      </c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26"/>
        <v>564</v>
      </c>
      <c r="E576" s="10" t="str">
        <f t="shared" si="24"/>
        <v/>
      </c>
      <c r="I576" s="53" t="str">
        <f t="shared" si="25"/>
        <v/>
      </c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26"/>
        <v>565</v>
      </c>
      <c r="E577" s="10" t="str">
        <f t="shared" si="24"/>
        <v/>
      </c>
      <c r="I577" s="53" t="str">
        <f t="shared" si="25"/>
        <v/>
      </c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26"/>
        <v>566</v>
      </c>
      <c r="E578" s="10" t="str">
        <f t="shared" si="24"/>
        <v/>
      </c>
      <c r="I578" s="53" t="str">
        <f t="shared" si="25"/>
        <v/>
      </c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26"/>
        <v>567</v>
      </c>
      <c r="E579" s="10" t="str">
        <f t="shared" si="24"/>
        <v/>
      </c>
      <c r="I579" s="53" t="str">
        <f t="shared" si="25"/>
        <v/>
      </c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26"/>
        <v>568</v>
      </c>
      <c r="E580" s="10" t="str">
        <f t="shared" si="24"/>
        <v/>
      </c>
      <c r="I580" s="53" t="str">
        <f t="shared" si="25"/>
        <v/>
      </c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26"/>
        <v>569</v>
      </c>
      <c r="E581" s="10" t="str">
        <f t="shared" si="24"/>
        <v/>
      </c>
      <c r="I581" s="53" t="str">
        <f t="shared" si="25"/>
        <v/>
      </c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26"/>
        <v>570</v>
      </c>
      <c r="E582" s="10" t="str">
        <f t="shared" si="24"/>
        <v/>
      </c>
      <c r="I582" s="53" t="str">
        <f t="shared" si="25"/>
        <v/>
      </c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26"/>
        <v>571</v>
      </c>
      <c r="E583" s="10" t="str">
        <f t="shared" si="24"/>
        <v/>
      </c>
      <c r="I583" s="53" t="str">
        <f t="shared" si="25"/>
        <v/>
      </c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26"/>
        <v>572</v>
      </c>
      <c r="E584" s="10" t="str">
        <f t="shared" si="24"/>
        <v/>
      </c>
      <c r="I584" s="53" t="str">
        <f t="shared" si="25"/>
        <v/>
      </c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26"/>
        <v>573</v>
      </c>
      <c r="E585" s="10" t="str">
        <f t="shared" si="24"/>
        <v/>
      </c>
      <c r="I585" s="53" t="str">
        <f t="shared" si="25"/>
        <v/>
      </c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26"/>
        <v>574</v>
      </c>
      <c r="E586" s="10" t="str">
        <f t="shared" si="24"/>
        <v/>
      </c>
      <c r="I586" s="53" t="str">
        <f t="shared" si="25"/>
        <v/>
      </c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26"/>
        <v>575</v>
      </c>
      <c r="E587" s="10" t="str">
        <f t="shared" si="24"/>
        <v/>
      </c>
      <c r="I587" s="53" t="str">
        <f t="shared" si="25"/>
        <v/>
      </c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26"/>
        <v>576</v>
      </c>
      <c r="E588" s="10" t="str">
        <f t="shared" si="24"/>
        <v/>
      </c>
      <c r="I588" s="53" t="str">
        <f t="shared" si="25"/>
        <v/>
      </c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26"/>
        <v>577</v>
      </c>
      <c r="E589" s="10" t="str">
        <f t="shared" ref="E589:E652" si="27">IF($C$8&gt;=A589,$E$1&amp;" "&amp;A589,"")</f>
        <v/>
      </c>
      <c r="I589" s="53" t="str">
        <f t="shared" si="25"/>
        <v/>
      </c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26"/>
        <v>578</v>
      </c>
      <c r="E590" s="10" t="str">
        <f t="shared" si="27"/>
        <v/>
      </c>
      <c r="I590" s="53" t="str">
        <f t="shared" ref="I590:I653" si="28">IF(E590="","",F590-G590-H590)</f>
        <v/>
      </c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9">A590+1</f>
        <v>579</v>
      </c>
      <c r="E591" s="10" t="str">
        <f t="shared" si="27"/>
        <v/>
      </c>
      <c r="I591" s="53" t="str">
        <f t="shared" si="28"/>
        <v/>
      </c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9"/>
        <v>580</v>
      </c>
      <c r="E592" s="10" t="str">
        <f t="shared" si="27"/>
        <v/>
      </c>
      <c r="I592" s="53" t="str">
        <f t="shared" si="28"/>
        <v/>
      </c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9"/>
        <v>581</v>
      </c>
      <c r="E593" s="10" t="str">
        <f t="shared" si="27"/>
        <v/>
      </c>
      <c r="I593" s="53" t="str">
        <f t="shared" si="28"/>
        <v/>
      </c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9"/>
        <v>582</v>
      </c>
      <c r="E594" s="10" t="str">
        <f t="shared" si="27"/>
        <v/>
      </c>
      <c r="I594" s="53" t="str">
        <f t="shared" si="28"/>
        <v/>
      </c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9"/>
        <v>583</v>
      </c>
      <c r="E595" s="10" t="str">
        <f t="shared" si="27"/>
        <v/>
      </c>
      <c r="I595" s="53" t="str">
        <f t="shared" si="28"/>
        <v/>
      </c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9"/>
        <v>584</v>
      </c>
      <c r="E596" s="10" t="str">
        <f t="shared" si="27"/>
        <v/>
      </c>
      <c r="I596" s="53" t="str">
        <f t="shared" si="28"/>
        <v/>
      </c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9"/>
        <v>585</v>
      </c>
      <c r="E597" s="10" t="str">
        <f t="shared" si="27"/>
        <v/>
      </c>
      <c r="I597" s="53" t="str">
        <f t="shared" si="28"/>
        <v/>
      </c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9"/>
        <v>586</v>
      </c>
      <c r="E598" s="10" t="str">
        <f t="shared" si="27"/>
        <v/>
      </c>
      <c r="I598" s="53" t="str">
        <f t="shared" si="28"/>
        <v/>
      </c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9"/>
        <v>587</v>
      </c>
      <c r="E599" s="10" t="str">
        <f t="shared" si="27"/>
        <v/>
      </c>
      <c r="I599" s="53" t="str">
        <f t="shared" si="28"/>
        <v/>
      </c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9"/>
        <v>588</v>
      </c>
      <c r="E600" s="10" t="str">
        <f t="shared" si="27"/>
        <v/>
      </c>
      <c r="I600" s="53" t="str">
        <f t="shared" si="28"/>
        <v/>
      </c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9"/>
        <v>589</v>
      </c>
      <c r="E601" s="10" t="str">
        <f t="shared" si="27"/>
        <v/>
      </c>
      <c r="I601" s="53" t="str">
        <f t="shared" si="28"/>
        <v/>
      </c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9"/>
        <v>590</v>
      </c>
      <c r="E602" s="10" t="str">
        <f t="shared" si="27"/>
        <v/>
      </c>
      <c r="I602" s="53" t="str">
        <f t="shared" si="28"/>
        <v/>
      </c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9"/>
        <v>591</v>
      </c>
      <c r="E603" s="10" t="str">
        <f t="shared" si="27"/>
        <v/>
      </c>
      <c r="I603" s="53" t="str">
        <f t="shared" si="28"/>
        <v/>
      </c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9"/>
        <v>592</v>
      </c>
      <c r="E604" s="10" t="str">
        <f t="shared" si="27"/>
        <v/>
      </c>
      <c r="I604" s="53" t="str">
        <f t="shared" si="28"/>
        <v/>
      </c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9"/>
        <v>593</v>
      </c>
      <c r="E605" s="10" t="str">
        <f t="shared" si="27"/>
        <v/>
      </c>
      <c r="I605" s="53" t="str">
        <f t="shared" si="28"/>
        <v/>
      </c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9"/>
        <v>594</v>
      </c>
      <c r="E606" s="10" t="str">
        <f t="shared" si="27"/>
        <v/>
      </c>
      <c r="I606" s="53" t="str">
        <f t="shared" si="28"/>
        <v/>
      </c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9"/>
        <v>595</v>
      </c>
      <c r="E607" s="10" t="str">
        <f t="shared" si="27"/>
        <v/>
      </c>
      <c r="I607" s="53" t="str">
        <f t="shared" si="28"/>
        <v/>
      </c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9"/>
        <v>596</v>
      </c>
      <c r="E608" s="10" t="str">
        <f t="shared" si="27"/>
        <v/>
      </c>
      <c r="I608" s="53" t="str">
        <f t="shared" si="28"/>
        <v/>
      </c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9"/>
        <v>597</v>
      </c>
      <c r="E609" s="10" t="str">
        <f t="shared" si="27"/>
        <v/>
      </c>
      <c r="I609" s="53" t="str">
        <f t="shared" si="28"/>
        <v/>
      </c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9"/>
        <v>598</v>
      </c>
      <c r="E610" s="10" t="str">
        <f t="shared" si="27"/>
        <v/>
      </c>
      <c r="I610" s="53" t="str">
        <f t="shared" si="28"/>
        <v/>
      </c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9"/>
        <v>599</v>
      </c>
      <c r="E611" s="10" t="str">
        <f t="shared" si="27"/>
        <v/>
      </c>
      <c r="I611" s="53" t="str">
        <f t="shared" si="28"/>
        <v/>
      </c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9"/>
        <v>600</v>
      </c>
      <c r="E612" s="10" t="str">
        <f t="shared" si="27"/>
        <v/>
      </c>
      <c r="I612" s="53" t="str">
        <f t="shared" si="28"/>
        <v/>
      </c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9"/>
        <v>601</v>
      </c>
      <c r="E613" s="10" t="str">
        <f t="shared" si="27"/>
        <v/>
      </c>
      <c r="I613" s="53" t="str">
        <f t="shared" si="28"/>
        <v/>
      </c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9"/>
        <v>602</v>
      </c>
      <c r="E614" s="10" t="str">
        <f t="shared" si="27"/>
        <v/>
      </c>
      <c r="I614" s="53" t="str">
        <f t="shared" si="28"/>
        <v/>
      </c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9"/>
        <v>603</v>
      </c>
      <c r="E615" s="10" t="str">
        <f t="shared" si="27"/>
        <v/>
      </c>
      <c r="I615" s="53" t="str">
        <f t="shared" si="28"/>
        <v/>
      </c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9"/>
        <v>604</v>
      </c>
      <c r="E616" s="10" t="str">
        <f t="shared" si="27"/>
        <v/>
      </c>
      <c r="I616" s="53" t="str">
        <f t="shared" si="28"/>
        <v/>
      </c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9"/>
        <v>605</v>
      </c>
      <c r="E617" s="10" t="str">
        <f t="shared" si="27"/>
        <v/>
      </c>
      <c r="I617" s="53" t="str">
        <f t="shared" si="28"/>
        <v/>
      </c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9"/>
        <v>606</v>
      </c>
      <c r="E618" s="10" t="str">
        <f t="shared" si="27"/>
        <v/>
      </c>
      <c r="I618" s="53" t="str">
        <f t="shared" si="28"/>
        <v/>
      </c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9"/>
        <v>607</v>
      </c>
      <c r="E619" s="10" t="str">
        <f t="shared" si="27"/>
        <v/>
      </c>
      <c r="I619" s="53" t="str">
        <f t="shared" si="28"/>
        <v/>
      </c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9"/>
        <v>608</v>
      </c>
      <c r="E620" s="10" t="str">
        <f t="shared" si="27"/>
        <v/>
      </c>
      <c r="I620" s="53" t="str">
        <f t="shared" si="28"/>
        <v/>
      </c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9"/>
        <v>609</v>
      </c>
      <c r="E621" s="10" t="str">
        <f t="shared" si="27"/>
        <v/>
      </c>
      <c r="I621" s="53" t="str">
        <f t="shared" si="28"/>
        <v/>
      </c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9"/>
        <v>610</v>
      </c>
      <c r="E622" s="10" t="str">
        <f t="shared" si="27"/>
        <v/>
      </c>
      <c r="I622" s="53" t="str">
        <f t="shared" si="28"/>
        <v/>
      </c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9"/>
        <v>611</v>
      </c>
      <c r="E623" s="10" t="str">
        <f t="shared" si="27"/>
        <v/>
      </c>
      <c r="I623" s="53" t="str">
        <f t="shared" si="28"/>
        <v/>
      </c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9"/>
        <v>612</v>
      </c>
      <c r="E624" s="10" t="str">
        <f t="shared" si="27"/>
        <v/>
      </c>
      <c r="I624" s="53" t="str">
        <f t="shared" si="28"/>
        <v/>
      </c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9"/>
        <v>613</v>
      </c>
      <c r="E625" s="10" t="str">
        <f t="shared" si="27"/>
        <v/>
      </c>
      <c r="I625" s="53" t="str">
        <f t="shared" si="28"/>
        <v/>
      </c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9"/>
        <v>614</v>
      </c>
      <c r="E626" s="10" t="str">
        <f t="shared" si="27"/>
        <v/>
      </c>
      <c r="I626" s="53" t="str">
        <f t="shared" si="28"/>
        <v/>
      </c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9"/>
        <v>615</v>
      </c>
      <c r="E627" s="10" t="str">
        <f t="shared" si="27"/>
        <v/>
      </c>
      <c r="I627" s="53" t="str">
        <f t="shared" si="28"/>
        <v/>
      </c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9"/>
        <v>616</v>
      </c>
      <c r="E628" s="10" t="str">
        <f t="shared" si="27"/>
        <v/>
      </c>
      <c r="I628" s="53" t="str">
        <f t="shared" si="28"/>
        <v/>
      </c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9"/>
        <v>617</v>
      </c>
      <c r="E629" s="10" t="str">
        <f t="shared" si="27"/>
        <v/>
      </c>
      <c r="I629" s="53" t="str">
        <f t="shared" si="28"/>
        <v/>
      </c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9"/>
        <v>618</v>
      </c>
      <c r="E630" s="10" t="str">
        <f t="shared" si="27"/>
        <v/>
      </c>
      <c r="I630" s="53" t="str">
        <f t="shared" si="28"/>
        <v/>
      </c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9"/>
        <v>619</v>
      </c>
      <c r="E631" s="10" t="str">
        <f t="shared" si="27"/>
        <v/>
      </c>
      <c r="I631" s="53" t="str">
        <f t="shared" si="28"/>
        <v/>
      </c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9"/>
        <v>620</v>
      </c>
      <c r="E632" s="10" t="str">
        <f t="shared" si="27"/>
        <v/>
      </c>
      <c r="I632" s="53" t="str">
        <f t="shared" si="28"/>
        <v/>
      </c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9"/>
        <v>621</v>
      </c>
      <c r="E633" s="10" t="str">
        <f t="shared" si="27"/>
        <v/>
      </c>
      <c r="I633" s="53" t="str">
        <f t="shared" si="28"/>
        <v/>
      </c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9"/>
        <v>622</v>
      </c>
      <c r="E634" s="10" t="str">
        <f t="shared" si="27"/>
        <v/>
      </c>
      <c r="I634" s="53" t="str">
        <f t="shared" si="28"/>
        <v/>
      </c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9"/>
        <v>623</v>
      </c>
      <c r="E635" s="10" t="str">
        <f t="shared" si="27"/>
        <v/>
      </c>
      <c r="I635" s="53" t="str">
        <f t="shared" si="28"/>
        <v/>
      </c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9"/>
        <v>624</v>
      </c>
      <c r="E636" s="10" t="str">
        <f t="shared" si="27"/>
        <v/>
      </c>
      <c r="I636" s="53" t="str">
        <f t="shared" si="28"/>
        <v/>
      </c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9"/>
        <v>625</v>
      </c>
      <c r="E637" s="10" t="str">
        <f t="shared" si="27"/>
        <v/>
      </c>
      <c r="I637" s="53" t="str">
        <f t="shared" si="28"/>
        <v/>
      </c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9"/>
        <v>626</v>
      </c>
      <c r="E638" s="10" t="str">
        <f t="shared" si="27"/>
        <v/>
      </c>
      <c r="I638" s="53" t="str">
        <f t="shared" si="28"/>
        <v/>
      </c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9"/>
        <v>627</v>
      </c>
      <c r="E639" s="10" t="str">
        <f t="shared" si="27"/>
        <v/>
      </c>
      <c r="I639" s="53" t="str">
        <f t="shared" si="28"/>
        <v/>
      </c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9"/>
        <v>628</v>
      </c>
      <c r="E640" s="10" t="str">
        <f t="shared" si="27"/>
        <v/>
      </c>
      <c r="I640" s="53" t="str">
        <f t="shared" si="28"/>
        <v/>
      </c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9"/>
        <v>629</v>
      </c>
      <c r="E641" s="10" t="str">
        <f t="shared" si="27"/>
        <v/>
      </c>
      <c r="I641" s="53" t="str">
        <f t="shared" si="28"/>
        <v/>
      </c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9"/>
        <v>630</v>
      </c>
      <c r="E642" s="10" t="str">
        <f t="shared" si="27"/>
        <v/>
      </c>
      <c r="I642" s="53" t="str">
        <f t="shared" si="28"/>
        <v/>
      </c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9"/>
        <v>631</v>
      </c>
      <c r="E643" s="10" t="str">
        <f t="shared" si="27"/>
        <v/>
      </c>
      <c r="I643" s="53" t="str">
        <f t="shared" si="28"/>
        <v/>
      </c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9"/>
        <v>632</v>
      </c>
      <c r="E644" s="10" t="str">
        <f t="shared" si="27"/>
        <v/>
      </c>
      <c r="I644" s="53" t="str">
        <f t="shared" si="28"/>
        <v/>
      </c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9"/>
        <v>633</v>
      </c>
      <c r="E645" s="10" t="str">
        <f t="shared" si="27"/>
        <v/>
      </c>
      <c r="I645" s="53" t="str">
        <f t="shared" si="28"/>
        <v/>
      </c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9"/>
        <v>634</v>
      </c>
      <c r="E646" s="10" t="str">
        <f t="shared" si="27"/>
        <v/>
      </c>
      <c r="I646" s="53" t="str">
        <f t="shared" si="28"/>
        <v/>
      </c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9"/>
        <v>635</v>
      </c>
      <c r="E647" s="10" t="str">
        <f t="shared" si="27"/>
        <v/>
      </c>
      <c r="I647" s="53" t="str">
        <f t="shared" si="28"/>
        <v/>
      </c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9"/>
        <v>636</v>
      </c>
      <c r="E648" s="10" t="str">
        <f t="shared" si="27"/>
        <v/>
      </c>
      <c r="I648" s="53" t="str">
        <f t="shared" si="28"/>
        <v/>
      </c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9"/>
        <v>637</v>
      </c>
      <c r="E649" s="10" t="str">
        <f t="shared" si="27"/>
        <v/>
      </c>
      <c r="I649" s="53" t="str">
        <f t="shared" si="28"/>
        <v/>
      </c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9"/>
        <v>638</v>
      </c>
      <c r="E650" s="10" t="str">
        <f t="shared" si="27"/>
        <v/>
      </c>
      <c r="I650" s="53" t="str">
        <f t="shared" si="28"/>
        <v/>
      </c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9"/>
        <v>639</v>
      </c>
      <c r="E651" s="10" t="str">
        <f t="shared" si="27"/>
        <v/>
      </c>
      <c r="I651" s="53" t="str">
        <f t="shared" si="28"/>
        <v/>
      </c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9"/>
        <v>640</v>
      </c>
      <c r="E652" s="10" t="str">
        <f t="shared" si="27"/>
        <v/>
      </c>
      <c r="I652" s="53" t="str">
        <f t="shared" si="28"/>
        <v/>
      </c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9"/>
        <v>641</v>
      </c>
      <c r="E653" s="10" t="str">
        <f t="shared" ref="E653:E716" si="30">IF($C$8&gt;=A653,$E$1&amp;" "&amp;A653,"")</f>
        <v/>
      </c>
      <c r="I653" s="53" t="str">
        <f t="shared" si="28"/>
        <v/>
      </c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9"/>
        <v>642</v>
      </c>
      <c r="E654" s="10" t="str">
        <f t="shared" si="30"/>
        <v/>
      </c>
      <c r="I654" s="53" t="str">
        <f t="shared" ref="I654:I717" si="31">IF(E654="","",F654-G654-H654)</f>
        <v/>
      </c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32">A654+1</f>
        <v>643</v>
      </c>
      <c r="E655" s="10" t="str">
        <f t="shared" si="30"/>
        <v/>
      </c>
      <c r="I655" s="53" t="str">
        <f t="shared" si="31"/>
        <v/>
      </c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32"/>
        <v>644</v>
      </c>
      <c r="E656" s="10" t="str">
        <f t="shared" si="30"/>
        <v/>
      </c>
      <c r="I656" s="53" t="str">
        <f t="shared" si="31"/>
        <v/>
      </c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32"/>
        <v>645</v>
      </c>
      <c r="E657" s="10" t="str">
        <f t="shared" si="30"/>
        <v/>
      </c>
      <c r="I657" s="53" t="str">
        <f t="shared" si="31"/>
        <v/>
      </c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32"/>
        <v>646</v>
      </c>
      <c r="E658" s="10" t="str">
        <f t="shared" si="30"/>
        <v/>
      </c>
      <c r="I658" s="53" t="str">
        <f t="shared" si="31"/>
        <v/>
      </c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32"/>
        <v>647</v>
      </c>
      <c r="E659" s="10" t="str">
        <f t="shared" si="30"/>
        <v/>
      </c>
      <c r="I659" s="53" t="str">
        <f t="shared" si="31"/>
        <v/>
      </c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32"/>
        <v>648</v>
      </c>
      <c r="E660" s="10" t="str">
        <f t="shared" si="30"/>
        <v/>
      </c>
      <c r="I660" s="53" t="str">
        <f t="shared" si="31"/>
        <v/>
      </c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32"/>
        <v>649</v>
      </c>
      <c r="E661" s="10" t="str">
        <f t="shared" si="30"/>
        <v/>
      </c>
      <c r="I661" s="53" t="str">
        <f t="shared" si="31"/>
        <v/>
      </c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32"/>
        <v>650</v>
      </c>
      <c r="E662" s="10" t="str">
        <f t="shared" si="30"/>
        <v/>
      </c>
      <c r="I662" s="53" t="str">
        <f t="shared" si="31"/>
        <v/>
      </c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32"/>
        <v>651</v>
      </c>
      <c r="E663" s="10" t="str">
        <f t="shared" si="30"/>
        <v/>
      </c>
      <c r="I663" s="53" t="str">
        <f t="shared" si="31"/>
        <v/>
      </c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32"/>
        <v>652</v>
      </c>
      <c r="E664" s="10" t="str">
        <f t="shared" si="30"/>
        <v/>
      </c>
      <c r="I664" s="53" t="str">
        <f t="shared" si="31"/>
        <v/>
      </c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32"/>
        <v>653</v>
      </c>
      <c r="E665" s="10" t="str">
        <f t="shared" si="30"/>
        <v/>
      </c>
      <c r="I665" s="53" t="str">
        <f t="shared" si="31"/>
        <v/>
      </c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32"/>
        <v>654</v>
      </c>
      <c r="E666" s="10" t="str">
        <f t="shared" si="30"/>
        <v/>
      </c>
      <c r="I666" s="53" t="str">
        <f t="shared" si="31"/>
        <v/>
      </c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32"/>
        <v>655</v>
      </c>
      <c r="E667" s="10" t="str">
        <f t="shared" si="30"/>
        <v/>
      </c>
      <c r="I667" s="53" t="str">
        <f t="shared" si="31"/>
        <v/>
      </c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32"/>
        <v>656</v>
      </c>
      <c r="E668" s="10" t="str">
        <f t="shared" si="30"/>
        <v/>
      </c>
      <c r="I668" s="53" t="str">
        <f t="shared" si="31"/>
        <v/>
      </c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32"/>
        <v>657</v>
      </c>
      <c r="E669" s="10" t="str">
        <f t="shared" si="30"/>
        <v/>
      </c>
      <c r="I669" s="53" t="str">
        <f t="shared" si="31"/>
        <v/>
      </c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32"/>
        <v>658</v>
      </c>
      <c r="E670" s="10" t="str">
        <f t="shared" si="30"/>
        <v/>
      </c>
      <c r="I670" s="53" t="str">
        <f t="shared" si="31"/>
        <v/>
      </c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32"/>
        <v>659</v>
      </c>
      <c r="E671" s="10" t="str">
        <f t="shared" si="30"/>
        <v/>
      </c>
      <c r="I671" s="53" t="str">
        <f t="shared" si="31"/>
        <v/>
      </c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32"/>
        <v>660</v>
      </c>
      <c r="E672" s="10" t="str">
        <f t="shared" si="30"/>
        <v/>
      </c>
      <c r="I672" s="53" t="str">
        <f t="shared" si="31"/>
        <v/>
      </c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32"/>
        <v>661</v>
      </c>
      <c r="E673" s="10" t="str">
        <f t="shared" si="30"/>
        <v/>
      </c>
      <c r="I673" s="53" t="str">
        <f t="shared" si="31"/>
        <v/>
      </c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32"/>
        <v>662</v>
      </c>
      <c r="E674" s="10" t="str">
        <f t="shared" si="30"/>
        <v/>
      </c>
      <c r="I674" s="53" t="str">
        <f t="shared" si="31"/>
        <v/>
      </c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32"/>
        <v>663</v>
      </c>
      <c r="E675" s="10" t="str">
        <f t="shared" si="30"/>
        <v/>
      </c>
      <c r="I675" s="53" t="str">
        <f t="shared" si="31"/>
        <v/>
      </c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32"/>
        <v>664</v>
      </c>
      <c r="E676" s="10" t="str">
        <f t="shared" si="30"/>
        <v/>
      </c>
      <c r="I676" s="53" t="str">
        <f t="shared" si="31"/>
        <v/>
      </c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32"/>
        <v>665</v>
      </c>
      <c r="E677" s="10" t="str">
        <f t="shared" si="30"/>
        <v/>
      </c>
      <c r="I677" s="53" t="str">
        <f t="shared" si="31"/>
        <v/>
      </c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32"/>
        <v>666</v>
      </c>
      <c r="E678" s="10" t="str">
        <f t="shared" si="30"/>
        <v/>
      </c>
      <c r="I678" s="53" t="str">
        <f t="shared" si="31"/>
        <v/>
      </c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32"/>
        <v>667</v>
      </c>
      <c r="E679" s="10" t="str">
        <f t="shared" si="30"/>
        <v/>
      </c>
      <c r="I679" s="53" t="str">
        <f t="shared" si="31"/>
        <v/>
      </c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32"/>
        <v>668</v>
      </c>
      <c r="E680" s="10" t="str">
        <f t="shared" si="30"/>
        <v/>
      </c>
      <c r="I680" s="53" t="str">
        <f t="shared" si="31"/>
        <v/>
      </c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32"/>
        <v>669</v>
      </c>
      <c r="E681" s="10" t="str">
        <f t="shared" si="30"/>
        <v/>
      </c>
      <c r="I681" s="53" t="str">
        <f t="shared" si="31"/>
        <v/>
      </c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32"/>
        <v>670</v>
      </c>
      <c r="E682" s="10" t="str">
        <f t="shared" si="30"/>
        <v/>
      </c>
      <c r="I682" s="53" t="str">
        <f t="shared" si="31"/>
        <v/>
      </c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32"/>
        <v>671</v>
      </c>
      <c r="E683" s="10" t="str">
        <f t="shared" si="30"/>
        <v/>
      </c>
      <c r="I683" s="53" t="str">
        <f t="shared" si="31"/>
        <v/>
      </c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32"/>
        <v>672</v>
      </c>
      <c r="E684" s="10" t="str">
        <f t="shared" si="30"/>
        <v/>
      </c>
      <c r="I684" s="53" t="str">
        <f t="shared" si="31"/>
        <v/>
      </c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32"/>
        <v>673</v>
      </c>
      <c r="E685" s="10" t="str">
        <f t="shared" si="30"/>
        <v/>
      </c>
      <c r="I685" s="53" t="str">
        <f t="shared" si="31"/>
        <v/>
      </c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32"/>
        <v>674</v>
      </c>
      <c r="E686" s="10" t="str">
        <f t="shared" si="30"/>
        <v/>
      </c>
      <c r="I686" s="53" t="str">
        <f t="shared" si="31"/>
        <v/>
      </c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32"/>
        <v>675</v>
      </c>
      <c r="E687" s="10" t="str">
        <f t="shared" si="30"/>
        <v/>
      </c>
      <c r="I687" s="53" t="str">
        <f t="shared" si="31"/>
        <v/>
      </c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32"/>
        <v>676</v>
      </c>
      <c r="E688" s="10" t="str">
        <f t="shared" si="30"/>
        <v/>
      </c>
      <c r="I688" s="53" t="str">
        <f t="shared" si="31"/>
        <v/>
      </c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32"/>
        <v>677</v>
      </c>
      <c r="E689" s="10" t="str">
        <f t="shared" si="30"/>
        <v/>
      </c>
      <c r="I689" s="53" t="str">
        <f t="shared" si="31"/>
        <v/>
      </c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32"/>
        <v>678</v>
      </c>
      <c r="E690" s="10" t="str">
        <f t="shared" si="30"/>
        <v/>
      </c>
      <c r="I690" s="53" t="str">
        <f t="shared" si="31"/>
        <v/>
      </c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32"/>
        <v>679</v>
      </c>
      <c r="E691" s="10" t="str">
        <f t="shared" si="30"/>
        <v/>
      </c>
      <c r="I691" s="53" t="str">
        <f t="shared" si="31"/>
        <v/>
      </c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32"/>
        <v>680</v>
      </c>
      <c r="E692" s="10" t="str">
        <f t="shared" si="30"/>
        <v/>
      </c>
      <c r="I692" s="53" t="str">
        <f t="shared" si="31"/>
        <v/>
      </c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32"/>
        <v>681</v>
      </c>
      <c r="E693" s="10" t="str">
        <f t="shared" si="30"/>
        <v/>
      </c>
      <c r="I693" s="53" t="str">
        <f t="shared" si="31"/>
        <v/>
      </c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32"/>
        <v>682</v>
      </c>
      <c r="E694" s="10" t="str">
        <f t="shared" si="30"/>
        <v/>
      </c>
      <c r="I694" s="53" t="str">
        <f t="shared" si="31"/>
        <v/>
      </c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32"/>
        <v>683</v>
      </c>
      <c r="E695" s="10" t="str">
        <f t="shared" si="30"/>
        <v/>
      </c>
      <c r="I695" s="53" t="str">
        <f t="shared" si="31"/>
        <v/>
      </c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32"/>
        <v>684</v>
      </c>
      <c r="E696" s="10" t="str">
        <f t="shared" si="30"/>
        <v/>
      </c>
      <c r="I696" s="53" t="str">
        <f t="shared" si="31"/>
        <v/>
      </c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32"/>
        <v>685</v>
      </c>
      <c r="E697" s="10" t="str">
        <f t="shared" si="30"/>
        <v/>
      </c>
      <c r="I697" s="53" t="str">
        <f t="shared" si="31"/>
        <v/>
      </c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32"/>
        <v>686</v>
      </c>
      <c r="E698" s="10" t="str">
        <f t="shared" si="30"/>
        <v/>
      </c>
      <c r="I698" s="53" t="str">
        <f t="shared" si="31"/>
        <v/>
      </c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32"/>
        <v>687</v>
      </c>
      <c r="E699" s="10" t="str">
        <f t="shared" si="30"/>
        <v/>
      </c>
      <c r="I699" s="53" t="str">
        <f t="shared" si="31"/>
        <v/>
      </c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32"/>
        <v>688</v>
      </c>
      <c r="E700" s="10" t="str">
        <f t="shared" si="30"/>
        <v/>
      </c>
      <c r="I700" s="53" t="str">
        <f t="shared" si="31"/>
        <v/>
      </c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32"/>
        <v>689</v>
      </c>
      <c r="E701" s="10" t="str">
        <f t="shared" si="30"/>
        <v/>
      </c>
      <c r="I701" s="53" t="str">
        <f t="shared" si="31"/>
        <v/>
      </c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32"/>
        <v>690</v>
      </c>
      <c r="E702" s="10" t="str">
        <f t="shared" si="30"/>
        <v/>
      </c>
      <c r="I702" s="53" t="str">
        <f t="shared" si="31"/>
        <v/>
      </c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32"/>
        <v>691</v>
      </c>
      <c r="E703" s="10" t="str">
        <f t="shared" si="30"/>
        <v/>
      </c>
      <c r="I703" s="53" t="str">
        <f t="shared" si="31"/>
        <v/>
      </c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32"/>
        <v>692</v>
      </c>
      <c r="E704" s="10" t="str">
        <f t="shared" si="30"/>
        <v/>
      </c>
      <c r="I704" s="53" t="str">
        <f t="shared" si="31"/>
        <v/>
      </c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32"/>
        <v>693</v>
      </c>
      <c r="E705" s="10" t="str">
        <f t="shared" si="30"/>
        <v/>
      </c>
      <c r="I705" s="53" t="str">
        <f t="shared" si="31"/>
        <v/>
      </c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32"/>
        <v>694</v>
      </c>
      <c r="E706" s="10" t="str">
        <f t="shared" si="30"/>
        <v/>
      </c>
      <c r="I706" s="53" t="str">
        <f t="shared" si="31"/>
        <v/>
      </c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32"/>
        <v>695</v>
      </c>
      <c r="E707" s="10" t="str">
        <f t="shared" si="30"/>
        <v/>
      </c>
      <c r="I707" s="53" t="str">
        <f t="shared" si="31"/>
        <v/>
      </c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32"/>
        <v>696</v>
      </c>
      <c r="E708" s="10" t="str">
        <f t="shared" si="30"/>
        <v/>
      </c>
      <c r="I708" s="53" t="str">
        <f t="shared" si="31"/>
        <v/>
      </c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32"/>
        <v>697</v>
      </c>
      <c r="E709" s="10" t="str">
        <f t="shared" si="30"/>
        <v/>
      </c>
      <c r="I709" s="53" t="str">
        <f t="shared" si="31"/>
        <v/>
      </c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32"/>
        <v>698</v>
      </c>
      <c r="E710" s="10" t="str">
        <f t="shared" si="30"/>
        <v/>
      </c>
      <c r="I710" s="53" t="str">
        <f t="shared" si="31"/>
        <v/>
      </c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32"/>
        <v>699</v>
      </c>
      <c r="E711" s="10" t="str">
        <f t="shared" si="30"/>
        <v/>
      </c>
      <c r="I711" s="53" t="str">
        <f t="shared" si="31"/>
        <v/>
      </c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32"/>
        <v>700</v>
      </c>
      <c r="E712" s="10" t="str">
        <f t="shared" si="30"/>
        <v/>
      </c>
      <c r="I712" s="53" t="str">
        <f t="shared" si="31"/>
        <v/>
      </c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32"/>
        <v>701</v>
      </c>
      <c r="E713" s="10" t="str">
        <f t="shared" si="30"/>
        <v/>
      </c>
      <c r="I713" s="53" t="str">
        <f t="shared" si="31"/>
        <v/>
      </c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32"/>
        <v>702</v>
      </c>
      <c r="E714" s="10" t="str">
        <f t="shared" si="30"/>
        <v/>
      </c>
      <c r="I714" s="53" t="str">
        <f t="shared" si="31"/>
        <v/>
      </c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32"/>
        <v>703</v>
      </c>
      <c r="E715" s="10" t="str">
        <f t="shared" si="30"/>
        <v/>
      </c>
      <c r="I715" s="53" t="str">
        <f t="shared" si="31"/>
        <v/>
      </c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32"/>
        <v>704</v>
      </c>
      <c r="E716" s="10" t="str">
        <f t="shared" si="30"/>
        <v/>
      </c>
      <c r="I716" s="53" t="str">
        <f t="shared" si="31"/>
        <v/>
      </c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32"/>
        <v>705</v>
      </c>
      <c r="E717" s="10" t="str">
        <f t="shared" ref="E717:E780" si="33">IF($C$8&gt;=A717,$E$1&amp;" "&amp;A717,"")</f>
        <v/>
      </c>
      <c r="I717" s="53" t="str">
        <f t="shared" si="31"/>
        <v/>
      </c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32"/>
        <v>706</v>
      </c>
      <c r="E718" s="10" t="str">
        <f t="shared" si="33"/>
        <v/>
      </c>
      <c r="I718" s="53" t="str">
        <f t="shared" ref="I718:I781" si="34">IF(E718="","",F718-G718-H718)</f>
        <v/>
      </c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35">A718+1</f>
        <v>707</v>
      </c>
      <c r="E719" s="10" t="str">
        <f t="shared" si="33"/>
        <v/>
      </c>
      <c r="I719" s="53" t="str">
        <f t="shared" si="34"/>
        <v/>
      </c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35"/>
        <v>708</v>
      </c>
      <c r="E720" s="10" t="str">
        <f t="shared" si="33"/>
        <v/>
      </c>
      <c r="I720" s="53" t="str">
        <f t="shared" si="34"/>
        <v/>
      </c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35"/>
        <v>709</v>
      </c>
      <c r="E721" s="10" t="str">
        <f t="shared" si="33"/>
        <v/>
      </c>
      <c r="I721" s="53" t="str">
        <f t="shared" si="34"/>
        <v/>
      </c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35"/>
        <v>710</v>
      </c>
      <c r="E722" s="10" t="str">
        <f t="shared" si="33"/>
        <v/>
      </c>
      <c r="I722" s="53" t="str">
        <f t="shared" si="34"/>
        <v/>
      </c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35"/>
        <v>711</v>
      </c>
      <c r="E723" s="10" t="str">
        <f t="shared" si="33"/>
        <v/>
      </c>
      <c r="I723" s="53" t="str">
        <f t="shared" si="34"/>
        <v/>
      </c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35"/>
        <v>712</v>
      </c>
      <c r="E724" s="10" t="str">
        <f t="shared" si="33"/>
        <v/>
      </c>
      <c r="I724" s="53" t="str">
        <f t="shared" si="34"/>
        <v/>
      </c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35"/>
        <v>713</v>
      </c>
      <c r="E725" s="10" t="str">
        <f t="shared" si="33"/>
        <v/>
      </c>
      <c r="I725" s="53" t="str">
        <f t="shared" si="34"/>
        <v/>
      </c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35"/>
        <v>714</v>
      </c>
      <c r="E726" s="10" t="str">
        <f t="shared" si="33"/>
        <v/>
      </c>
      <c r="I726" s="53" t="str">
        <f t="shared" si="34"/>
        <v/>
      </c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35"/>
        <v>715</v>
      </c>
      <c r="E727" s="10" t="str">
        <f t="shared" si="33"/>
        <v/>
      </c>
      <c r="I727" s="53" t="str">
        <f t="shared" si="34"/>
        <v/>
      </c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35"/>
        <v>716</v>
      </c>
      <c r="E728" s="10" t="str">
        <f t="shared" si="33"/>
        <v/>
      </c>
      <c r="I728" s="53" t="str">
        <f t="shared" si="34"/>
        <v/>
      </c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35"/>
        <v>717</v>
      </c>
      <c r="E729" s="10" t="str">
        <f t="shared" si="33"/>
        <v/>
      </c>
      <c r="I729" s="53" t="str">
        <f t="shared" si="34"/>
        <v/>
      </c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35"/>
        <v>718</v>
      </c>
      <c r="E730" s="10" t="str">
        <f t="shared" si="33"/>
        <v/>
      </c>
      <c r="I730" s="53" t="str">
        <f t="shared" si="34"/>
        <v/>
      </c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35"/>
        <v>719</v>
      </c>
      <c r="E731" s="10" t="str">
        <f t="shared" si="33"/>
        <v/>
      </c>
      <c r="I731" s="53" t="str">
        <f t="shared" si="34"/>
        <v/>
      </c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35"/>
        <v>720</v>
      </c>
      <c r="E732" s="10" t="str">
        <f t="shared" si="33"/>
        <v/>
      </c>
      <c r="I732" s="53" t="str">
        <f t="shared" si="34"/>
        <v/>
      </c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35"/>
        <v>721</v>
      </c>
      <c r="E733" s="10" t="str">
        <f t="shared" si="33"/>
        <v/>
      </c>
      <c r="I733" s="53" t="str">
        <f t="shared" si="34"/>
        <v/>
      </c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35"/>
        <v>722</v>
      </c>
      <c r="E734" s="10" t="str">
        <f t="shared" si="33"/>
        <v/>
      </c>
      <c r="I734" s="53" t="str">
        <f t="shared" si="34"/>
        <v/>
      </c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35"/>
        <v>723</v>
      </c>
      <c r="E735" s="10" t="str">
        <f t="shared" si="33"/>
        <v/>
      </c>
      <c r="I735" s="53" t="str">
        <f t="shared" si="34"/>
        <v/>
      </c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35"/>
        <v>724</v>
      </c>
      <c r="E736" s="10" t="str">
        <f t="shared" si="33"/>
        <v/>
      </c>
      <c r="I736" s="53" t="str">
        <f t="shared" si="34"/>
        <v/>
      </c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35"/>
        <v>725</v>
      </c>
      <c r="E737" s="10" t="str">
        <f t="shared" si="33"/>
        <v/>
      </c>
      <c r="I737" s="53" t="str">
        <f t="shared" si="34"/>
        <v/>
      </c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35"/>
        <v>726</v>
      </c>
      <c r="E738" s="10" t="str">
        <f t="shared" si="33"/>
        <v/>
      </c>
      <c r="I738" s="53" t="str">
        <f t="shared" si="34"/>
        <v/>
      </c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35"/>
        <v>727</v>
      </c>
      <c r="E739" s="10" t="str">
        <f t="shared" si="33"/>
        <v/>
      </c>
      <c r="I739" s="53" t="str">
        <f t="shared" si="34"/>
        <v/>
      </c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35"/>
        <v>728</v>
      </c>
      <c r="E740" s="10" t="str">
        <f t="shared" si="33"/>
        <v/>
      </c>
      <c r="I740" s="53" t="str">
        <f t="shared" si="34"/>
        <v/>
      </c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35"/>
        <v>729</v>
      </c>
      <c r="E741" s="10" t="str">
        <f t="shared" si="33"/>
        <v/>
      </c>
      <c r="I741" s="53" t="str">
        <f t="shared" si="34"/>
        <v/>
      </c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35"/>
        <v>730</v>
      </c>
      <c r="E742" s="10" t="str">
        <f t="shared" si="33"/>
        <v/>
      </c>
      <c r="I742" s="53" t="str">
        <f t="shared" si="34"/>
        <v/>
      </c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35"/>
        <v>731</v>
      </c>
      <c r="E743" s="10" t="str">
        <f t="shared" si="33"/>
        <v/>
      </c>
      <c r="I743" s="53" t="str">
        <f t="shared" si="34"/>
        <v/>
      </c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35"/>
        <v>732</v>
      </c>
      <c r="E744" s="10" t="str">
        <f t="shared" si="33"/>
        <v/>
      </c>
      <c r="I744" s="53" t="str">
        <f t="shared" si="34"/>
        <v/>
      </c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35"/>
        <v>733</v>
      </c>
      <c r="E745" s="10" t="str">
        <f t="shared" si="33"/>
        <v/>
      </c>
      <c r="I745" s="53" t="str">
        <f t="shared" si="34"/>
        <v/>
      </c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35"/>
        <v>734</v>
      </c>
      <c r="E746" s="10" t="str">
        <f t="shared" si="33"/>
        <v/>
      </c>
      <c r="I746" s="53" t="str">
        <f t="shared" si="34"/>
        <v/>
      </c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35"/>
        <v>735</v>
      </c>
      <c r="E747" s="10" t="str">
        <f t="shared" si="33"/>
        <v/>
      </c>
      <c r="I747" s="53" t="str">
        <f t="shared" si="34"/>
        <v/>
      </c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35"/>
        <v>736</v>
      </c>
      <c r="E748" s="10" t="str">
        <f t="shared" si="33"/>
        <v/>
      </c>
      <c r="I748" s="53" t="str">
        <f t="shared" si="34"/>
        <v/>
      </c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35"/>
        <v>737</v>
      </c>
      <c r="E749" s="10" t="str">
        <f t="shared" si="33"/>
        <v/>
      </c>
      <c r="I749" s="53" t="str">
        <f t="shared" si="34"/>
        <v/>
      </c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35"/>
        <v>738</v>
      </c>
      <c r="E750" s="10" t="str">
        <f t="shared" si="33"/>
        <v/>
      </c>
      <c r="I750" s="53" t="str">
        <f t="shared" si="34"/>
        <v/>
      </c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35"/>
        <v>739</v>
      </c>
      <c r="E751" s="10" t="str">
        <f t="shared" si="33"/>
        <v/>
      </c>
      <c r="I751" s="53" t="str">
        <f t="shared" si="34"/>
        <v/>
      </c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35"/>
        <v>740</v>
      </c>
      <c r="E752" s="10" t="str">
        <f t="shared" si="33"/>
        <v/>
      </c>
      <c r="I752" s="53" t="str">
        <f t="shared" si="34"/>
        <v/>
      </c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35"/>
        <v>741</v>
      </c>
      <c r="E753" s="10" t="str">
        <f t="shared" si="33"/>
        <v/>
      </c>
      <c r="I753" s="53" t="str">
        <f t="shared" si="34"/>
        <v/>
      </c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35"/>
        <v>742</v>
      </c>
      <c r="E754" s="10" t="str">
        <f t="shared" si="33"/>
        <v/>
      </c>
      <c r="I754" s="53" t="str">
        <f t="shared" si="34"/>
        <v/>
      </c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35"/>
        <v>743</v>
      </c>
      <c r="E755" s="10" t="str">
        <f t="shared" si="33"/>
        <v/>
      </c>
      <c r="I755" s="53" t="str">
        <f t="shared" si="34"/>
        <v/>
      </c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35"/>
        <v>744</v>
      </c>
      <c r="E756" s="10" t="str">
        <f t="shared" si="33"/>
        <v/>
      </c>
      <c r="I756" s="53" t="str">
        <f t="shared" si="34"/>
        <v/>
      </c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35"/>
        <v>745</v>
      </c>
      <c r="E757" s="10" t="str">
        <f t="shared" si="33"/>
        <v/>
      </c>
      <c r="I757" s="53" t="str">
        <f t="shared" si="34"/>
        <v/>
      </c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35"/>
        <v>746</v>
      </c>
      <c r="E758" s="10" t="str">
        <f t="shared" si="33"/>
        <v/>
      </c>
      <c r="I758" s="53" t="str">
        <f t="shared" si="34"/>
        <v/>
      </c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35"/>
        <v>747</v>
      </c>
      <c r="E759" s="10" t="str">
        <f t="shared" si="33"/>
        <v/>
      </c>
      <c r="I759" s="53" t="str">
        <f t="shared" si="34"/>
        <v/>
      </c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35"/>
        <v>748</v>
      </c>
      <c r="E760" s="10" t="str">
        <f t="shared" si="33"/>
        <v/>
      </c>
      <c r="I760" s="53" t="str">
        <f t="shared" si="34"/>
        <v/>
      </c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35"/>
        <v>749</v>
      </c>
      <c r="E761" s="10" t="str">
        <f t="shared" si="33"/>
        <v/>
      </c>
      <c r="I761" s="53" t="str">
        <f t="shared" si="34"/>
        <v/>
      </c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35"/>
        <v>750</v>
      </c>
      <c r="E762" s="10" t="str">
        <f t="shared" si="33"/>
        <v/>
      </c>
      <c r="I762" s="53" t="str">
        <f t="shared" si="34"/>
        <v/>
      </c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35"/>
        <v>751</v>
      </c>
      <c r="E763" s="10" t="str">
        <f t="shared" si="33"/>
        <v/>
      </c>
      <c r="I763" s="53" t="str">
        <f t="shared" si="34"/>
        <v/>
      </c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35"/>
        <v>752</v>
      </c>
      <c r="E764" s="10" t="str">
        <f t="shared" si="33"/>
        <v/>
      </c>
      <c r="I764" s="53" t="str">
        <f t="shared" si="34"/>
        <v/>
      </c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35"/>
        <v>753</v>
      </c>
      <c r="E765" s="10" t="str">
        <f t="shared" si="33"/>
        <v/>
      </c>
      <c r="I765" s="53" t="str">
        <f t="shared" si="34"/>
        <v/>
      </c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35"/>
        <v>754</v>
      </c>
      <c r="E766" s="10" t="str">
        <f t="shared" si="33"/>
        <v/>
      </c>
      <c r="I766" s="53" t="str">
        <f t="shared" si="34"/>
        <v/>
      </c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35"/>
        <v>755</v>
      </c>
      <c r="E767" s="10" t="str">
        <f t="shared" si="33"/>
        <v/>
      </c>
      <c r="I767" s="53" t="str">
        <f t="shared" si="34"/>
        <v/>
      </c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35"/>
        <v>756</v>
      </c>
      <c r="E768" s="10" t="str">
        <f t="shared" si="33"/>
        <v/>
      </c>
      <c r="I768" s="53" t="str">
        <f t="shared" si="34"/>
        <v/>
      </c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35"/>
        <v>757</v>
      </c>
      <c r="E769" s="10" t="str">
        <f t="shared" si="33"/>
        <v/>
      </c>
      <c r="I769" s="53" t="str">
        <f t="shared" si="34"/>
        <v/>
      </c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35"/>
        <v>758</v>
      </c>
      <c r="E770" s="10" t="str">
        <f t="shared" si="33"/>
        <v/>
      </c>
      <c r="I770" s="53" t="str">
        <f t="shared" si="34"/>
        <v/>
      </c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35"/>
        <v>759</v>
      </c>
      <c r="E771" s="10" t="str">
        <f t="shared" si="33"/>
        <v/>
      </c>
      <c r="I771" s="53" t="str">
        <f t="shared" si="34"/>
        <v/>
      </c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35"/>
        <v>760</v>
      </c>
      <c r="E772" s="10" t="str">
        <f t="shared" si="33"/>
        <v/>
      </c>
      <c r="I772" s="53" t="str">
        <f t="shared" si="34"/>
        <v/>
      </c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35"/>
        <v>761</v>
      </c>
      <c r="E773" s="10" t="str">
        <f t="shared" si="33"/>
        <v/>
      </c>
      <c r="I773" s="53" t="str">
        <f t="shared" si="34"/>
        <v/>
      </c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35"/>
        <v>762</v>
      </c>
      <c r="E774" s="10" t="str">
        <f t="shared" si="33"/>
        <v/>
      </c>
      <c r="I774" s="53" t="str">
        <f t="shared" si="34"/>
        <v/>
      </c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35"/>
        <v>763</v>
      </c>
      <c r="E775" s="10" t="str">
        <f t="shared" si="33"/>
        <v/>
      </c>
      <c r="I775" s="53" t="str">
        <f t="shared" si="34"/>
        <v/>
      </c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35"/>
        <v>764</v>
      </c>
      <c r="E776" s="10" t="str">
        <f t="shared" si="33"/>
        <v/>
      </c>
      <c r="I776" s="53" t="str">
        <f t="shared" si="34"/>
        <v/>
      </c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35"/>
        <v>765</v>
      </c>
      <c r="E777" s="10" t="str">
        <f t="shared" si="33"/>
        <v/>
      </c>
      <c r="I777" s="53" t="str">
        <f t="shared" si="34"/>
        <v/>
      </c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35"/>
        <v>766</v>
      </c>
      <c r="E778" s="10" t="str">
        <f t="shared" si="33"/>
        <v/>
      </c>
      <c r="I778" s="53" t="str">
        <f t="shared" si="34"/>
        <v/>
      </c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35"/>
        <v>767</v>
      </c>
      <c r="E779" s="10" t="str">
        <f t="shared" si="33"/>
        <v/>
      </c>
      <c r="I779" s="53" t="str">
        <f t="shared" si="34"/>
        <v/>
      </c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35"/>
        <v>768</v>
      </c>
      <c r="E780" s="10" t="str">
        <f t="shared" si="33"/>
        <v/>
      </c>
      <c r="I780" s="53" t="str">
        <f t="shared" si="34"/>
        <v/>
      </c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35"/>
        <v>769</v>
      </c>
      <c r="E781" s="10" t="str">
        <f t="shared" ref="E781:E844" si="36">IF($C$8&gt;=A781,$E$1&amp;" "&amp;A781,"")</f>
        <v/>
      </c>
      <c r="I781" s="53" t="str">
        <f t="shared" si="34"/>
        <v/>
      </c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35"/>
        <v>770</v>
      </c>
      <c r="E782" s="10" t="str">
        <f t="shared" si="36"/>
        <v/>
      </c>
      <c r="I782" s="53" t="str">
        <f t="shared" ref="I782:I845" si="37">IF(E782="","",F782-G782-H782)</f>
        <v/>
      </c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38">A782+1</f>
        <v>771</v>
      </c>
      <c r="E783" s="10" t="str">
        <f t="shared" si="36"/>
        <v/>
      </c>
      <c r="I783" s="53" t="str">
        <f t="shared" si="37"/>
        <v/>
      </c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38"/>
        <v>772</v>
      </c>
      <c r="E784" s="10" t="str">
        <f t="shared" si="36"/>
        <v/>
      </c>
      <c r="I784" s="53" t="str">
        <f t="shared" si="37"/>
        <v/>
      </c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38"/>
        <v>773</v>
      </c>
      <c r="E785" s="10" t="str">
        <f t="shared" si="36"/>
        <v/>
      </c>
      <c r="I785" s="53" t="str">
        <f t="shared" si="37"/>
        <v/>
      </c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38"/>
        <v>774</v>
      </c>
      <c r="E786" s="10" t="str">
        <f t="shared" si="36"/>
        <v/>
      </c>
      <c r="I786" s="53" t="str">
        <f t="shared" si="37"/>
        <v/>
      </c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38"/>
        <v>775</v>
      </c>
      <c r="E787" s="10" t="str">
        <f t="shared" si="36"/>
        <v/>
      </c>
      <c r="I787" s="53" t="str">
        <f t="shared" si="37"/>
        <v/>
      </c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38"/>
        <v>776</v>
      </c>
      <c r="E788" s="10" t="str">
        <f t="shared" si="36"/>
        <v/>
      </c>
      <c r="I788" s="53" t="str">
        <f t="shared" si="37"/>
        <v/>
      </c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38"/>
        <v>777</v>
      </c>
      <c r="E789" s="10" t="str">
        <f t="shared" si="36"/>
        <v/>
      </c>
      <c r="I789" s="53" t="str">
        <f t="shared" si="37"/>
        <v/>
      </c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38"/>
        <v>778</v>
      </c>
      <c r="E790" s="10" t="str">
        <f t="shared" si="36"/>
        <v/>
      </c>
      <c r="I790" s="53" t="str">
        <f t="shared" si="37"/>
        <v/>
      </c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38"/>
        <v>779</v>
      </c>
      <c r="E791" s="10" t="str">
        <f t="shared" si="36"/>
        <v/>
      </c>
      <c r="I791" s="53" t="str">
        <f t="shared" si="37"/>
        <v/>
      </c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38"/>
        <v>780</v>
      </c>
      <c r="E792" s="10" t="str">
        <f t="shared" si="36"/>
        <v/>
      </c>
      <c r="I792" s="53" t="str">
        <f t="shared" si="37"/>
        <v/>
      </c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38"/>
        <v>781</v>
      </c>
      <c r="E793" s="10" t="str">
        <f t="shared" si="36"/>
        <v/>
      </c>
      <c r="I793" s="53" t="str">
        <f t="shared" si="37"/>
        <v/>
      </c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38"/>
        <v>782</v>
      </c>
      <c r="E794" s="10" t="str">
        <f t="shared" si="36"/>
        <v/>
      </c>
      <c r="I794" s="53" t="str">
        <f t="shared" si="37"/>
        <v/>
      </c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38"/>
        <v>783</v>
      </c>
      <c r="E795" s="10" t="str">
        <f t="shared" si="36"/>
        <v/>
      </c>
      <c r="I795" s="53" t="str">
        <f t="shared" si="37"/>
        <v/>
      </c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38"/>
        <v>784</v>
      </c>
      <c r="E796" s="10" t="str">
        <f t="shared" si="36"/>
        <v/>
      </c>
      <c r="I796" s="53" t="str">
        <f t="shared" si="37"/>
        <v/>
      </c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38"/>
        <v>785</v>
      </c>
      <c r="E797" s="10" t="str">
        <f t="shared" si="36"/>
        <v/>
      </c>
      <c r="I797" s="53" t="str">
        <f t="shared" si="37"/>
        <v/>
      </c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38"/>
        <v>786</v>
      </c>
      <c r="E798" s="10" t="str">
        <f t="shared" si="36"/>
        <v/>
      </c>
      <c r="I798" s="53" t="str">
        <f t="shared" si="37"/>
        <v/>
      </c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38"/>
        <v>787</v>
      </c>
      <c r="E799" s="10" t="str">
        <f t="shared" si="36"/>
        <v/>
      </c>
      <c r="I799" s="53" t="str">
        <f t="shared" si="37"/>
        <v/>
      </c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38"/>
        <v>788</v>
      </c>
      <c r="E800" s="10" t="str">
        <f t="shared" si="36"/>
        <v/>
      </c>
      <c r="I800" s="53" t="str">
        <f t="shared" si="37"/>
        <v/>
      </c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38"/>
        <v>789</v>
      </c>
      <c r="E801" s="10" t="str">
        <f t="shared" si="36"/>
        <v/>
      </c>
      <c r="I801" s="53" t="str">
        <f t="shared" si="37"/>
        <v/>
      </c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38"/>
        <v>790</v>
      </c>
      <c r="E802" s="10" t="str">
        <f t="shared" si="36"/>
        <v/>
      </c>
      <c r="I802" s="53" t="str">
        <f t="shared" si="37"/>
        <v/>
      </c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38"/>
        <v>791</v>
      </c>
      <c r="E803" s="10" t="str">
        <f t="shared" si="36"/>
        <v/>
      </c>
      <c r="I803" s="53" t="str">
        <f t="shared" si="37"/>
        <v/>
      </c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38"/>
        <v>792</v>
      </c>
      <c r="E804" s="10" t="str">
        <f t="shared" si="36"/>
        <v/>
      </c>
      <c r="I804" s="53" t="str">
        <f t="shared" si="37"/>
        <v/>
      </c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38"/>
        <v>793</v>
      </c>
      <c r="E805" s="10" t="str">
        <f t="shared" si="36"/>
        <v/>
      </c>
      <c r="I805" s="53" t="str">
        <f t="shared" si="37"/>
        <v/>
      </c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38"/>
        <v>794</v>
      </c>
      <c r="E806" s="10" t="str">
        <f t="shared" si="36"/>
        <v/>
      </c>
      <c r="I806" s="53" t="str">
        <f t="shared" si="37"/>
        <v/>
      </c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38"/>
        <v>795</v>
      </c>
      <c r="E807" s="10" t="str">
        <f t="shared" si="36"/>
        <v/>
      </c>
      <c r="I807" s="53" t="str">
        <f t="shared" si="37"/>
        <v/>
      </c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38"/>
        <v>796</v>
      </c>
      <c r="E808" s="10" t="str">
        <f t="shared" si="36"/>
        <v/>
      </c>
      <c r="I808" s="53" t="str">
        <f t="shared" si="37"/>
        <v/>
      </c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38"/>
        <v>797</v>
      </c>
      <c r="E809" s="10" t="str">
        <f t="shared" si="36"/>
        <v/>
      </c>
      <c r="I809" s="53" t="str">
        <f t="shared" si="37"/>
        <v/>
      </c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38"/>
        <v>798</v>
      </c>
      <c r="E810" s="10" t="str">
        <f t="shared" si="36"/>
        <v/>
      </c>
      <c r="I810" s="53" t="str">
        <f t="shared" si="37"/>
        <v/>
      </c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38"/>
        <v>799</v>
      </c>
      <c r="E811" s="10" t="str">
        <f t="shared" si="36"/>
        <v/>
      </c>
      <c r="I811" s="53" t="str">
        <f t="shared" si="37"/>
        <v/>
      </c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38"/>
        <v>800</v>
      </c>
      <c r="E812" s="10" t="str">
        <f t="shared" si="36"/>
        <v/>
      </c>
      <c r="I812" s="53" t="str">
        <f t="shared" si="37"/>
        <v/>
      </c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38"/>
        <v>801</v>
      </c>
      <c r="E813" s="10" t="str">
        <f t="shared" si="36"/>
        <v/>
      </c>
      <c r="I813" s="53" t="str">
        <f t="shared" si="37"/>
        <v/>
      </c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38"/>
        <v>802</v>
      </c>
      <c r="E814" s="10" t="str">
        <f t="shared" si="36"/>
        <v/>
      </c>
      <c r="I814" s="53" t="str">
        <f t="shared" si="37"/>
        <v/>
      </c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38"/>
        <v>803</v>
      </c>
      <c r="E815" s="10" t="str">
        <f t="shared" si="36"/>
        <v/>
      </c>
      <c r="I815" s="53" t="str">
        <f t="shared" si="37"/>
        <v/>
      </c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38"/>
        <v>804</v>
      </c>
      <c r="E816" s="10" t="str">
        <f t="shared" si="36"/>
        <v/>
      </c>
      <c r="I816" s="53" t="str">
        <f t="shared" si="37"/>
        <v/>
      </c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38"/>
        <v>805</v>
      </c>
      <c r="E817" s="10" t="str">
        <f t="shared" si="36"/>
        <v/>
      </c>
      <c r="I817" s="53" t="str">
        <f t="shared" si="37"/>
        <v/>
      </c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38"/>
        <v>806</v>
      </c>
      <c r="E818" s="10" t="str">
        <f t="shared" si="36"/>
        <v/>
      </c>
      <c r="I818" s="53" t="str">
        <f t="shared" si="37"/>
        <v/>
      </c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38"/>
        <v>807</v>
      </c>
      <c r="E819" s="10" t="str">
        <f t="shared" si="36"/>
        <v/>
      </c>
      <c r="I819" s="53" t="str">
        <f t="shared" si="37"/>
        <v/>
      </c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38"/>
        <v>808</v>
      </c>
      <c r="E820" s="10" t="str">
        <f t="shared" si="36"/>
        <v/>
      </c>
      <c r="I820" s="53" t="str">
        <f t="shared" si="37"/>
        <v/>
      </c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38"/>
        <v>809</v>
      </c>
      <c r="E821" s="10" t="str">
        <f t="shared" si="36"/>
        <v/>
      </c>
      <c r="I821" s="53" t="str">
        <f t="shared" si="37"/>
        <v/>
      </c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38"/>
        <v>810</v>
      </c>
      <c r="E822" s="10" t="str">
        <f t="shared" si="36"/>
        <v/>
      </c>
      <c r="I822" s="53" t="str">
        <f t="shared" si="37"/>
        <v/>
      </c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38"/>
        <v>811</v>
      </c>
      <c r="E823" s="10" t="str">
        <f t="shared" si="36"/>
        <v/>
      </c>
      <c r="I823" s="53" t="str">
        <f t="shared" si="37"/>
        <v/>
      </c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38"/>
        <v>812</v>
      </c>
      <c r="E824" s="10" t="str">
        <f t="shared" si="36"/>
        <v/>
      </c>
      <c r="I824" s="53" t="str">
        <f t="shared" si="37"/>
        <v/>
      </c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38"/>
        <v>813</v>
      </c>
      <c r="E825" s="10" t="str">
        <f t="shared" si="36"/>
        <v/>
      </c>
      <c r="I825" s="53" t="str">
        <f t="shared" si="37"/>
        <v/>
      </c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38"/>
        <v>814</v>
      </c>
      <c r="E826" s="10" t="str">
        <f t="shared" si="36"/>
        <v/>
      </c>
      <c r="I826" s="53" t="str">
        <f t="shared" si="37"/>
        <v/>
      </c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38"/>
        <v>815</v>
      </c>
      <c r="E827" s="10" t="str">
        <f t="shared" si="36"/>
        <v/>
      </c>
      <c r="I827" s="53" t="str">
        <f t="shared" si="37"/>
        <v/>
      </c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38"/>
        <v>816</v>
      </c>
      <c r="E828" s="10" t="str">
        <f t="shared" si="36"/>
        <v/>
      </c>
      <c r="I828" s="53" t="str">
        <f t="shared" si="37"/>
        <v/>
      </c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38"/>
        <v>817</v>
      </c>
      <c r="E829" s="10" t="str">
        <f t="shared" si="36"/>
        <v/>
      </c>
      <c r="I829" s="53" t="str">
        <f t="shared" si="37"/>
        <v/>
      </c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38"/>
        <v>818</v>
      </c>
      <c r="E830" s="10" t="str">
        <f t="shared" si="36"/>
        <v/>
      </c>
      <c r="I830" s="53" t="str">
        <f t="shared" si="37"/>
        <v/>
      </c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38"/>
        <v>819</v>
      </c>
      <c r="E831" s="10" t="str">
        <f t="shared" si="36"/>
        <v/>
      </c>
      <c r="I831" s="53" t="str">
        <f t="shared" si="37"/>
        <v/>
      </c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38"/>
        <v>820</v>
      </c>
      <c r="E832" s="10" t="str">
        <f t="shared" si="36"/>
        <v/>
      </c>
      <c r="I832" s="53" t="str">
        <f t="shared" si="37"/>
        <v/>
      </c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38"/>
        <v>821</v>
      </c>
      <c r="E833" s="10" t="str">
        <f t="shared" si="36"/>
        <v/>
      </c>
      <c r="I833" s="53" t="str">
        <f t="shared" si="37"/>
        <v/>
      </c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38"/>
        <v>822</v>
      </c>
      <c r="E834" s="10" t="str">
        <f t="shared" si="36"/>
        <v/>
      </c>
      <c r="I834" s="53" t="str">
        <f t="shared" si="37"/>
        <v/>
      </c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38"/>
        <v>823</v>
      </c>
      <c r="E835" s="10" t="str">
        <f t="shared" si="36"/>
        <v/>
      </c>
      <c r="I835" s="53" t="str">
        <f t="shared" si="37"/>
        <v/>
      </c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38"/>
        <v>824</v>
      </c>
      <c r="E836" s="10" t="str">
        <f t="shared" si="36"/>
        <v/>
      </c>
      <c r="I836" s="53" t="str">
        <f t="shared" si="37"/>
        <v/>
      </c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38"/>
        <v>825</v>
      </c>
      <c r="E837" s="10" t="str">
        <f t="shared" si="36"/>
        <v/>
      </c>
      <c r="I837" s="53" t="str">
        <f t="shared" si="37"/>
        <v/>
      </c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38"/>
        <v>826</v>
      </c>
      <c r="E838" s="10" t="str">
        <f t="shared" si="36"/>
        <v/>
      </c>
      <c r="I838" s="53" t="str">
        <f t="shared" si="37"/>
        <v/>
      </c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38"/>
        <v>827</v>
      </c>
      <c r="E839" s="10" t="str">
        <f t="shared" si="36"/>
        <v/>
      </c>
      <c r="I839" s="53" t="str">
        <f t="shared" si="37"/>
        <v/>
      </c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38"/>
        <v>828</v>
      </c>
      <c r="E840" s="10" t="str">
        <f t="shared" si="36"/>
        <v/>
      </c>
      <c r="I840" s="53" t="str">
        <f t="shared" si="37"/>
        <v/>
      </c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38"/>
        <v>829</v>
      </c>
      <c r="E841" s="10" t="str">
        <f t="shared" si="36"/>
        <v/>
      </c>
      <c r="I841" s="53" t="str">
        <f t="shared" si="37"/>
        <v/>
      </c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38"/>
        <v>830</v>
      </c>
      <c r="E842" s="10" t="str">
        <f t="shared" si="36"/>
        <v/>
      </c>
      <c r="I842" s="53" t="str">
        <f t="shared" si="37"/>
        <v/>
      </c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38"/>
        <v>831</v>
      </c>
      <c r="E843" s="10" t="str">
        <f t="shared" si="36"/>
        <v/>
      </c>
      <c r="I843" s="53" t="str">
        <f t="shared" si="37"/>
        <v/>
      </c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38"/>
        <v>832</v>
      </c>
      <c r="E844" s="10" t="str">
        <f t="shared" si="36"/>
        <v/>
      </c>
      <c r="I844" s="53" t="str">
        <f t="shared" si="37"/>
        <v/>
      </c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38"/>
        <v>833</v>
      </c>
      <c r="E845" s="10" t="str">
        <f t="shared" ref="E845:E908" si="39">IF($C$8&gt;=A845,$E$1&amp;" "&amp;A845,"")</f>
        <v/>
      </c>
      <c r="I845" s="53" t="str">
        <f t="shared" si="37"/>
        <v/>
      </c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38"/>
        <v>834</v>
      </c>
      <c r="E846" s="10" t="str">
        <f t="shared" si="39"/>
        <v/>
      </c>
      <c r="I846" s="53" t="str">
        <f t="shared" ref="I846:I909" si="40">IF(E846="","",F846-G846-H846)</f>
        <v/>
      </c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41">A846+1</f>
        <v>835</v>
      </c>
      <c r="E847" s="10" t="str">
        <f t="shared" si="39"/>
        <v/>
      </c>
      <c r="I847" s="53" t="str">
        <f t="shared" si="40"/>
        <v/>
      </c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41"/>
        <v>836</v>
      </c>
      <c r="E848" s="10" t="str">
        <f t="shared" si="39"/>
        <v/>
      </c>
      <c r="I848" s="53" t="str">
        <f t="shared" si="40"/>
        <v/>
      </c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41"/>
        <v>837</v>
      </c>
      <c r="E849" s="10" t="str">
        <f t="shared" si="39"/>
        <v/>
      </c>
      <c r="I849" s="53" t="str">
        <f t="shared" si="40"/>
        <v/>
      </c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41"/>
        <v>838</v>
      </c>
      <c r="E850" s="10" t="str">
        <f t="shared" si="39"/>
        <v/>
      </c>
      <c r="I850" s="53" t="str">
        <f t="shared" si="40"/>
        <v/>
      </c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41"/>
        <v>839</v>
      </c>
      <c r="E851" s="10" t="str">
        <f t="shared" si="39"/>
        <v/>
      </c>
      <c r="I851" s="53" t="str">
        <f t="shared" si="40"/>
        <v/>
      </c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41"/>
        <v>840</v>
      </c>
      <c r="E852" s="10" t="str">
        <f t="shared" si="39"/>
        <v/>
      </c>
      <c r="I852" s="53" t="str">
        <f t="shared" si="40"/>
        <v/>
      </c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41"/>
        <v>841</v>
      </c>
      <c r="E853" s="10" t="str">
        <f t="shared" si="39"/>
        <v/>
      </c>
      <c r="I853" s="53" t="str">
        <f t="shared" si="40"/>
        <v/>
      </c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41"/>
        <v>842</v>
      </c>
      <c r="E854" s="10" t="str">
        <f t="shared" si="39"/>
        <v/>
      </c>
      <c r="I854" s="53" t="str">
        <f t="shared" si="40"/>
        <v/>
      </c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41"/>
        <v>843</v>
      </c>
      <c r="E855" s="10" t="str">
        <f t="shared" si="39"/>
        <v/>
      </c>
      <c r="I855" s="53" t="str">
        <f t="shared" si="40"/>
        <v/>
      </c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41"/>
        <v>844</v>
      </c>
      <c r="E856" s="10" t="str">
        <f t="shared" si="39"/>
        <v/>
      </c>
      <c r="I856" s="53" t="str">
        <f t="shared" si="40"/>
        <v/>
      </c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41"/>
        <v>845</v>
      </c>
      <c r="E857" s="10" t="str">
        <f t="shared" si="39"/>
        <v/>
      </c>
      <c r="I857" s="53" t="str">
        <f t="shared" si="40"/>
        <v/>
      </c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41"/>
        <v>846</v>
      </c>
      <c r="E858" s="10" t="str">
        <f t="shared" si="39"/>
        <v/>
      </c>
      <c r="I858" s="53" t="str">
        <f t="shared" si="40"/>
        <v/>
      </c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41"/>
        <v>847</v>
      </c>
      <c r="E859" s="10" t="str">
        <f t="shared" si="39"/>
        <v/>
      </c>
      <c r="I859" s="53" t="str">
        <f t="shared" si="40"/>
        <v/>
      </c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41"/>
        <v>848</v>
      </c>
      <c r="E860" s="10" t="str">
        <f t="shared" si="39"/>
        <v/>
      </c>
      <c r="I860" s="53" t="str">
        <f t="shared" si="40"/>
        <v/>
      </c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41"/>
        <v>849</v>
      </c>
      <c r="E861" s="10" t="str">
        <f t="shared" si="39"/>
        <v/>
      </c>
      <c r="I861" s="53" t="str">
        <f t="shared" si="40"/>
        <v/>
      </c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41"/>
        <v>850</v>
      </c>
      <c r="E862" s="10" t="str">
        <f t="shared" si="39"/>
        <v/>
      </c>
      <c r="I862" s="53" t="str">
        <f t="shared" si="40"/>
        <v/>
      </c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41"/>
        <v>851</v>
      </c>
      <c r="E863" s="10" t="str">
        <f t="shared" si="39"/>
        <v/>
      </c>
      <c r="I863" s="53" t="str">
        <f t="shared" si="40"/>
        <v/>
      </c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41"/>
        <v>852</v>
      </c>
      <c r="E864" s="10" t="str">
        <f t="shared" si="39"/>
        <v/>
      </c>
      <c r="I864" s="53" t="str">
        <f t="shared" si="40"/>
        <v/>
      </c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41"/>
        <v>853</v>
      </c>
      <c r="E865" s="10" t="str">
        <f t="shared" si="39"/>
        <v/>
      </c>
      <c r="I865" s="53" t="str">
        <f t="shared" si="40"/>
        <v/>
      </c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41"/>
        <v>854</v>
      </c>
      <c r="E866" s="10" t="str">
        <f t="shared" si="39"/>
        <v/>
      </c>
      <c r="I866" s="53" t="str">
        <f t="shared" si="40"/>
        <v/>
      </c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41"/>
        <v>855</v>
      </c>
      <c r="E867" s="10" t="str">
        <f t="shared" si="39"/>
        <v/>
      </c>
      <c r="I867" s="53" t="str">
        <f t="shared" si="40"/>
        <v/>
      </c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41"/>
        <v>856</v>
      </c>
      <c r="E868" s="10" t="str">
        <f t="shared" si="39"/>
        <v/>
      </c>
      <c r="I868" s="53" t="str">
        <f t="shared" si="40"/>
        <v/>
      </c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41"/>
        <v>857</v>
      </c>
      <c r="E869" s="10" t="str">
        <f t="shared" si="39"/>
        <v/>
      </c>
      <c r="I869" s="53" t="str">
        <f t="shared" si="40"/>
        <v/>
      </c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41"/>
        <v>858</v>
      </c>
      <c r="E870" s="10" t="str">
        <f t="shared" si="39"/>
        <v/>
      </c>
      <c r="I870" s="53" t="str">
        <f t="shared" si="40"/>
        <v/>
      </c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41"/>
        <v>859</v>
      </c>
      <c r="E871" s="10" t="str">
        <f t="shared" si="39"/>
        <v/>
      </c>
      <c r="I871" s="53" t="str">
        <f t="shared" si="40"/>
        <v/>
      </c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41"/>
        <v>860</v>
      </c>
      <c r="E872" s="10" t="str">
        <f t="shared" si="39"/>
        <v/>
      </c>
      <c r="I872" s="53" t="str">
        <f t="shared" si="40"/>
        <v/>
      </c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41"/>
        <v>861</v>
      </c>
      <c r="E873" s="10" t="str">
        <f t="shared" si="39"/>
        <v/>
      </c>
      <c r="I873" s="53" t="str">
        <f t="shared" si="40"/>
        <v/>
      </c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41"/>
        <v>862</v>
      </c>
      <c r="E874" s="10" t="str">
        <f t="shared" si="39"/>
        <v/>
      </c>
      <c r="I874" s="53" t="str">
        <f t="shared" si="40"/>
        <v/>
      </c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41"/>
        <v>863</v>
      </c>
      <c r="E875" s="10" t="str">
        <f t="shared" si="39"/>
        <v/>
      </c>
      <c r="I875" s="53" t="str">
        <f t="shared" si="40"/>
        <v/>
      </c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41"/>
        <v>864</v>
      </c>
      <c r="E876" s="10" t="str">
        <f t="shared" si="39"/>
        <v/>
      </c>
      <c r="I876" s="53" t="str">
        <f t="shared" si="40"/>
        <v/>
      </c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41"/>
        <v>865</v>
      </c>
      <c r="E877" s="10" t="str">
        <f t="shared" si="39"/>
        <v/>
      </c>
      <c r="I877" s="53" t="str">
        <f t="shared" si="40"/>
        <v/>
      </c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41"/>
        <v>866</v>
      </c>
      <c r="E878" s="10" t="str">
        <f t="shared" si="39"/>
        <v/>
      </c>
      <c r="I878" s="53" t="str">
        <f t="shared" si="40"/>
        <v/>
      </c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41"/>
        <v>867</v>
      </c>
      <c r="E879" s="10" t="str">
        <f t="shared" si="39"/>
        <v/>
      </c>
      <c r="I879" s="53" t="str">
        <f t="shared" si="40"/>
        <v/>
      </c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41"/>
        <v>868</v>
      </c>
      <c r="E880" s="10" t="str">
        <f t="shared" si="39"/>
        <v/>
      </c>
      <c r="I880" s="53" t="str">
        <f t="shared" si="40"/>
        <v/>
      </c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41"/>
        <v>869</v>
      </c>
      <c r="E881" s="10" t="str">
        <f t="shared" si="39"/>
        <v/>
      </c>
      <c r="I881" s="53" t="str">
        <f t="shared" si="40"/>
        <v/>
      </c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41"/>
        <v>870</v>
      </c>
      <c r="E882" s="10" t="str">
        <f t="shared" si="39"/>
        <v/>
      </c>
      <c r="I882" s="53" t="str">
        <f t="shared" si="40"/>
        <v/>
      </c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41"/>
        <v>871</v>
      </c>
      <c r="E883" s="10" t="str">
        <f t="shared" si="39"/>
        <v/>
      </c>
      <c r="I883" s="53" t="str">
        <f t="shared" si="40"/>
        <v/>
      </c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41"/>
        <v>872</v>
      </c>
      <c r="E884" s="10" t="str">
        <f t="shared" si="39"/>
        <v/>
      </c>
      <c r="I884" s="53" t="str">
        <f t="shared" si="40"/>
        <v/>
      </c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41"/>
        <v>873</v>
      </c>
      <c r="E885" s="10" t="str">
        <f t="shared" si="39"/>
        <v/>
      </c>
      <c r="I885" s="53" t="str">
        <f t="shared" si="40"/>
        <v/>
      </c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41"/>
        <v>874</v>
      </c>
      <c r="E886" s="10" t="str">
        <f t="shared" si="39"/>
        <v/>
      </c>
      <c r="I886" s="53" t="str">
        <f t="shared" si="40"/>
        <v/>
      </c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41"/>
        <v>875</v>
      </c>
      <c r="E887" s="10" t="str">
        <f t="shared" si="39"/>
        <v/>
      </c>
      <c r="I887" s="53" t="str">
        <f t="shared" si="40"/>
        <v/>
      </c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41"/>
        <v>876</v>
      </c>
      <c r="E888" s="10" t="str">
        <f t="shared" si="39"/>
        <v/>
      </c>
      <c r="I888" s="53" t="str">
        <f t="shared" si="40"/>
        <v/>
      </c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41"/>
        <v>877</v>
      </c>
      <c r="E889" s="10" t="str">
        <f t="shared" si="39"/>
        <v/>
      </c>
      <c r="I889" s="53" t="str">
        <f t="shared" si="40"/>
        <v/>
      </c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41"/>
        <v>878</v>
      </c>
      <c r="E890" s="10" t="str">
        <f t="shared" si="39"/>
        <v/>
      </c>
      <c r="I890" s="53" t="str">
        <f t="shared" si="40"/>
        <v/>
      </c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41"/>
        <v>879</v>
      </c>
      <c r="E891" s="10" t="str">
        <f t="shared" si="39"/>
        <v/>
      </c>
      <c r="I891" s="53" t="str">
        <f t="shared" si="40"/>
        <v/>
      </c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41"/>
        <v>880</v>
      </c>
      <c r="E892" s="10" t="str">
        <f t="shared" si="39"/>
        <v/>
      </c>
      <c r="I892" s="53" t="str">
        <f t="shared" si="40"/>
        <v/>
      </c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41"/>
        <v>881</v>
      </c>
      <c r="E893" s="10" t="str">
        <f t="shared" si="39"/>
        <v/>
      </c>
      <c r="I893" s="53" t="str">
        <f t="shared" si="40"/>
        <v/>
      </c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41"/>
        <v>882</v>
      </c>
      <c r="E894" s="10" t="str">
        <f t="shared" si="39"/>
        <v/>
      </c>
      <c r="I894" s="53" t="str">
        <f t="shared" si="40"/>
        <v/>
      </c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41"/>
        <v>883</v>
      </c>
      <c r="E895" s="10" t="str">
        <f t="shared" si="39"/>
        <v/>
      </c>
      <c r="I895" s="53" t="str">
        <f t="shared" si="40"/>
        <v/>
      </c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41"/>
        <v>884</v>
      </c>
      <c r="E896" s="10" t="str">
        <f t="shared" si="39"/>
        <v/>
      </c>
      <c r="I896" s="53" t="str">
        <f t="shared" si="40"/>
        <v/>
      </c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41"/>
        <v>885</v>
      </c>
      <c r="E897" s="10" t="str">
        <f t="shared" si="39"/>
        <v/>
      </c>
      <c r="I897" s="53" t="str">
        <f t="shared" si="40"/>
        <v/>
      </c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41"/>
        <v>886</v>
      </c>
      <c r="E898" s="10" t="str">
        <f t="shared" si="39"/>
        <v/>
      </c>
      <c r="I898" s="53" t="str">
        <f t="shared" si="40"/>
        <v/>
      </c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41"/>
        <v>887</v>
      </c>
      <c r="E899" s="10" t="str">
        <f t="shared" si="39"/>
        <v/>
      </c>
      <c r="I899" s="53" t="str">
        <f t="shared" si="40"/>
        <v/>
      </c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41"/>
        <v>888</v>
      </c>
      <c r="E900" s="10" t="str">
        <f t="shared" si="39"/>
        <v/>
      </c>
      <c r="I900" s="53" t="str">
        <f t="shared" si="40"/>
        <v/>
      </c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41"/>
        <v>889</v>
      </c>
      <c r="E901" s="10" t="str">
        <f t="shared" si="39"/>
        <v/>
      </c>
      <c r="I901" s="53" t="str">
        <f t="shared" si="40"/>
        <v/>
      </c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41"/>
        <v>890</v>
      </c>
      <c r="E902" s="10" t="str">
        <f t="shared" si="39"/>
        <v/>
      </c>
      <c r="I902" s="53" t="str">
        <f t="shared" si="40"/>
        <v/>
      </c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41"/>
        <v>891</v>
      </c>
      <c r="E903" s="10" t="str">
        <f t="shared" si="39"/>
        <v/>
      </c>
      <c r="I903" s="53" t="str">
        <f t="shared" si="40"/>
        <v/>
      </c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41"/>
        <v>892</v>
      </c>
      <c r="E904" s="10" t="str">
        <f t="shared" si="39"/>
        <v/>
      </c>
      <c r="I904" s="53" t="str">
        <f t="shared" si="40"/>
        <v/>
      </c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41"/>
        <v>893</v>
      </c>
      <c r="E905" s="10" t="str">
        <f t="shared" si="39"/>
        <v/>
      </c>
      <c r="I905" s="53" t="str">
        <f t="shared" si="40"/>
        <v/>
      </c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41"/>
        <v>894</v>
      </c>
      <c r="E906" s="10" t="str">
        <f t="shared" si="39"/>
        <v/>
      </c>
      <c r="I906" s="53" t="str">
        <f t="shared" si="40"/>
        <v/>
      </c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41"/>
        <v>895</v>
      </c>
      <c r="E907" s="10" t="str">
        <f t="shared" si="39"/>
        <v/>
      </c>
      <c r="I907" s="53" t="str">
        <f t="shared" si="40"/>
        <v/>
      </c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41"/>
        <v>896</v>
      </c>
      <c r="E908" s="10" t="str">
        <f t="shared" si="39"/>
        <v/>
      </c>
      <c r="I908" s="53" t="str">
        <f t="shared" si="40"/>
        <v/>
      </c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41"/>
        <v>897</v>
      </c>
      <c r="E909" s="10" t="str">
        <f t="shared" ref="E909:E972" si="42">IF($C$8&gt;=A909,$E$1&amp;" "&amp;A909,"")</f>
        <v/>
      </c>
      <c r="I909" s="53" t="str">
        <f t="shared" si="40"/>
        <v/>
      </c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41"/>
        <v>898</v>
      </c>
      <c r="E910" s="10" t="str">
        <f t="shared" si="42"/>
        <v/>
      </c>
      <c r="I910" s="53" t="str">
        <f t="shared" ref="I910:I973" si="43">IF(E910="","",F910-G910-H910)</f>
        <v/>
      </c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44">A910+1</f>
        <v>899</v>
      </c>
      <c r="E911" s="10" t="str">
        <f t="shared" si="42"/>
        <v/>
      </c>
      <c r="I911" s="53" t="str">
        <f t="shared" si="43"/>
        <v/>
      </c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44"/>
        <v>900</v>
      </c>
      <c r="E912" s="10" t="str">
        <f t="shared" si="42"/>
        <v/>
      </c>
      <c r="I912" s="53" t="str">
        <f t="shared" si="43"/>
        <v/>
      </c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44"/>
        <v>901</v>
      </c>
      <c r="E913" s="10" t="str">
        <f t="shared" si="42"/>
        <v/>
      </c>
      <c r="I913" s="53" t="str">
        <f t="shared" si="43"/>
        <v/>
      </c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44"/>
        <v>902</v>
      </c>
      <c r="E914" s="10" t="str">
        <f t="shared" si="42"/>
        <v/>
      </c>
      <c r="I914" s="53" t="str">
        <f t="shared" si="43"/>
        <v/>
      </c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44"/>
        <v>903</v>
      </c>
      <c r="E915" s="10" t="str">
        <f t="shared" si="42"/>
        <v/>
      </c>
      <c r="I915" s="53" t="str">
        <f t="shared" si="43"/>
        <v/>
      </c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44"/>
        <v>904</v>
      </c>
      <c r="E916" s="10" t="str">
        <f t="shared" si="42"/>
        <v/>
      </c>
      <c r="I916" s="53" t="str">
        <f t="shared" si="43"/>
        <v/>
      </c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44"/>
        <v>905</v>
      </c>
      <c r="E917" s="10" t="str">
        <f t="shared" si="42"/>
        <v/>
      </c>
      <c r="I917" s="53" t="str">
        <f t="shared" si="43"/>
        <v/>
      </c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44"/>
        <v>906</v>
      </c>
      <c r="E918" s="10" t="str">
        <f t="shared" si="42"/>
        <v/>
      </c>
      <c r="I918" s="53" t="str">
        <f t="shared" si="43"/>
        <v/>
      </c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44"/>
        <v>907</v>
      </c>
      <c r="E919" s="10" t="str">
        <f t="shared" si="42"/>
        <v/>
      </c>
      <c r="I919" s="53" t="str">
        <f t="shared" si="43"/>
        <v/>
      </c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44"/>
        <v>908</v>
      </c>
      <c r="E920" s="10" t="str">
        <f t="shared" si="42"/>
        <v/>
      </c>
      <c r="I920" s="53" t="str">
        <f t="shared" si="43"/>
        <v/>
      </c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44"/>
        <v>909</v>
      </c>
      <c r="E921" s="10" t="str">
        <f t="shared" si="42"/>
        <v/>
      </c>
      <c r="I921" s="53" t="str">
        <f t="shared" si="43"/>
        <v/>
      </c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44"/>
        <v>910</v>
      </c>
      <c r="E922" s="10" t="str">
        <f t="shared" si="42"/>
        <v/>
      </c>
      <c r="I922" s="53" t="str">
        <f t="shared" si="43"/>
        <v/>
      </c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44"/>
        <v>911</v>
      </c>
      <c r="E923" s="10" t="str">
        <f t="shared" si="42"/>
        <v/>
      </c>
      <c r="I923" s="53" t="str">
        <f t="shared" si="43"/>
        <v/>
      </c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44"/>
        <v>912</v>
      </c>
      <c r="E924" s="10" t="str">
        <f t="shared" si="42"/>
        <v/>
      </c>
      <c r="I924" s="53" t="str">
        <f t="shared" si="43"/>
        <v/>
      </c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44"/>
        <v>913</v>
      </c>
      <c r="E925" s="10" t="str">
        <f t="shared" si="42"/>
        <v/>
      </c>
      <c r="I925" s="53" t="str">
        <f t="shared" si="43"/>
        <v/>
      </c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44"/>
        <v>914</v>
      </c>
      <c r="E926" s="10" t="str">
        <f t="shared" si="42"/>
        <v/>
      </c>
      <c r="I926" s="53" t="str">
        <f t="shared" si="43"/>
        <v/>
      </c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44"/>
        <v>915</v>
      </c>
      <c r="E927" s="10" t="str">
        <f t="shared" si="42"/>
        <v/>
      </c>
      <c r="I927" s="53" t="str">
        <f t="shared" si="43"/>
        <v/>
      </c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44"/>
        <v>916</v>
      </c>
      <c r="E928" s="10" t="str">
        <f t="shared" si="42"/>
        <v/>
      </c>
      <c r="I928" s="53" t="str">
        <f t="shared" si="43"/>
        <v/>
      </c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44"/>
        <v>917</v>
      </c>
      <c r="E929" s="10" t="str">
        <f t="shared" si="42"/>
        <v/>
      </c>
      <c r="I929" s="53" t="str">
        <f t="shared" si="43"/>
        <v/>
      </c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44"/>
        <v>918</v>
      </c>
      <c r="E930" s="10" t="str">
        <f t="shared" si="42"/>
        <v/>
      </c>
      <c r="I930" s="53" t="str">
        <f t="shared" si="43"/>
        <v/>
      </c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44"/>
        <v>919</v>
      </c>
      <c r="E931" s="10" t="str">
        <f t="shared" si="42"/>
        <v/>
      </c>
      <c r="I931" s="53" t="str">
        <f t="shared" si="43"/>
        <v/>
      </c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44"/>
        <v>920</v>
      </c>
      <c r="E932" s="10" t="str">
        <f t="shared" si="42"/>
        <v/>
      </c>
      <c r="I932" s="53" t="str">
        <f t="shared" si="43"/>
        <v/>
      </c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44"/>
        <v>921</v>
      </c>
      <c r="E933" s="10" t="str">
        <f t="shared" si="42"/>
        <v/>
      </c>
      <c r="I933" s="53" t="str">
        <f t="shared" si="43"/>
        <v/>
      </c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44"/>
        <v>922</v>
      </c>
      <c r="E934" s="10" t="str">
        <f t="shared" si="42"/>
        <v/>
      </c>
      <c r="I934" s="53" t="str">
        <f t="shared" si="43"/>
        <v/>
      </c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44"/>
        <v>923</v>
      </c>
      <c r="E935" s="10" t="str">
        <f t="shared" si="42"/>
        <v/>
      </c>
      <c r="I935" s="53" t="str">
        <f t="shared" si="43"/>
        <v/>
      </c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44"/>
        <v>924</v>
      </c>
      <c r="E936" s="10" t="str">
        <f t="shared" si="42"/>
        <v/>
      </c>
      <c r="I936" s="53" t="str">
        <f t="shared" si="43"/>
        <v/>
      </c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44"/>
        <v>925</v>
      </c>
      <c r="E937" s="10" t="str">
        <f t="shared" si="42"/>
        <v/>
      </c>
      <c r="I937" s="53" t="str">
        <f t="shared" si="43"/>
        <v/>
      </c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44"/>
        <v>926</v>
      </c>
      <c r="E938" s="10" t="str">
        <f t="shared" si="42"/>
        <v/>
      </c>
      <c r="I938" s="53" t="str">
        <f t="shared" si="43"/>
        <v/>
      </c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44"/>
        <v>927</v>
      </c>
      <c r="E939" s="10" t="str">
        <f t="shared" si="42"/>
        <v/>
      </c>
      <c r="I939" s="53" t="str">
        <f t="shared" si="43"/>
        <v/>
      </c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44"/>
        <v>928</v>
      </c>
      <c r="E940" s="10" t="str">
        <f t="shared" si="42"/>
        <v/>
      </c>
      <c r="I940" s="53" t="str">
        <f t="shared" si="43"/>
        <v/>
      </c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44"/>
        <v>929</v>
      </c>
      <c r="E941" s="10" t="str">
        <f t="shared" si="42"/>
        <v/>
      </c>
      <c r="I941" s="53" t="str">
        <f t="shared" si="43"/>
        <v/>
      </c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44"/>
        <v>930</v>
      </c>
      <c r="E942" s="10" t="str">
        <f t="shared" si="42"/>
        <v/>
      </c>
      <c r="I942" s="53" t="str">
        <f t="shared" si="43"/>
        <v/>
      </c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44"/>
        <v>931</v>
      </c>
      <c r="E943" s="10" t="str">
        <f t="shared" si="42"/>
        <v/>
      </c>
      <c r="I943" s="53" t="str">
        <f t="shared" si="43"/>
        <v/>
      </c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44"/>
        <v>932</v>
      </c>
      <c r="E944" s="10" t="str">
        <f t="shared" si="42"/>
        <v/>
      </c>
      <c r="I944" s="53" t="str">
        <f t="shared" si="43"/>
        <v/>
      </c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44"/>
        <v>933</v>
      </c>
      <c r="E945" s="10" t="str">
        <f t="shared" si="42"/>
        <v/>
      </c>
      <c r="I945" s="53" t="str">
        <f t="shared" si="43"/>
        <v/>
      </c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44"/>
        <v>934</v>
      </c>
      <c r="E946" s="10" t="str">
        <f t="shared" si="42"/>
        <v/>
      </c>
      <c r="I946" s="53" t="str">
        <f t="shared" si="43"/>
        <v/>
      </c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44"/>
        <v>935</v>
      </c>
      <c r="E947" s="10" t="str">
        <f t="shared" si="42"/>
        <v/>
      </c>
      <c r="I947" s="53" t="str">
        <f t="shared" si="43"/>
        <v/>
      </c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44"/>
        <v>936</v>
      </c>
      <c r="E948" s="10" t="str">
        <f t="shared" si="42"/>
        <v/>
      </c>
      <c r="I948" s="53" t="str">
        <f t="shared" si="43"/>
        <v/>
      </c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44"/>
        <v>937</v>
      </c>
      <c r="E949" s="10" t="str">
        <f t="shared" si="42"/>
        <v/>
      </c>
      <c r="I949" s="53" t="str">
        <f t="shared" si="43"/>
        <v/>
      </c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44"/>
        <v>938</v>
      </c>
      <c r="E950" s="10" t="str">
        <f t="shared" si="42"/>
        <v/>
      </c>
      <c r="I950" s="53" t="str">
        <f t="shared" si="43"/>
        <v/>
      </c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44"/>
        <v>939</v>
      </c>
      <c r="E951" s="10" t="str">
        <f t="shared" si="42"/>
        <v/>
      </c>
      <c r="I951" s="53" t="str">
        <f t="shared" si="43"/>
        <v/>
      </c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44"/>
        <v>940</v>
      </c>
      <c r="E952" s="10" t="str">
        <f t="shared" si="42"/>
        <v/>
      </c>
      <c r="I952" s="53" t="str">
        <f t="shared" si="43"/>
        <v/>
      </c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44"/>
        <v>941</v>
      </c>
      <c r="E953" s="10" t="str">
        <f t="shared" si="42"/>
        <v/>
      </c>
      <c r="I953" s="53" t="str">
        <f t="shared" si="43"/>
        <v/>
      </c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44"/>
        <v>942</v>
      </c>
      <c r="E954" s="10" t="str">
        <f t="shared" si="42"/>
        <v/>
      </c>
      <c r="I954" s="53" t="str">
        <f t="shared" si="43"/>
        <v/>
      </c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44"/>
        <v>943</v>
      </c>
      <c r="E955" s="10" t="str">
        <f t="shared" si="42"/>
        <v/>
      </c>
      <c r="I955" s="53" t="str">
        <f t="shared" si="43"/>
        <v/>
      </c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44"/>
        <v>944</v>
      </c>
      <c r="E956" s="10" t="str">
        <f t="shared" si="42"/>
        <v/>
      </c>
      <c r="I956" s="53" t="str">
        <f t="shared" si="43"/>
        <v/>
      </c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44"/>
        <v>945</v>
      </c>
      <c r="E957" s="10" t="str">
        <f t="shared" si="42"/>
        <v/>
      </c>
      <c r="I957" s="53" t="str">
        <f t="shared" si="43"/>
        <v/>
      </c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44"/>
        <v>946</v>
      </c>
      <c r="E958" s="10" t="str">
        <f t="shared" si="42"/>
        <v/>
      </c>
      <c r="I958" s="53" t="str">
        <f t="shared" si="43"/>
        <v/>
      </c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44"/>
        <v>947</v>
      </c>
      <c r="E959" s="10" t="str">
        <f t="shared" si="42"/>
        <v/>
      </c>
      <c r="I959" s="53" t="str">
        <f t="shared" si="43"/>
        <v/>
      </c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44"/>
        <v>948</v>
      </c>
      <c r="E960" s="10" t="str">
        <f t="shared" si="42"/>
        <v/>
      </c>
      <c r="I960" s="53" t="str">
        <f t="shared" si="43"/>
        <v/>
      </c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44"/>
        <v>949</v>
      </c>
      <c r="E961" s="10" t="str">
        <f t="shared" si="42"/>
        <v/>
      </c>
      <c r="I961" s="53" t="str">
        <f t="shared" si="43"/>
        <v/>
      </c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44"/>
        <v>950</v>
      </c>
      <c r="E962" s="10" t="str">
        <f t="shared" si="42"/>
        <v/>
      </c>
      <c r="I962" s="53" t="str">
        <f t="shared" si="43"/>
        <v/>
      </c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44"/>
        <v>951</v>
      </c>
      <c r="E963" s="10" t="str">
        <f t="shared" si="42"/>
        <v/>
      </c>
      <c r="I963" s="53" t="str">
        <f t="shared" si="43"/>
        <v/>
      </c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44"/>
        <v>952</v>
      </c>
      <c r="E964" s="10" t="str">
        <f t="shared" si="42"/>
        <v/>
      </c>
      <c r="I964" s="53" t="str">
        <f t="shared" si="43"/>
        <v/>
      </c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44"/>
        <v>953</v>
      </c>
      <c r="E965" s="10" t="str">
        <f t="shared" si="42"/>
        <v/>
      </c>
      <c r="I965" s="53" t="str">
        <f t="shared" si="43"/>
        <v/>
      </c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44"/>
        <v>954</v>
      </c>
      <c r="E966" s="10" t="str">
        <f t="shared" si="42"/>
        <v/>
      </c>
      <c r="I966" s="53" t="str">
        <f t="shared" si="43"/>
        <v/>
      </c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44"/>
        <v>955</v>
      </c>
      <c r="E967" s="10" t="str">
        <f t="shared" si="42"/>
        <v/>
      </c>
      <c r="I967" s="53" t="str">
        <f t="shared" si="43"/>
        <v/>
      </c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44"/>
        <v>956</v>
      </c>
      <c r="E968" s="10" t="str">
        <f t="shared" si="42"/>
        <v/>
      </c>
      <c r="I968" s="53" t="str">
        <f t="shared" si="43"/>
        <v/>
      </c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44"/>
        <v>957</v>
      </c>
      <c r="E969" s="10" t="str">
        <f t="shared" si="42"/>
        <v/>
      </c>
      <c r="I969" s="53" t="str">
        <f t="shared" si="43"/>
        <v/>
      </c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44"/>
        <v>958</v>
      </c>
      <c r="E970" s="10" t="str">
        <f t="shared" si="42"/>
        <v/>
      </c>
      <c r="I970" s="53" t="str">
        <f t="shared" si="43"/>
        <v/>
      </c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44"/>
        <v>959</v>
      </c>
      <c r="E971" s="10" t="str">
        <f t="shared" si="42"/>
        <v/>
      </c>
      <c r="I971" s="53" t="str">
        <f t="shared" si="43"/>
        <v/>
      </c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44"/>
        <v>960</v>
      </c>
      <c r="E972" s="10" t="str">
        <f t="shared" si="42"/>
        <v/>
      </c>
      <c r="I972" s="53" t="str">
        <f t="shared" si="43"/>
        <v/>
      </c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44"/>
        <v>961</v>
      </c>
      <c r="E973" s="10" t="str">
        <f t="shared" ref="E973:E1036" si="45">IF($C$8&gt;=A973,$E$1&amp;" "&amp;A973,"")</f>
        <v/>
      </c>
      <c r="I973" s="53" t="str">
        <f t="shared" si="43"/>
        <v/>
      </c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44"/>
        <v>962</v>
      </c>
      <c r="E974" s="10" t="str">
        <f t="shared" si="45"/>
        <v/>
      </c>
      <c r="I974" s="53" t="str">
        <f t="shared" ref="I974:I1037" si="46">IF(E974="","",F974-G974-H974)</f>
        <v/>
      </c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47">A974+1</f>
        <v>963</v>
      </c>
      <c r="E975" s="10" t="str">
        <f t="shared" si="45"/>
        <v/>
      </c>
      <c r="I975" s="53" t="str">
        <f t="shared" si="46"/>
        <v/>
      </c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47"/>
        <v>964</v>
      </c>
      <c r="E976" s="10" t="str">
        <f t="shared" si="45"/>
        <v/>
      </c>
      <c r="I976" s="53" t="str">
        <f t="shared" si="46"/>
        <v/>
      </c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47"/>
        <v>965</v>
      </c>
      <c r="E977" s="10" t="str">
        <f t="shared" si="45"/>
        <v/>
      </c>
      <c r="I977" s="53" t="str">
        <f t="shared" si="46"/>
        <v/>
      </c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47"/>
        <v>966</v>
      </c>
      <c r="E978" s="10" t="str">
        <f t="shared" si="45"/>
        <v/>
      </c>
      <c r="I978" s="53" t="str">
        <f t="shared" si="46"/>
        <v/>
      </c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47"/>
        <v>967</v>
      </c>
      <c r="E979" s="10" t="str">
        <f t="shared" si="45"/>
        <v/>
      </c>
      <c r="I979" s="53" t="str">
        <f t="shared" si="46"/>
        <v/>
      </c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47"/>
        <v>968</v>
      </c>
      <c r="E980" s="10" t="str">
        <f t="shared" si="45"/>
        <v/>
      </c>
      <c r="I980" s="53" t="str">
        <f t="shared" si="46"/>
        <v/>
      </c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47"/>
        <v>969</v>
      </c>
      <c r="E981" s="10" t="str">
        <f t="shared" si="45"/>
        <v/>
      </c>
      <c r="I981" s="53" t="str">
        <f t="shared" si="46"/>
        <v/>
      </c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47"/>
        <v>970</v>
      </c>
      <c r="E982" s="10" t="str">
        <f t="shared" si="45"/>
        <v/>
      </c>
      <c r="I982" s="53" t="str">
        <f t="shared" si="46"/>
        <v/>
      </c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47"/>
        <v>971</v>
      </c>
      <c r="E983" s="10" t="str">
        <f t="shared" si="45"/>
        <v/>
      </c>
      <c r="I983" s="53" t="str">
        <f t="shared" si="46"/>
        <v/>
      </c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47"/>
        <v>972</v>
      </c>
      <c r="E984" s="10" t="str">
        <f t="shared" si="45"/>
        <v/>
      </c>
      <c r="I984" s="53" t="str">
        <f t="shared" si="46"/>
        <v/>
      </c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47"/>
        <v>973</v>
      </c>
      <c r="E985" s="10" t="str">
        <f t="shared" si="45"/>
        <v/>
      </c>
      <c r="I985" s="53" t="str">
        <f t="shared" si="46"/>
        <v/>
      </c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47"/>
        <v>974</v>
      </c>
      <c r="E986" s="10" t="str">
        <f t="shared" si="45"/>
        <v/>
      </c>
      <c r="I986" s="53" t="str">
        <f t="shared" si="46"/>
        <v/>
      </c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47"/>
        <v>975</v>
      </c>
      <c r="E987" s="10" t="str">
        <f t="shared" si="45"/>
        <v/>
      </c>
      <c r="I987" s="53" t="str">
        <f t="shared" si="46"/>
        <v/>
      </c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47"/>
        <v>976</v>
      </c>
      <c r="E988" s="10" t="str">
        <f t="shared" si="45"/>
        <v/>
      </c>
      <c r="I988" s="53" t="str">
        <f t="shared" si="46"/>
        <v/>
      </c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47"/>
        <v>977</v>
      </c>
      <c r="E989" s="10" t="str">
        <f t="shared" si="45"/>
        <v/>
      </c>
      <c r="I989" s="53" t="str">
        <f t="shared" si="46"/>
        <v/>
      </c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47"/>
        <v>978</v>
      </c>
      <c r="E990" s="10" t="str">
        <f t="shared" si="45"/>
        <v/>
      </c>
      <c r="I990" s="53" t="str">
        <f t="shared" si="46"/>
        <v/>
      </c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47"/>
        <v>979</v>
      </c>
      <c r="E991" s="10" t="str">
        <f t="shared" si="45"/>
        <v/>
      </c>
      <c r="I991" s="53" t="str">
        <f t="shared" si="46"/>
        <v/>
      </c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47"/>
        <v>980</v>
      </c>
      <c r="E992" s="10" t="str">
        <f t="shared" si="45"/>
        <v/>
      </c>
      <c r="I992" s="53" t="str">
        <f t="shared" si="46"/>
        <v/>
      </c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47"/>
        <v>981</v>
      </c>
      <c r="E993" s="10" t="str">
        <f t="shared" si="45"/>
        <v/>
      </c>
      <c r="I993" s="53" t="str">
        <f t="shared" si="46"/>
        <v/>
      </c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47"/>
        <v>982</v>
      </c>
      <c r="E994" s="10" t="str">
        <f t="shared" si="45"/>
        <v/>
      </c>
      <c r="I994" s="53" t="str">
        <f t="shared" si="46"/>
        <v/>
      </c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47"/>
        <v>983</v>
      </c>
      <c r="E995" s="10" t="str">
        <f t="shared" si="45"/>
        <v/>
      </c>
      <c r="I995" s="53" t="str">
        <f t="shared" si="46"/>
        <v/>
      </c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47"/>
        <v>984</v>
      </c>
      <c r="E996" s="10" t="str">
        <f t="shared" si="45"/>
        <v/>
      </c>
      <c r="I996" s="53" t="str">
        <f t="shared" si="46"/>
        <v/>
      </c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47"/>
        <v>985</v>
      </c>
      <c r="E997" s="10" t="str">
        <f t="shared" si="45"/>
        <v/>
      </c>
      <c r="I997" s="53" t="str">
        <f t="shared" si="46"/>
        <v/>
      </c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47"/>
        <v>986</v>
      </c>
      <c r="E998" s="10" t="str">
        <f t="shared" si="45"/>
        <v/>
      </c>
      <c r="I998" s="53" t="str">
        <f t="shared" si="46"/>
        <v/>
      </c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47"/>
        <v>987</v>
      </c>
      <c r="E999" s="10" t="str">
        <f t="shared" si="45"/>
        <v/>
      </c>
      <c r="I999" s="53" t="str">
        <f t="shared" si="46"/>
        <v/>
      </c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47"/>
        <v>988</v>
      </c>
      <c r="E1000" s="10" t="str">
        <f t="shared" si="45"/>
        <v/>
      </c>
      <c r="I1000" s="53" t="str">
        <f t="shared" si="46"/>
        <v/>
      </c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47"/>
        <v>989</v>
      </c>
      <c r="E1001" s="10" t="str">
        <f t="shared" si="45"/>
        <v/>
      </c>
      <c r="I1001" s="53" t="str">
        <f t="shared" si="46"/>
        <v/>
      </c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47"/>
        <v>990</v>
      </c>
      <c r="E1002" s="10" t="str">
        <f t="shared" si="45"/>
        <v/>
      </c>
      <c r="I1002" s="53" t="str">
        <f t="shared" si="46"/>
        <v/>
      </c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47"/>
        <v>991</v>
      </c>
      <c r="E1003" s="10" t="str">
        <f t="shared" si="45"/>
        <v/>
      </c>
      <c r="I1003" s="53" t="str">
        <f t="shared" si="46"/>
        <v/>
      </c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47"/>
        <v>992</v>
      </c>
      <c r="E1004" s="10" t="str">
        <f t="shared" si="45"/>
        <v/>
      </c>
      <c r="I1004" s="53" t="str">
        <f t="shared" si="46"/>
        <v/>
      </c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47"/>
        <v>993</v>
      </c>
      <c r="E1005" s="10" t="str">
        <f t="shared" si="45"/>
        <v/>
      </c>
      <c r="I1005" s="53" t="str">
        <f t="shared" si="46"/>
        <v/>
      </c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47"/>
        <v>994</v>
      </c>
      <c r="E1006" s="10" t="str">
        <f t="shared" si="45"/>
        <v/>
      </c>
      <c r="I1006" s="53" t="str">
        <f t="shared" si="46"/>
        <v/>
      </c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47"/>
        <v>995</v>
      </c>
      <c r="E1007" s="10" t="str">
        <f t="shared" si="45"/>
        <v/>
      </c>
      <c r="I1007" s="53" t="str">
        <f t="shared" si="46"/>
        <v/>
      </c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47"/>
        <v>996</v>
      </c>
      <c r="E1008" s="10" t="str">
        <f t="shared" si="45"/>
        <v/>
      </c>
      <c r="I1008" s="53" t="str">
        <f t="shared" si="46"/>
        <v/>
      </c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47"/>
        <v>997</v>
      </c>
      <c r="E1009" s="10" t="str">
        <f t="shared" si="45"/>
        <v/>
      </c>
      <c r="I1009" s="53" t="str">
        <f t="shared" si="46"/>
        <v/>
      </c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47"/>
        <v>998</v>
      </c>
      <c r="E1010" s="10" t="str">
        <f t="shared" si="45"/>
        <v/>
      </c>
      <c r="I1010" s="53" t="str">
        <f t="shared" si="46"/>
        <v/>
      </c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47"/>
        <v>999</v>
      </c>
      <c r="E1011" s="10" t="str">
        <f t="shared" si="45"/>
        <v/>
      </c>
      <c r="I1011" s="53" t="str">
        <f t="shared" si="46"/>
        <v/>
      </c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47"/>
        <v>1000</v>
      </c>
      <c r="E1012" s="10" t="str">
        <f t="shared" si="45"/>
        <v/>
      </c>
      <c r="I1012" s="53" t="str">
        <f t="shared" si="46"/>
        <v/>
      </c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47"/>
        <v>1001</v>
      </c>
      <c r="E1013" s="10" t="str">
        <f t="shared" si="45"/>
        <v/>
      </c>
      <c r="I1013" s="53" t="str">
        <f t="shared" si="46"/>
        <v/>
      </c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47"/>
        <v>1002</v>
      </c>
      <c r="E1014" s="10" t="str">
        <f t="shared" si="45"/>
        <v/>
      </c>
      <c r="I1014" s="53" t="str">
        <f t="shared" si="46"/>
        <v/>
      </c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47"/>
        <v>1003</v>
      </c>
      <c r="E1015" s="10" t="str">
        <f t="shared" si="45"/>
        <v/>
      </c>
      <c r="I1015" s="53" t="str">
        <f t="shared" si="46"/>
        <v/>
      </c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47"/>
        <v>1004</v>
      </c>
      <c r="E1016" s="10" t="str">
        <f t="shared" si="45"/>
        <v/>
      </c>
      <c r="I1016" s="53" t="str">
        <f t="shared" si="46"/>
        <v/>
      </c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47"/>
        <v>1005</v>
      </c>
      <c r="E1017" s="10" t="str">
        <f t="shared" si="45"/>
        <v/>
      </c>
      <c r="I1017" s="53" t="str">
        <f t="shared" si="46"/>
        <v/>
      </c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47"/>
        <v>1006</v>
      </c>
      <c r="E1018" s="10" t="str">
        <f t="shared" si="45"/>
        <v/>
      </c>
      <c r="I1018" s="53" t="str">
        <f t="shared" si="46"/>
        <v/>
      </c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47"/>
        <v>1007</v>
      </c>
      <c r="E1019" s="10" t="str">
        <f t="shared" si="45"/>
        <v/>
      </c>
      <c r="I1019" s="53" t="str">
        <f t="shared" si="46"/>
        <v/>
      </c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47"/>
        <v>1008</v>
      </c>
      <c r="E1020" s="10" t="str">
        <f t="shared" si="45"/>
        <v/>
      </c>
      <c r="I1020" s="53" t="str">
        <f t="shared" si="46"/>
        <v/>
      </c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47"/>
        <v>1009</v>
      </c>
      <c r="E1021" s="10" t="str">
        <f t="shared" si="45"/>
        <v/>
      </c>
      <c r="I1021" s="53" t="str">
        <f t="shared" si="46"/>
        <v/>
      </c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47"/>
        <v>1010</v>
      </c>
      <c r="E1022" s="10" t="str">
        <f t="shared" si="45"/>
        <v/>
      </c>
      <c r="I1022" s="53" t="str">
        <f t="shared" si="46"/>
        <v/>
      </c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47"/>
        <v>1011</v>
      </c>
      <c r="E1023" s="10" t="str">
        <f t="shared" si="45"/>
        <v/>
      </c>
      <c r="I1023" s="53" t="str">
        <f t="shared" si="46"/>
        <v/>
      </c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47"/>
        <v>1012</v>
      </c>
      <c r="E1024" s="10" t="str">
        <f t="shared" si="45"/>
        <v/>
      </c>
      <c r="I1024" s="53" t="str">
        <f t="shared" si="46"/>
        <v/>
      </c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47"/>
        <v>1013</v>
      </c>
      <c r="E1025" s="10" t="str">
        <f t="shared" si="45"/>
        <v/>
      </c>
      <c r="I1025" s="53" t="str">
        <f t="shared" si="46"/>
        <v/>
      </c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47"/>
        <v>1014</v>
      </c>
      <c r="E1026" s="10" t="str">
        <f t="shared" si="45"/>
        <v/>
      </c>
      <c r="I1026" s="53" t="str">
        <f t="shared" si="46"/>
        <v/>
      </c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47"/>
        <v>1015</v>
      </c>
      <c r="E1027" s="10" t="str">
        <f t="shared" si="45"/>
        <v/>
      </c>
      <c r="I1027" s="53" t="str">
        <f t="shared" si="46"/>
        <v/>
      </c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47"/>
        <v>1016</v>
      </c>
      <c r="E1028" s="10" t="str">
        <f t="shared" si="45"/>
        <v/>
      </c>
      <c r="I1028" s="53" t="str">
        <f t="shared" si="46"/>
        <v/>
      </c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47"/>
        <v>1017</v>
      </c>
      <c r="E1029" s="10" t="str">
        <f t="shared" si="45"/>
        <v/>
      </c>
      <c r="I1029" s="53" t="str">
        <f t="shared" si="46"/>
        <v/>
      </c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47"/>
        <v>1018</v>
      </c>
      <c r="E1030" s="10" t="str">
        <f t="shared" si="45"/>
        <v/>
      </c>
      <c r="I1030" s="53" t="str">
        <f t="shared" si="46"/>
        <v/>
      </c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47"/>
        <v>1019</v>
      </c>
      <c r="E1031" s="10" t="str">
        <f t="shared" si="45"/>
        <v/>
      </c>
      <c r="I1031" s="53" t="str">
        <f t="shared" si="46"/>
        <v/>
      </c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47"/>
        <v>1020</v>
      </c>
      <c r="E1032" s="10" t="str">
        <f t="shared" si="45"/>
        <v/>
      </c>
      <c r="I1032" s="53" t="str">
        <f t="shared" si="46"/>
        <v/>
      </c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47"/>
        <v>1021</v>
      </c>
      <c r="E1033" s="10" t="str">
        <f t="shared" si="45"/>
        <v/>
      </c>
      <c r="I1033" s="53" t="str">
        <f t="shared" si="46"/>
        <v/>
      </c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47"/>
        <v>1022</v>
      </c>
      <c r="E1034" s="10" t="str">
        <f t="shared" si="45"/>
        <v/>
      </c>
      <c r="I1034" s="53" t="str">
        <f t="shared" si="46"/>
        <v/>
      </c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47"/>
        <v>1023</v>
      </c>
      <c r="E1035" s="10" t="str">
        <f t="shared" si="45"/>
        <v/>
      </c>
      <c r="I1035" s="53" t="str">
        <f t="shared" si="46"/>
        <v/>
      </c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47"/>
        <v>1024</v>
      </c>
      <c r="E1036" s="10" t="str">
        <f t="shared" si="45"/>
        <v/>
      </c>
      <c r="I1036" s="53" t="str">
        <f t="shared" si="46"/>
        <v/>
      </c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47"/>
        <v>1025</v>
      </c>
      <c r="E1037" s="10" t="str">
        <f t="shared" ref="E1037:E1100" si="48">IF($C$8&gt;=A1037,$E$1&amp;" "&amp;A1037,"")</f>
        <v/>
      </c>
      <c r="I1037" s="53" t="str">
        <f t="shared" si="46"/>
        <v/>
      </c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47"/>
        <v>1026</v>
      </c>
      <c r="E1038" s="10" t="str">
        <f t="shared" si="48"/>
        <v/>
      </c>
      <c r="I1038" s="53" t="str">
        <f t="shared" ref="I1038:I1101" si="49">IF(E1038="","",F1038-G1038-H1038)</f>
        <v/>
      </c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50">A1038+1</f>
        <v>1027</v>
      </c>
      <c r="E1039" s="10" t="str">
        <f t="shared" si="48"/>
        <v/>
      </c>
      <c r="I1039" s="53" t="str">
        <f t="shared" si="49"/>
        <v/>
      </c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50"/>
        <v>1028</v>
      </c>
      <c r="E1040" s="10" t="str">
        <f t="shared" si="48"/>
        <v/>
      </c>
      <c r="I1040" s="53" t="str">
        <f t="shared" si="49"/>
        <v/>
      </c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50"/>
        <v>1029</v>
      </c>
      <c r="E1041" s="10" t="str">
        <f t="shared" si="48"/>
        <v/>
      </c>
      <c r="I1041" s="53" t="str">
        <f t="shared" si="49"/>
        <v/>
      </c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50"/>
        <v>1030</v>
      </c>
      <c r="E1042" s="10" t="str">
        <f t="shared" si="48"/>
        <v/>
      </c>
      <c r="I1042" s="53" t="str">
        <f t="shared" si="49"/>
        <v/>
      </c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50"/>
        <v>1031</v>
      </c>
      <c r="E1043" s="10" t="str">
        <f t="shared" si="48"/>
        <v/>
      </c>
      <c r="I1043" s="53" t="str">
        <f t="shared" si="49"/>
        <v/>
      </c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50"/>
        <v>1032</v>
      </c>
      <c r="E1044" s="10" t="str">
        <f t="shared" si="48"/>
        <v/>
      </c>
      <c r="I1044" s="53" t="str">
        <f t="shared" si="49"/>
        <v/>
      </c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50"/>
        <v>1033</v>
      </c>
      <c r="E1045" s="10" t="str">
        <f t="shared" si="48"/>
        <v/>
      </c>
      <c r="I1045" s="53" t="str">
        <f t="shared" si="49"/>
        <v/>
      </c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50"/>
        <v>1034</v>
      </c>
      <c r="E1046" s="10" t="str">
        <f t="shared" si="48"/>
        <v/>
      </c>
      <c r="I1046" s="53" t="str">
        <f t="shared" si="49"/>
        <v/>
      </c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50"/>
        <v>1035</v>
      </c>
      <c r="E1047" s="10" t="str">
        <f t="shared" si="48"/>
        <v/>
      </c>
      <c r="I1047" s="53" t="str">
        <f t="shared" si="49"/>
        <v/>
      </c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50"/>
        <v>1036</v>
      </c>
      <c r="E1048" s="10" t="str">
        <f t="shared" si="48"/>
        <v/>
      </c>
      <c r="I1048" s="53" t="str">
        <f t="shared" si="49"/>
        <v/>
      </c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50"/>
        <v>1037</v>
      </c>
      <c r="E1049" s="10" t="str">
        <f t="shared" si="48"/>
        <v/>
      </c>
      <c r="I1049" s="53" t="str">
        <f t="shared" si="49"/>
        <v/>
      </c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50"/>
        <v>1038</v>
      </c>
      <c r="E1050" s="10" t="str">
        <f t="shared" si="48"/>
        <v/>
      </c>
      <c r="I1050" s="53" t="str">
        <f t="shared" si="49"/>
        <v/>
      </c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50"/>
        <v>1039</v>
      </c>
      <c r="E1051" s="10" t="str">
        <f t="shared" si="48"/>
        <v/>
      </c>
      <c r="I1051" s="53" t="str">
        <f t="shared" si="49"/>
        <v/>
      </c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50"/>
        <v>1040</v>
      </c>
      <c r="E1052" s="10" t="str">
        <f t="shared" si="48"/>
        <v/>
      </c>
      <c r="I1052" s="53" t="str">
        <f t="shared" si="49"/>
        <v/>
      </c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50"/>
        <v>1041</v>
      </c>
      <c r="E1053" s="10" t="str">
        <f t="shared" si="48"/>
        <v/>
      </c>
      <c r="I1053" s="53" t="str">
        <f t="shared" si="49"/>
        <v/>
      </c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50"/>
        <v>1042</v>
      </c>
      <c r="E1054" s="10" t="str">
        <f t="shared" si="48"/>
        <v/>
      </c>
      <c r="I1054" s="53" t="str">
        <f t="shared" si="49"/>
        <v/>
      </c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50"/>
        <v>1043</v>
      </c>
      <c r="E1055" s="10" t="str">
        <f t="shared" si="48"/>
        <v/>
      </c>
      <c r="I1055" s="53" t="str">
        <f t="shared" si="49"/>
        <v/>
      </c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50"/>
        <v>1044</v>
      </c>
      <c r="E1056" s="10" t="str">
        <f t="shared" si="48"/>
        <v/>
      </c>
      <c r="I1056" s="53" t="str">
        <f t="shared" si="49"/>
        <v/>
      </c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50"/>
        <v>1045</v>
      </c>
      <c r="E1057" s="10" t="str">
        <f t="shared" si="48"/>
        <v/>
      </c>
      <c r="I1057" s="53" t="str">
        <f t="shared" si="49"/>
        <v/>
      </c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50"/>
        <v>1046</v>
      </c>
      <c r="E1058" s="10" t="str">
        <f t="shared" si="48"/>
        <v/>
      </c>
      <c r="I1058" s="53" t="str">
        <f t="shared" si="49"/>
        <v/>
      </c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50"/>
        <v>1047</v>
      </c>
      <c r="E1059" s="10" t="str">
        <f t="shared" si="48"/>
        <v/>
      </c>
      <c r="I1059" s="53" t="str">
        <f t="shared" si="49"/>
        <v/>
      </c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50"/>
        <v>1048</v>
      </c>
      <c r="E1060" s="10" t="str">
        <f t="shared" si="48"/>
        <v/>
      </c>
      <c r="I1060" s="53" t="str">
        <f t="shared" si="49"/>
        <v/>
      </c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50"/>
        <v>1049</v>
      </c>
      <c r="E1061" s="10" t="str">
        <f t="shared" si="48"/>
        <v/>
      </c>
      <c r="I1061" s="53" t="str">
        <f t="shared" si="49"/>
        <v/>
      </c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50"/>
        <v>1050</v>
      </c>
      <c r="E1062" s="10" t="str">
        <f t="shared" si="48"/>
        <v/>
      </c>
      <c r="I1062" s="53" t="str">
        <f t="shared" si="49"/>
        <v/>
      </c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50"/>
        <v>1051</v>
      </c>
      <c r="E1063" s="10" t="str">
        <f t="shared" si="48"/>
        <v/>
      </c>
      <c r="I1063" s="53" t="str">
        <f t="shared" si="49"/>
        <v/>
      </c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50"/>
        <v>1052</v>
      </c>
      <c r="E1064" s="10" t="str">
        <f t="shared" si="48"/>
        <v/>
      </c>
      <c r="I1064" s="53" t="str">
        <f t="shared" si="49"/>
        <v/>
      </c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50"/>
        <v>1053</v>
      </c>
      <c r="E1065" s="10" t="str">
        <f t="shared" si="48"/>
        <v/>
      </c>
      <c r="I1065" s="53" t="str">
        <f t="shared" si="49"/>
        <v/>
      </c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50"/>
        <v>1054</v>
      </c>
      <c r="E1066" s="10" t="str">
        <f t="shared" si="48"/>
        <v/>
      </c>
      <c r="I1066" s="53" t="str">
        <f t="shared" si="49"/>
        <v/>
      </c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50"/>
        <v>1055</v>
      </c>
      <c r="E1067" s="10" t="str">
        <f t="shared" si="48"/>
        <v/>
      </c>
      <c r="I1067" s="53" t="str">
        <f t="shared" si="49"/>
        <v/>
      </c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50"/>
        <v>1056</v>
      </c>
      <c r="E1068" s="10" t="str">
        <f t="shared" si="48"/>
        <v/>
      </c>
      <c r="I1068" s="53" t="str">
        <f t="shared" si="49"/>
        <v/>
      </c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50"/>
        <v>1057</v>
      </c>
      <c r="E1069" s="10" t="str">
        <f t="shared" si="48"/>
        <v/>
      </c>
      <c r="I1069" s="53" t="str">
        <f t="shared" si="49"/>
        <v/>
      </c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50"/>
        <v>1058</v>
      </c>
      <c r="E1070" s="10" t="str">
        <f t="shared" si="48"/>
        <v/>
      </c>
      <c r="I1070" s="53" t="str">
        <f t="shared" si="49"/>
        <v/>
      </c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50"/>
        <v>1059</v>
      </c>
      <c r="E1071" s="10" t="str">
        <f t="shared" si="48"/>
        <v/>
      </c>
      <c r="I1071" s="53" t="str">
        <f t="shared" si="49"/>
        <v/>
      </c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50"/>
        <v>1060</v>
      </c>
      <c r="E1072" s="10" t="str">
        <f t="shared" si="48"/>
        <v/>
      </c>
      <c r="I1072" s="53" t="str">
        <f t="shared" si="49"/>
        <v/>
      </c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50"/>
        <v>1061</v>
      </c>
      <c r="E1073" s="10" t="str">
        <f t="shared" si="48"/>
        <v/>
      </c>
      <c r="I1073" s="53" t="str">
        <f t="shared" si="49"/>
        <v/>
      </c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50"/>
        <v>1062</v>
      </c>
      <c r="E1074" s="10" t="str">
        <f t="shared" si="48"/>
        <v/>
      </c>
      <c r="I1074" s="53" t="str">
        <f t="shared" si="49"/>
        <v/>
      </c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50"/>
        <v>1063</v>
      </c>
      <c r="E1075" s="10" t="str">
        <f t="shared" si="48"/>
        <v/>
      </c>
      <c r="I1075" s="53" t="str">
        <f t="shared" si="49"/>
        <v/>
      </c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50"/>
        <v>1064</v>
      </c>
      <c r="E1076" s="10" t="str">
        <f t="shared" si="48"/>
        <v/>
      </c>
      <c r="I1076" s="53" t="str">
        <f t="shared" si="49"/>
        <v/>
      </c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50"/>
        <v>1065</v>
      </c>
      <c r="E1077" s="10" t="str">
        <f t="shared" si="48"/>
        <v/>
      </c>
      <c r="I1077" s="53" t="str">
        <f t="shared" si="49"/>
        <v/>
      </c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50"/>
        <v>1066</v>
      </c>
      <c r="E1078" s="10" t="str">
        <f t="shared" si="48"/>
        <v/>
      </c>
      <c r="I1078" s="53" t="str">
        <f t="shared" si="49"/>
        <v/>
      </c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50"/>
        <v>1067</v>
      </c>
      <c r="E1079" s="10" t="str">
        <f t="shared" si="48"/>
        <v/>
      </c>
      <c r="I1079" s="53" t="str">
        <f t="shared" si="49"/>
        <v/>
      </c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50"/>
        <v>1068</v>
      </c>
      <c r="E1080" s="10" t="str">
        <f t="shared" si="48"/>
        <v/>
      </c>
      <c r="I1080" s="53" t="str">
        <f t="shared" si="49"/>
        <v/>
      </c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50"/>
        <v>1069</v>
      </c>
      <c r="E1081" s="10" t="str">
        <f t="shared" si="48"/>
        <v/>
      </c>
      <c r="I1081" s="53" t="str">
        <f t="shared" si="49"/>
        <v/>
      </c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50"/>
        <v>1070</v>
      </c>
      <c r="E1082" s="10" t="str">
        <f t="shared" si="48"/>
        <v/>
      </c>
      <c r="I1082" s="53" t="str">
        <f t="shared" si="49"/>
        <v/>
      </c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50"/>
        <v>1071</v>
      </c>
      <c r="E1083" s="10" t="str">
        <f t="shared" si="48"/>
        <v/>
      </c>
      <c r="I1083" s="53" t="str">
        <f t="shared" si="49"/>
        <v/>
      </c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50"/>
        <v>1072</v>
      </c>
      <c r="E1084" s="10" t="str">
        <f t="shared" si="48"/>
        <v/>
      </c>
      <c r="I1084" s="53" t="str">
        <f t="shared" si="49"/>
        <v/>
      </c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50"/>
        <v>1073</v>
      </c>
      <c r="E1085" s="10" t="str">
        <f t="shared" si="48"/>
        <v/>
      </c>
      <c r="I1085" s="53" t="str">
        <f t="shared" si="49"/>
        <v/>
      </c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50"/>
        <v>1074</v>
      </c>
      <c r="E1086" s="10" t="str">
        <f t="shared" si="48"/>
        <v/>
      </c>
      <c r="I1086" s="53" t="str">
        <f t="shared" si="49"/>
        <v/>
      </c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50"/>
        <v>1075</v>
      </c>
      <c r="E1087" s="10" t="str">
        <f t="shared" si="48"/>
        <v/>
      </c>
      <c r="I1087" s="53" t="str">
        <f t="shared" si="49"/>
        <v/>
      </c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50"/>
        <v>1076</v>
      </c>
      <c r="E1088" s="10" t="str">
        <f t="shared" si="48"/>
        <v/>
      </c>
      <c r="I1088" s="53" t="str">
        <f t="shared" si="49"/>
        <v/>
      </c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50"/>
        <v>1077</v>
      </c>
      <c r="E1089" s="10" t="str">
        <f t="shared" si="48"/>
        <v/>
      </c>
      <c r="I1089" s="53" t="str">
        <f t="shared" si="49"/>
        <v/>
      </c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50"/>
        <v>1078</v>
      </c>
      <c r="E1090" s="10" t="str">
        <f t="shared" si="48"/>
        <v/>
      </c>
      <c r="I1090" s="53" t="str">
        <f t="shared" si="49"/>
        <v/>
      </c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50"/>
        <v>1079</v>
      </c>
      <c r="E1091" s="10" t="str">
        <f t="shared" si="48"/>
        <v/>
      </c>
      <c r="I1091" s="53" t="str">
        <f t="shared" si="49"/>
        <v/>
      </c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50"/>
        <v>1080</v>
      </c>
      <c r="E1092" s="10" t="str">
        <f t="shared" si="48"/>
        <v/>
      </c>
      <c r="I1092" s="53" t="str">
        <f t="shared" si="49"/>
        <v/>
      </c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50"/>
        <v>1081</v>
      </c>
      <c r="E1093" s="10" t="str">
        <f t="shared" si="48"/>
        <v/>
      </c>
      <c r="I1093" s="53" t="str">
        <f t="shared" si="49"/>
        <v/>
      </c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50"/>
        <v>1082</v>
      </c>
      <c r="E1094" s="10" t="str">
        <f t="shared" si="48"/>
        <v/>
      </c>
      <c r="I1094" s="53" t="str">
        <f t="shared" si="49"/>
        <v/>
      </c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50"/>
        <v>1083</v>
      </c>
      <c r="E1095" s="10" t="str">
        <f t="shared" si="48"/>
        <v/>
      </c>
      <c r="I1095" s="53" t="str">
        <f t="shared" si="49"/>
        <v/>
      </c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50"/>
        <v>1084</v>
      </c>
      <c r="E1096" s="10" t="str">
        <f t="shared" si="48"/>
        <v/>
      </c>
      <c r="I1096" s="53" t="str">
        <f t="shared" si="49"/>
        <v/>
      </c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50"/>
        <v>1085</v>
      </c>
      <c r="E1097" s="10" t="str">
        <f t="shared" si="48"/>
        <v/>
      </c>
      <c r="I1097" s="53" t="str">
        <f t="shared" si="49"/>
        <v/>
      </c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50"/>
        <v>1086</v>
      </c>
      <c r="E1098" s="10" t="str">
        <f t="shared" si="48"/>
        <v/>
      </c>
      <c r="I1098" s="53" t="str">
        <f t="shared" si="49"/>
        <v/>
      </c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50"/>
        <v>1087</v>
      </c>
      <c r="E1099" s="10" t="str">
        <f t="shared" si="48"/>
        <v/>
      </c>
      <c r="I1099" s="53" t="str">
        <f t="shared" si="49"/>
        <v/>
      </c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50"/>
        <v>1088</v>
      </c>
      <c r="E1100" s="10" t="str">
        <f t="shared" si="48"/>
        <v/>
      </c>
      <c r="I1100" s="53" t="str">
        <f t="shared" si="49"/>
        <v/>
      </c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50"/>
        <v>1089</v>
      </c>
      <c r="E1101" s="10" t="str">
        <f t="shared" ref="E1101:E1164" si="51">IF($C$8&gt;=A1101,$E$1&amp;" "&amp;A1101,"")</f>
        <v/>
      </c>
      <c r="I1101" s="53" t="str">
        <f t="shared" si="49"/>
        <v/>
      </c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50"/>
        <v>1090</v>
      </c>
      <c r="E1102" s="10" t="str">
        <f t="shared" si="51"/>
        <v/>
      </c>
      <c r="I1102" s="53" t="str">
        <f t="shared" ref="I1102:I1165" si="52">IF(E1102="","",F1102-G1102-H1102)</f>
        <v/>
      </c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53">A1102+1</f>
        <v>1091</v>
      </c>
      <c r="E1103" s="10" t="str">
        <f t="shared" si="51"/>
        <v/>
      </c>
      <c r="I1103" s="53" t="str">
        <f t="shared" si="52"/>
        <v/>
      </c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53"/>
        <v>1092</v>
      </c>
      <c r="E1104" s="10" t="str">
        <f t="shared" si="51"/>
        <v/>
      </c>
      <c r="I1104" s="53" t="str">
        <f t="shared" si="52"/>
        <v/>
      </c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53"/>
        <v>1093</v>
      </c>
      <c r="E1105" s="10" t="str">
        <f t="shared" si="51"/>
        <v/>
      </c>
      <c r="I1105" s="53" t="str">
        <f t="shared" si="52"/>
        <v/>
      </c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53"/>
        <v>1094</v>
      </c>
      <c r="E1106" s="10" t="str">
        <f t="shared" si="51"/>
        <v/>
      </c>
      <c r="I1106" s="53" t="str">
        <f t="shared" si="52"/>
        <v/>
      </c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53"/>
        <v>1095</v>
      </c>
      <c r="E1107" s="10" t="str">
        <f t="shared" si="51"/>
        <v/>
      </c>
      <c r="I1107" s="53" t="str">
        <f t="shared" si="52"/>
        <v/>
      </c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53"/>
        <v>1096</v>
      </c>
      <c r="E1108" s="10" t="str">
        <f t="shared" si="51"/>
        <v/>
      </c>
      <c r="I1108" s="53" t="str">
        <f t="shared" si="52"/>
        <v/>
      </c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53"/>
        <v>1097</v>
      </c>
      <c r="E1109" s="10" t="str">
        <f t="shared" si="51"/>
        <v/>
      </c>
      <c r="I1109" s="53" t="str">
        <f t="shared" si="52"/>
        <v/>
      </c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53"/>
        <v>1098</v>
      </c>
      <c r="E1110" s="10" t="str">
        <f t="shared" si="51"/>
        <v/>
      </c>
      <c r="I1110" s="53" t="str">
        <f t="shared" si="52"/>
        <v/>
      </c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53"/>
        <v>1099</v>
      </c>
      <c r="E1111" s="10" t="str">
        <f t="shared" si="51"/>
        <v/>
      </c>
      <c r="I1111" s="53" t="str">
        <f t="shared" si="52"/>
        <v/>
      </c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53"/>
        <v>1100</v>
      </c>
      <c r="E1112" s="10" t="str">
        <f t="shared" si="51"/>
        <v/>
      </c>
      <c r="I1112" s="53" t="str">
        <f t="shared" si="52"/>
        <v/>
      </c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53"/>
        <v>1101</v>
      </c>
      <c r="E1113" s="10" t="str">
        <f t="shared" si="51"/>
        <v/>
      </c>
      <c r="I1113" s="53" t="str">
        <f t="shared" si="52"/>
        <v/>
      </c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53"/>
        <v>1102</v>
      </c>
      <c r="E1114" s="10" t="str">
        <f t="shared" si="51"/>
        <v/>
      </c>
      <c r="I1114" s="53" t="str">
        <f t="shared" si="52"/>
        <v/>
      </c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53"/>
        <v>1103</v>
      </c>
      <c r="E1115" s="10" t="str">
        <f t="shared" si="51"/>
        <v/>
      </c>
      <c r="I1115" s="53" t="str">
        <f t="shared" si="52"/>
        <v/>
      </c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53"/>
        <v>1104</v>
      </c>
      <c r="E1116" s="10" t="str">
        <f t="shared" si="51"/>
        <v/>
      </c>
      <c r="I1116" s="53" t="str">
        <f t="shared" si="52"/>
        <v/>
      </c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53"/>
        <v>1105</v>
      </c>
      <c r="E1117" s="10" t="str">
        <f t="shared" si="51"/>
        <v/>
      </c>
      <c r="I1117" s="53" t="str">
        <f t="shared" si="52"/>
        <v/>
      </c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53"/>
        <v>1106</v>
      </c>
      <c r="E1118" s="10" t="str">
        <f t="shared" si="51"/>
        <v/>
      </c>
      <c r="I1118" s="53" t="str">
        <f t="shared" si="52"/>
        <v/>
      </c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53"/>
        <v>1107</v>
      </c>
      <c r="E1119" s="10" t="str">
        <f t="shared" si="51"/>
        <v/>
      </c>
      <c r="I1119" s="53" t="str">
        <f t="shared" si="52"/>
        <v/>
      </c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53"/>
        <v>1108</v>
      </c>
      <c r="E1120" s="10" t="str">
        <f t="shared" si="51"/>
        <v/>
      </c>
      <c r="I1120" s="53" t="str">
        <f t="shared" si="52"/>
        <v/>
      </c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53"/>
        <v>1109</v>
      </c>
      <c r="E1121" s="10" t="str">
        <f t="shared" si="51"/>
        <v/>
      </c>
      <c r="I1121" s="53" t="str">
        <f t="shared" si="52"/>
        <v/>
      </c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53"/>
        <v>1110</v>
      </c>
      <c r="E1122" s="10" t="str">
        <f t="shared" si="51"/>
        <v/>
      </c>
      <c r="I1122" s="53" t="str">
        <f t="shared" si="52"/>
        <v/>
      </c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53"/>
        <v>1111</v>
      </c>
      <c r="E1123" s="10" t="str">
        <f t="shared" si="51"/>
        <v/>
      </c>
      <c r="I1123" s="53" t="str">
        <f t="shared" si="52"/>
        <v/>
      </c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53"/>
        <v>1112</v>
      </c>
      <c r="E1124" s="10" t="str">
        <f t="shared" si="51"/>
        <v/>
      </c>
      <c r="I1124" s="53" t="str">
        <f t="shared" si="52"/>
        <v/>
      </c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53"/>
        <v>1113</v>
      </c>
      <c r="E1125" s="10" t="str">
        <f t="shared" si="51"/>
        <v/>
      </c>
      <c r="I1125" s="53" t="str">
        <f t="shared" si="52"/>
        <v/>
      </c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53"/>
        <v>1114</v>
      </c>
      <c r="E1126" s="10" t="str">
        <f t="shared" si="51"/>
        <v/>
      </c>
      <c r="I1126" s="53" t="str">
        <f t="shared" si="52"/>
        <v/>
      </c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53"/>
        <v>1115</v>
      </c>
      <c r="E1127" s="10" t="str">
        <f t="shared" si="51"/>
        <v/>
      </c>
      <c r="I1127" s="53" t="str">
        <f t="shared" si="52"/>
        <v/>
      </c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53"/>
        <v>1116</v>
      </c>
      <c r="E1128" s="10" t="str">
        <f t="shared" si="51"/>
        <v/>
      </c>
      <c r="I1128" s="53" t="str">
        <f t="shared" si="52"/>
        <v/>
      </c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53"/>
        <v>1117</v>
      </c>
      <c r="E1129" s="10" t="str">
        <f t="shared" si="51"/>
        <v/>
      </c>
      <c r="I1129" s="53" t="str">
        <f t="shared" si="52"/>
        <v/>
      </c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53"/>
        <v>1118</v>
      </c>
      <c r="E1130" s="10" t="str">
        <f t="shared" si="51"/>
        <v/>
      </c>
      <c r="I1130" s="53" t="str">
        <f t="shared" si="52"/>
        <v/>
      </c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53"/>
        <v>1119</v>
      </c>
      <c r="E1131" s="10" t="str">
        <f t="shared" si="51"/>
        <v/>
      </c>
      <c r="I1131" s="53" t="str">
        <f t="shared" si="52"/>
        <v/>
      </c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53"/>
        <v>1120</v>
      </c>
      <c r="E1132" s="10" t="str">
        <f t="shared" si="51"/>
        <v/>
      </c>
      <c r="I1132" s="53" t="str">
        <f t="shared" si="52"/>
        <v/>
      </c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53"/>
        <v>1121</v>
      </c>
      <c r="E1133" s="10" t="str">
        <f t="shared" si="51"/>
        <v/>
      </c>
      <c r="I1133" s="53" t="str">
        <f t="shared" si="52"/>
        <v/>
      </c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53"/>
        <v>1122</v>
      </c>
      <c r="E1134" s="10" t="str">
        <f t="shared" si="51"/>
        <v/>
      </c>
      <c r="I1134" s="53" t="str">
        <f t="shared" si="52"/>
        <v/>
      </c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53"/>
        <v>1123</v>
      </c>
      <c r="E1135" s="10" t="str">
        <f t="shared" si="51"/>
        <v/>
      </c>
      <c r="I1135" s="53" t="str">
        <f t="shared" si="52"/>
        <v/>
      </c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53"/>
        <v>1124</v>
      </c>
      <c r="E1136" s="10" t="str">
        <f t="shared" si="51"/>
        <v/>
      </c>
      <c r="I1136" s="53" t="str">
        <f t="shared" si="52"/>
        <v/>
      </c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53"/>
        <v>1125</v>
      </c>
      <c r="E1137" s="10" t="str">
        <f t="shared" si="51"/>
        <v/>
      </c>
      <c r="I1137" s="53" t="str">
        <f t="shared" si="52"/>
        <v/>
      </c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53"/>
        <v>1126</v>
      </c>
      <c r="E1138" s="10" t="str">
        <f t="shared" si="51"/>
        <v/>
      </c>
      <c r="I1138" s="53" t="str">
        <f t="shared" si="52"/>
        <v/>
      </c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53"/>
        <v>1127</v>
      </c>
      <c r="E1139" s="10" t="str">
        <f t="shared" si="51"/>
        <v/>
      </c>
      <c r="I1139" s="53" t="str">
        <f t="shared" si="52"/>
        <v/>
      </c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53"/>
        <v>1128</v>
      </c>
      <c r="E1140" s="10" t="str">
        <f t="shared" si="51"/>
        <v/>
      </c>
      <c r="I1140" s="53" t="str">
        <f t="shared" si="52"/>
        <v/>
      </c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53"/>
        <v>1129</v>
      </c>
      <c r="E1141" s="10" t="str">
        <f t="shared" si="51"/>
        <v/>
      </c>
      <c r="I1141" s="53" t="str">
        <f t="shared" si="52"/>
        <v/>
      </c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53"/>
        <v>1130</v>
      </c>
      <c r="E1142" s="10" t="str">
        <f t="shared" si="51"/>
        <v/>
      </c>
      <c r="I1142" s="53" t="str">
        <f t="shared" si="52"/>
        <v/>
      </c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53"/>
        <v>1131</v>
      </c>
      <c r="E1143" s="10" t="str">
        <f t="shared" si="51"/>
        <v/>
      </c>
      <c r="I1143" s="53" t="str">
        <f t="shared" si="52"/>
        <v/>
      </c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53"/>
        <v>1132</v>
      </c>
      <c r="E1144" s="10" t="str">
        <f t="shared" si="51"/>
        <v/>
      </c>
      <c r="I1144" s="53" t="str">
        <f t="shared" si="52"/>
        <v/>
      </c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53"/>
        <v>1133</v>
      </c>
      <c r="E1145" s="10" t="str">
        <f t="shared" si="51"/>
        <v/>
      </c>
      <c r="I1145" s="53" t="str">
        <f t="shared" si="52"/>
        <v/>
      </c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53"/>
        <v>1134</v>
      </c>
      <c r="E1146" s="10" t="str">
        <f t="shared" si="51"/>
        <v/>
      </c>
      <c r="I1146" s="53" t="str">
        <f t="shared" si="52"/>
        <v/>
      </c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53"/>
        <v>1135</v>
      </c>
      <c r="E1147" s="10" t="str">
        <f t="shared" si="51"/>
        <v/>
      </c>
      <c r="I1147" s="53" t="str">
        <f t="shared" si="52"/>
        <v/>
      </c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53"/>
        <v>1136</v>
      </c>
      <c r="E1148" s="10" t="str">
        <f t="shared" si="51"/>
        <v/>
      </c>
      <c r="I1148" s="53" t="str">
        <f t="shared" si="52"/>
        <v/>
      </c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53"/>
        <v>1137</v>
      </c>
      <c r="E1149" s="10" t="str">
        <f t="shared" si="51"/>
        <v/>
      </c>
      <c r="I1149" s="53" t="str">
        <f t="shared" si="52"/>
        <v/>
      </c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53"/>
        <v>1138</v>
      </c>
      <c r="E1150" s="10" t="str">
        <f t="shared" si="51"/>
        <v/>
      </c>
      <c r="I1150" s="53" t="str">
        <f t="shared" si="52"/>
        <v/>
      </c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53"/>
        <v>1139</v>
      </c>
      <c r="E1151" s="10" t="str">
        <f t="shared" si="51"/>
        <v/>
      </c>
      <c r="I1151" s="53" t="str">
        <f t="shared" si="52"/>
        <v/>
      </c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53"/>
        <v>1140</v>
      </c>
      <c r="E1152" s="10" t="str">
        <f t="shared" si="51"/>
        <v/>
      </c>
      <c r="I1152" s="53" t="str">
        <f t="shared" si="52"/>
        <v/>
      </c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53"/>
        <v>1141</v>
      </c>
      <c r="E1153" s="10" t="str">
        <f t="shared" si="51"/>
        <v/>
      </c>
      <c r="I1153" s="53" t="str">
        <f t="shared" si="52"/>
        <v/>
      </c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53"/>
        <v>1142</v>
      </c>
      <c r="E1154" s="10" t="str">
        <f t="shared" si="51"/>
        <v/>
      </c>
      <c r="I1154" s="53" t="str">
        <f t="shared" si="52"/>
        <v/>
      </c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53"/>
        <v>1143</v>
      </c>
      <c r="E1155" s="10" t="str">
        <f t="shared" si="51"/>
        <v/>
      </c>
      <c r="I1155" s="53" t="str">
        <f t="shared" si="52"/>
        <v/>
      </c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53"/>
        <v>1144</v>
      </c>
      <c r="E1156" s="10" t="str">
        <f t="shared" si="51"/>
        <v/>
      </c>
      <c r="I1156" s="53" t="str">
        <f t="shared" si="52"/>
        <v/>
      </c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53"/>
        <v>1145</v>
      </c>
      <c r="E1157" s="10" t="str">
        <f t="shared" si="51"/>
        <v/>
      </c>
      <c r="I1157" s="53" t="str">
        <f t="shared" si="52"/>
        <v/>
      </c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53"/>
        <v>1146</v>
      </c>
      <c r="E1158" s="10" t="str">
        <f t="shared" si="51"/>
        <v/>
      </c>
      <c r="I1158" s="53" t="str">
        <f t="shared" si="52"/>
        <v/>
      </c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53"/>
        <v>1147</v>
      </c>
      <c r="E1159" s="10" t="str">
        <f t="shared" si="51"/>
        <v/>
      </c>
      <c r="I1159" s="53" t="str">
        <f t="shared" si="52"/>
        <v/>
      </c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53"/>
        <v>1148</v>
      </c>
      <c r="E1160" s="10" t="str">
        <f t="shared" si="51"/>
        <v/>
      </c>
      <c r="I1160" s="53" t="str">
        <f t="shared" si="52"/>
        <v/>
      </c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53"/>
        <v>1149</v>
      </c>
      <c r="E1161" s="10" t="str">
        <f t="shared" si="51"/>
        <v/>
      </c>
      <c r="I1161" s="53" t="str">
        <f t="shared" si="52"/>
        <v/>
      </c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53"/>
        <v>1150</v>
      </c>
      <c r="E1162" s="10" t="str">
        <f t="shared" si="51"/>
        <v/>
      </c>
      <c r="I1162" s="53" t="str">
        <f t="shared" si="52"/>
        <v/>
      </c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53"/>
        <v>1151</v>
      </c>
      <c r="E1163" s="10" t="str">
        <f t="shared" si="51"/>
        <v/>
      </c>
      <c r="I1163" s="53" t="str">
        <f t="shared" si="52"/>
        <v/>
      </c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53"/>
        <v>1152</v>
      </c>
      <c r="E1164" s="10" t="str">
        <f t="shared" si="51"/>
        <v/>
      </c>
      <c r="I1164" s="53" t="str">
        <f t="shared" si="52"/>
        <v/>
      </c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53"/>
        <v>1153</v>
      </c>
      <c r="E1165" s="10" t="str">
        <f t="shared" ref="E1165:E1228" si="54">IF($C$8&gt;=A1165,$E$1&amp;" "&amp;A1165,"")</f>
        <v/>
      </c>
      <c r="I1165" s="53" t="str">
        <f t="shared" si="52"/>
        <v/>
      </c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53"/>
        <v>1154</v>
      </c>
      <c r="E1166" s="10" t="str">
        <f t="shared" si="54"/>
        <v/>
      </c>
      <c r="I1166" s="53" t="str">
        <f t="shared" ref="I1166:I1229" si="55">IF(E1166="","",F1166-G1166-H1166)</f>
        <v/>
      </c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56">A1166+1</f>
        <v>1155</v>
      </c>
      <c r="E1167" s="10" t="str">
        <f t="shared" si="54"/>
        <v/>
      </c>
      <c r="I1167" s="53" t="str">
        <f t="shared" si="55"/>
        <v/>
      </c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56"/>
        <v>1156</v>
      </c>
      <c r="E1168" s="10" t="str">
        <f t="shared" si="54"/>
        <v/>
      </c>
      <c r="I1168" s="53" t="str">
        <f t="shared" si="55"/>
        <v/>
      </c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56"/>
        <v>1157</v>
      </c>
      <c r="E1169" s="10" t="str">
        <f t="shared" si="54"/>
        <v/>
      </c>
      <c r="I1169" s="53" t="str">
        <f t="shared" si="55"/>
        <v/>
      </c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56"/>
        <v>1158</v>
      </c>
      <c r="E1170" s="10" t="str">
        <f t="shared" si="54"/>
        <v/>
      </c>
      <c r="I1170" s="53" t="str">
        <f t="shared" si="55"/>
        <v/>
      </c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56"/>
        <v>1159</v>
      </c>
      <c r="E1171" s="10" t="str">
        <f t="shared" si="54"/>
        <v/>
      </c>
      <c r="I1171" s="53" t="str">
        <f t="shared" si="55"/>
        <v/>
      </c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56"/>
        <v>1160</v>
      </c>
      <c r="E1172" s="10" t="str">
        <f t="shared" si="54"/>
        <v/>
      </c>
      <c r="I1172" s="53" t="str">
        <f t="shared" si="55"/>
        <v/>
      </c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56"/>
        <v>1161</v>
      </c>
      <c r="E1173" s="10" t="str">
        <f t="shared" si="54"/>
        <v/>
      </c>
      <c r="I1173" s="53" t="str">
        <f t="shared" si="55"/>
        <v/>
      </c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56"/>
        <v>1162</v>
      </c>
      <c r="E1174" s="10" t="str">
        <f t="shared" si="54"/>
        <v/>
      </c>
      <c r="I1174" s="53" t="str">
        <f t="shared" si="55"/>
        <v/>
      </c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56"/>
        <v>1163</v>
      </c>
      <c r="E1175" s="10" t="str">
        <f t="shared" si="54"/>
        <v/>
      </c>
      <c r="I1175" s="53" t="str">
        <f t="shared" si="55"/>
        <v/>
      </c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56"/>
        <v>1164</v>
      </c>
      <c r="E1176" s="10" t="str">
        <f t="shared" si="54"/>
        <v/>
      </c>
      <c r="I1176" s="53" t="str">
        <f t="shared" si="55"/>
        <v/>
      </c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56"/>
        <v>1165</v>
      </c>
      <c r="E1177" s="10" t="str">
        <f t="shared" si="54"/>
        <v/>
      </c>
      <c r="I1177" s="53" t="str">
        <f t="shared" si="55"/>
        <v/>
      </c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56"/>
        <v>1166</v>
      </c>
      <c r="E1178" s="10" t="str">
        <f t="shared" si="54"/>
        <v/>
      </c>
      <c r="I1178" s="53" t="str">
        <f t="shared" si="55"/>
        <v/>
      </c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56"/>
        <v>1167</v>
      </c>
      <c r="E1179" s="10" t="str">
        <f t="shared" si="54"/>
        <v/>
      </c>
      <c r="I1179" s="53" t="str">
        <f t="shared" si="55"/>
        <v/>
      </c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56"/>
        <v>1168</v>
      </c>
      <c r="E1180" s="10" t="str">
        <f t="shared" si="54"/>
        <v/>
      </c>
      <c r="I1180" s="53" t="str">
        <f t="shared" si="55"/>
        <v/>
      </c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56"/>
        <v>1169</v>
      </c>
      <c r="E1181" s="10" t="str">
        <f t="shared" si="54"/>
        <v/>
      </c>
      <c r="I1181" s="53" t="str">
        <f t="shared" si="55"/>
        <v/>
      </c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56"/>
        <v>1170</v>
      </c>
      <c r="E1182" s="10" t="str">
        <f t="shared" si="54"/>
        <v/>
      </c>
      <c r="I1182" s="53" t="str">
        <f t="shared" si="55"/>
        <v/>
      </c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56"/>
        <v>1171</v>
      </c>
      <c r="E1183" s="10" t="str">
        <f t="shared" si="54"/>
        <v/>
      </c>
      <c r="I1183" s="53" t="str">
        <f t="shared" si="55"/>
        <v/>
      </c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56"/>
        <v>1172</v>
      </c>
      <c r="E1184" s="10" t="str">
        <f t="shared" si="54"/>
        <v/>
      </c>
      <c r="I1184" s="53" t="str">
        <f t="shared" si="55"/>
        <v/>
      </c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56"/>
        <v>1173</v>
      </c>
      <c r="E1185" s="10" t="str">
        <f t="shared" si="54"/>
        <v/>
      </c>
      <c r="I1185" s="53" t="str">
        <f t="shared" si="55"/>
        <v/>
      </c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56"/>
        <v>1174</v>
      </c>
      <c r="E1186" s="10" t="str">
        <f t="shared" si="54"/>
        <v/>
      </c>
      <c r="I1186" s="53" t="str">
        <f t="shared" si="55"/>
        <v/>
      </c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56"/>
        <v>1175</v>
      </c>
      <c r="E1187" s="10" t="str">
        <f t="shared" si="54"/>
        <v/>
      </c>
      <c r="I1187" s="53" t="str">
        <f t="shared" si="55"/>
        <v/>
      </c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56"/>
        <v>1176</v>
      </c>
      <c r="E1188" s="10" t="str">
        <f t="shared" si="54"/>
        <v/>
      </c>
      <c r="I1188" s="53" t="str">
        <f t="shared" si="55"/>
        <v/>
      </c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56"/>
        <v>1177</v>
      </c>
      <c r="E1189" s="10" t="str">
        <f t="shared" si="54"/>
        <v/>
      </c>
      <c r="I1189" s="53" t="str">
        <f t="shared" si="55"/>
        <v/>
      </c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56"/>
        <v>1178</v>
      </c>
      <c r="E1190" s="10" t="str">
        <f t="shared" si="54"/>
        <v/>
      </c>
      <c r="I1190" s="53" t="str">
        <f t="shared" si="55"/>
        <v/>
      </c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56"/>
        <v>1179</v>
      </c>
      <c r="E1191" s="10" t="str">
        <f t="shared" si="54"/>
        <v/>
      </c>
      <c r="I1191" s="53" t="str">
        <f t="shared" si="55"/>
        <v/>
      </c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56"/>
        <v>1180</v>
      </c>
      <c r="E1192" s="10" t="str">
        <f t="shared" si="54"/>
        <v/>
      </c>
      <c r="I1192" s="53" t="str">
        <f t="shared" si="55"/>
        <v/>
      </c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56"/>
        <v>1181</v>
      </c>
      <c r="E1193" s="10" t="str">
        <f t="shared" si="54"/>
        <v/>
      </c>
      <c r="I1193" s="53" t="str">
        <f t="shared" si="55"/>
        <v/>
      </c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56"/>
        <v>1182</v>
      </c>
      <c r="E1194" s="10" t="str">
        <f t="shared" si="54"/>
        <v/>
      </c>
      <c r="I1194" s="53" t="str">
        <f t="shared" si="55"/>
        <v/>
      </c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56"/>
        <v>1183</v>
      </c>
      <c r="E1195" s="10" t="str">
        <f t="shared" si="54"/>
        <v/>
      </c>
      <c r="I1195" s="53" t="str">
        <f t="shared" si="55"/>
        <v/>
      </c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56"/>
        <v>1184</v>
      </c>
      <c r="E1196" s="10" t="str">
        <f t="shared" si="54"/>
        <v/>
      </c>
      <c r="I1196" s="53" t="str">
        <f t="shared" si="55"/>
        <v/>
      </c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56"/>
        <v>1185</v>
      </c>
      <c r="E1197" s="10" t="str">
        <f t="shared" si="54"/>
        <v/>
      </c>
      <c r="I1197" s="53" t="str">
        <f t="shared" si="55"/>
        <v/>
      </c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56"/>
        <v>1186</v>
      </c>
      <c r="E1198" s="10" t="str">
        <f t="shared" si="54"/>
        <v/>
      </c>
      <c r="I1198" s="53" t="str">
        <f t="shared" si="55"/>
        <v/>
      </c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56"/>
        <v>1187</v>
      </c>
      <c r="E1199" s="10" t="str">
        <f t="shared" si="54"/>
        <v/>
      </c>
      <c r="I1199" s="53" t="str">
        <f t="shared" si="55"/>
        <v/>
      </c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56"/>
        <v>1188</v>
      </c>
      <c r="E1200" s="10" t="str">
        <f t="shared" si="54"/>
        <v/>
      </c>
      <c r="I1200" s="53" t="str">
        <f t="shared" si="55"/>
        <v/>
      </c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56"/>
        <v>1189</v>
      </c>
      <c r="E1201" s="10" t="str">
        <f t="shared" si="54"/>
        <v/>
      </c>
      <c r="I1201" s="53" t="str">
        <f t="shared" si="55"/>
        <v/>
      </c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56"/>
        <v>1190</v>
      </c>
      <c r="E1202" s="10" t="str">
        <f t="shared" si="54"/>
        <v/>
      </c>
      <c r="I1202" s="53" t="str">
        <f t="shared" si="55"/>
        <v/>
      </c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56"/>
        <v>1191</v>
      </c>
      <c r="E1203" s="10" t="str">
        <f t="shared" si="54"/>
        <v/>
      </c>
      <c r="I1203" s="53" t="str">
        <f t="shared" si="55"/>
        <v/>
      </c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56"/>
        <v>1192</v>
      </c>
      <c r="E1204" s="10" t="str">
        <f t="shared" si="54"/>
        <v/>
      </c>
      <c r="I1204" s="53" t="str">
        <f t="shared" si="55"/>
        <v/>
      </c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56"/>
        <v>1193</v>
      </c>
      <c r="E1205" s="10" t="str">
        <f t="shared" si="54"/>
        <v/>
      </c>
      <c r="I1205" s="53" t="str">
        <f t="shared" si="55"/>
        <v/>
      </c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56"/>
        <v>1194</v>
      </c>
      <c r="E1206" s="10" t="str">
        <f t="shared" si="54"/>
        <v/>
      </c>
      <c r="I1206" s="53" t="str">
        <f t="shared" si="55"/>
        <v/>
      </c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56"/>
        <v>1195</v>
      </c>
      <c r="E1207" s="10" t="str">
        <f t="shared" si="54"/>
        <v/>
      </c>
      <c r="I1207" s="53" t="str">
        <f t="shared" si="55"/>
        <v/>
      </c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56"/>
        <v>1196</v>
      </c>
      <c r="E1208" s="10" t="str">
        <f t="shared" si="54"/>
        <v/>
      </c>
      <c r="I1208" s="53" t="str">
        <f t="shared" si="55"/>
        <v/>
      </c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56"/>
        <v>1197</v>
      </c>
      <c r="E1209" s="10" t="str">
        <f t="shared" si="54"/>
        <v/>
      </c>
      <c r="I1209" s="53" t="str">
        <f t="shared" si="55"/>
        <v/>
      </c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56"/>
        <v>1198</v>
      </c>
      <c r="E1210" s="10" t="str">
        <f t="shared" si="54"/>
        <v/>
      </c>
      <c r="I1210" s="53" t="str">
        <f t="shared" si="55"/>
        <v/>
      </c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56"/>
        <v>1199</v>
      </c>
      <c r="E1211" s="10" t="str">
        <f t="shared" si="54"/>
        <v/>
      </c>
      <c r="I1211" s="53" t="str">
        <f t="shared" si="55"/>
        <v/>
      </c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56"/>
        <v>1200</v>
      </c>
      <c r="E1212" s="10" t="str">
        <f t="shared" si="54"/>
        <v/>
      </c>
      <c r="I1212" s="53" t="str">
        <f t="shared" si="55"/>
        <v/>
      </c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56"/>
        <v>1201</v>
      </c>
      <c r="E1213" s="10" t="str">
        <f t="shared" si="54"/>
        <v/>
      </c>
      <c r="I1213" s="53" t="str">
        <f t="shared" si="55"/>
        <v/>
      </c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56"/>
        <v>1202</v>
      </c>
      <c r="E1214" s="10" t="str">
        <f t="shared" si="54"/>
        <v/>
      </c>
      <c r="I1214" s="53" t="str">
        <f t="shared" si="55"/>
        <v/>
      </c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56"/>
        <v>1203</v>
      </c>
      <c r="E1215" s="10" t="str">
        <f t="shared" si="54"/>
        <v/>
      </c>
      <c r="I1215" s="53" t="str">
        <f t="shared" si="55"/>
        <v/>
      </c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56"/>
        <v>1204</v>
      </c>
      <c r="E1216" s="10" t="str">
        <f t="shared" si="54"/>
        <v/>
      </c>
      <c r="I1216" s="53" t="str">
        <f t="shared" si="55"/>
        <v/>
      </c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56"/>
        <v>1205</v>
      </c>
      <c r="E1217" s="10" t="str">
        <f t="shared" si="54"/>
        <v/>
      </c>
      <c r="I1217" s="53" t="str">
        <f t="shared" si="55"/>
        <v/>
      </c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56"/>
        <v>1206</v>
      </c>
      <c r="E1218" s="10" t="str">
        <f t="shared" si="54"/>
        <v/>
      </c>
      <c r="I1218" s="53" t="str">
        <f t="shared" si="55"/>
        <v/>
      </c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56"/>
        <v>1207</v>
      </c>
      <c r="E1219" s="10" t="str">
        <f t="shared" si="54"/>
        <v/>
      </c>
      <c r="I1219" s="53" t="str">
        <f t="shared" si="55"/>
        <v/>
      </c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56"/>
        <v>1208</v>
      </c>
      <c r="E1220" s="10" t="str">
        <f t="shared" si="54"/>
        <v/>
      </c>
      <c r="I1220" s="53" t="str">
        <f t="shared" si="55"/>
        <v/>
      </c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56"/>
        <v>1209</v>
      </c>
      <c r="E1221" s="10" t="str">
        <f t="shared" si="54"/>
        <v/>
      </c>
      <c r="I1221" s="53" t="str">
        <f t="shared" si="55"/>
        <v/>
      </c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56"/>
        <v>1210</v>
      </c>
      <c r="E1222" s="10" t="str">
        <f t="shared" si="54"/>
        <v/>
      </c>
      <c r="I1222" s="53" t="str">
        <f t="shared" si="55"/>
        <v/>
      </c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56"/>
        <v>1211</v>
      </c>
      <c r="E1223" s="10" t="str">
        <f t="shared" si="54"/>
        <v/>
      </c>
      <c r="I1223" s="53" t="str">
        <f t="shared" si="55"/>
        <v/>
      </c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56"/>
        <v>1212</v>
      </c>
      <c r="E1224" s="10" t="str">
        <f t="shared" si="54"/>
        <v/>
      </c>
      <c r="I1224" s="53" t="str">
        <f t="shared" si="55"/>
        <v/>
      </c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56"/>
        <v>1213</v>
      </c>
      <c r="E1225" s="10" t="str">
        <f t="shared" si="54"/>
        <v/>
      </c>
      <c r="I1225" s="53" t="str">
        <f t="shared" si="55"/>
        <v/>
      </c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56"/>
        <v>1214</v>
      </c>
      <c r="E1226" s="10" t="str">
        <f t="shared" si="54"/>
        <v/>
      </c>
      <c r="I1226" s="53" t="str">
        <f t="shared" si="55"/>
        <v/>
      </c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56"/>
        <v>1215</v>
      </c>
      <c r="E1227" s="10" t="str">
        <f t="shared" si="54"/>
        <v/>
      </c>
      <c r="I1227" s="53" t="str">
        <f t="shared" si="55"/>
        <v/>
      </c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56"/>
        <v>1216</v>
      </c>
      <c r="E1228" s="10" t="str">
        <f t="shared" si="54"/>
        <v/>
      </c>
      <c r="I1228" s="53" t="str">
        <f t="shared" si="55"/>
        <v/>
      </c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56"/>
        <v>1217</v>
      </c>
      <c r="E1229" s="10" t="str">
        <f t="shared" ref="E1229:E1292" si="57">IF($C$8&gt;=A1229,$E$1&amp;" "&amp;A1229,"")</f>
        <v/>
      </c>
      <c r="I1229" s="53" t="str">
        <f t="shared" si="55"/>
        <v/>
      </c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56"/>
        <v>1218</v>
      </c>
      <c r="E1230" s="10" t="str">
        <f t="shared" si="57"/>
        <v/>
      </c>
      <c r="I1230" s="53" t="str">
        <f t="shared" ref="I1230:I1293" si="58">IF(E1230="","",F1230-G1230-H1230)</f>
        <v/>
      </c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59">A1230+1</f>
        <v>1219</v>
      </c>
      <c r="E1231" s="10" t="str">
        <f t="shared" si="57"/>
        <v/>
      </c>
      <c r="I1231" s="53" t="str">
        <f t="shared" si="58"/>
        <v/>
      </c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59"/>
        <v>1220</v>
      </c>
      <c r="E1232" s="10" t="str">
        <f t="shared" si="57"/>
        <v/>
      </c>
      <c r="I1232" s="53" t="str">
        <f t="shared" si="58"/>
        <v/>
      </c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59"/>
        <v>1221</v>
      </c>
      <c r="E1233" s="10" t="str">
        <f t="shared" si="57"/>
        <v/>
      </c>
      <c r="I1233" s="53" t="str">
        <f t="shared" si="58"/>
        <v/>
      </c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59"/>
        <v>1222</v>
      </c>
      <c r="E1234" s="10" t="str">
        <f t="shared" si="57"/>
        <v/>
      </c>
      <c r="I1234" s="53" t="str">
        <f t="shared" si="58"/>
        <v/>
      </c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59"/>
        <v>1223</v>
      </c>
      <c r="E1235" s="10" t="str">
        <f t="shared" si="57"/>
        <v/>
      </c>
      <c r="I1235" s="53" t="str">
        <f t="shared" si="58"/>
        <v/>
      </c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59"/>
        <v>1224</v>
      </c>
      <c r="E1236" s="10" t="str">
        <f t="shared" si="57"/>
        <v/>
      </c>
      <c r="I1236" s="53" t="str">
        <f t="shared" si="58"/>
        <v/>
      </c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59"/>
        <v>1225</v>
      </c>
      <c r="E1237" s="10" t="str">
        <f t="shared" si="57"/>
        <v/>
      </c>
      <c r="I1237" s="53" t="str">
        <f t="shared" si="58"/>
        <v/>
      </c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59"/>
        <v>1226</v>
      </c>
      <c r="E1238" s="10" t="str">
        <f t="shared" si="57"/>
        <v/>
      </c>
      <c r="I1238" s="53" t="str">
        <f t="shared" si="58"/>
        <v/>
      </c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59"/>
        <v>1227</v>
      </c>
      <c r="E1239" s="10" t="str">
        <f t="shared" si="57"/>
        <v/>
      </c>
      <c r="I1239" s="53" t="str">
        <f t="shared" si="58"/>
        <v/>
      </c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59"/>
        <v>1228</v>
      </c>
      <c r="E1240" s="10" t="str">
        <f t="shared" si="57"/>
        <v/>
      </c>
      <c r="I1240" s="53" t="str">
        <f t="shared" si="58"/>
        <v/>
      </c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59"/>
        <v>1229</v>
      </c>
      <c r="E1241" s="10" t="str">
        <f t="shared" si="57"/>
        <v/>
      </c>
      <c r="I1241" s="53" t="str">
        <f t="shared" si="58"/>
        <v/>
      </c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59"/>
        <v>1230</v>
      </c>
      <c r="E1242" s="10" t="str">
        <f t="shared" si="57"/>
        <v/>
      </c>
      <c r="I1242" s="53" t="str">
        <f t="shared" si="58"/>
        <v/>
      </c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59"/>
        <v>1231</v>
      </c>
      <c r="E1243" s="10" t="str">
        <f t="shared" si="57"/>
        <v/>
      </c>
      <c r="I1243" s="53" t="str">
        <f t="shared" si="58"/>
        <v/>
      </c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59"/>
        <v>1232</v>
      </c>
      <c r="E1244" s="10" t="str">
        <f t="shared" si="57"/>
        <v/>
      </c>
      <c r="I1244" s="53" t="str">
        <f t="shared" si="58"/>
        <v/>
      </c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59"/>
        <v>1233</v>
      </c>
      <c r="E1245" s="10" t="str">
        <f t="shared" si="57"/>
        <v/>
      </c>
      <c r="I1245" s="53" t="str">
        <f t="shared" si="58"/>
        <v/>
      </c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59"/>
        <v>1234</v>
      </c>
      <c r="E1246" s="10" t="str">
        <f t="shared" si="57"/>
        <v/>
      </c>
      <c r="I1246" s="53" t="str">
        <f t="shared" si="58"/>
        <v/>
      </c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59"/>
        <v>1235</v>
      </c>
      <c r="E1247" s="10" t="str">
        <f t="shared" si="57"/>
        <v/>
      </c>
      <c r="I1247" s="53" t="str">
        <f t="shared" si="58"/>
        <v/>
      </c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59"/>
        <v>1236</v>
      </c>
      <c r="E1248" s="10" t="str">
        <f t="shared" si="57"/>
        <v/>
      </c>
      <c r="I1248" s="53" t="str">
        <f t="shared" si="58"/>
        <v/>
      </c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59"/>
        <v>1237</v>
      </c>
      <c r="E1249" s="10" t="str">
        <f t="shared" si="57"/>
        <v/>
      </c>
      <c r="I1249" s="53" t="str">
        <f t="shared" si="58"/>
        <v/>
      </c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59"/>
        <v>1238</v>
      </c>
      <c r="E1250" s="10" t="str">
        <f t="shared" si="57"/>
        <v/>
      </c>
      <c r="I1250" s="53" t="str">
        <f t="shared" si="58"/>
        <v/>
      </c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59"/>
        <v>1239</v>
      </c>
      <c r="E1251" s="10" t="str">
        <f t="shared" si="57"/>
        <v/>
      </c>
      <c r="I1251" s="53" t="str">
        <f t="shared" si="58"/>
        <v/>
      </c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59"/>
        <v>1240</v>
      </c>
      <c r="E1252" s="10" t="str">
        <f t="shared" si="57"/>
        <v/>
      </c>
      <c r="I1252" s="53" t="str">
        <f t="shared" si="58"/>
        <v/>
      </c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59"/>
        <v>1241</v>
      </c>
      <c r="E1253" s="10" t="str">
        <f t="shared" si="57"/>
        <v/>
      </c>
      <c r="I1253" s="53" t="str">
        <f t="shared" si="58"/>
        <v/>
      </c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59"/>
        <v>1242</v>
      </c>
      <c r="E1254" s="10" t="str">
        <f t="shared" si="57"/>
        <v/>
      </c>
      <c r="I1254" s="53" t="str">
        <f t="shared" si="58"/>
        <v/>
      </c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59"/>
        <v>1243</v>
      </c>
      <c r="E1255" s="10" t="str">
        <f t="shared" si="57"/>
        <v/>
      </c>
      <c r="I1255" s="53" t="str">
        <f t="shared" si="58"/>
        <v/>
      </c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59"/>
        <v>1244</v>
      </c>
      <c r="E1256" s="10" t="str">
        <f t="shared" si="57"/>
        <v/>
      </c>
      <c r="I1256" s="53" t="str">
        <f t="shared" si="58"/>
        <v/>
      </c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59"/>
        <v>1245</v>
      </c>
      <c r="E1257" s="10" t="str">
        <f t="shared" si="57"/>
        <v/>
      </c>
      <c r="I1257" s="53" t="str">
        <f t="shared" si="58"/>
        <v/>
      </c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59"/>
        <v>1246</v>
      </c>
      <c r="E1258" s="10" t="str">
        <f t="shared" si="57"/>
        <v/>
      </c>
      <c r="I1258" s="53" t="str">
        <f t="shared" si="58"/>
        <v/>
      </c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59"/>
        <v>1247</v>
      </c>
      <c r="E1259" s="10" t="str">
        <f t="shared" si="57"/>
        <v/>
      </c>
      <c r="I1259" s="53" t="str">
        <f t="shared" si="58"/>
        <v/>
      </c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59"/>
        <v>1248</v>
      </c>
      <c r="E1260" s="10" t="str">
        <f t="shared" si="57"/>
        <v/>
      </c>
      <c r="I1260" s="53" t="str">
        <f t="shared" si="58"/>
        <v/>
      </c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59"/>
        <v>1249</v>
      </c>
      <c r="E1261" s="10" t="str">
        <f t="shared" si="57"/>
        <v/>
      </c>
      <c r="I1261" s="53" t="str">
        <f t="shared" si="58"/>
        <v/>
      </c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59"/>
        <v>1250</v>
      </c>
      <c r="E1262" s="10" t="str">
        <f t="shared" si="57"/>
        <v/>
      </c>
      <c r="I1262" s="53" t="str">
        <f t="shared" si="58"/>
        <v/>
      </c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59"/>
        <v>1251</v>
      </c>
      <c r="E1263" s="10" t="str">
        <f t="shared" si="57"/>
        <v/>
      </c>
      <c r="I1263" s="53" t="str">
        <f t="shared" si="58"/>
        <v/>
      </c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59"/>
        <v>1252</v>
      </c>
      <c r="E1264" s="10" t="str">
        <f t="shared" si="57"/>
        <v/>
      </c>
      <c r="I1264" s="53" t="str">
        <f t="shared" si="58"/>
        <v/>
      </c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59"/>
        <v>1253</v>
      </c>
      <c r="E1265" s="10" t="str">
        <f t="shared" si="57"/>
        <v/>
      </c>
      <c r="I1265" s="53" t="str">
        <f t="shared" si="58"/>
        <v/>
      </c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59"/>
        <v>1254</v>
      </c>
      <c r="E1266" s="10" t="str">
        <f t="shared" si="57"/>
        <v/>
      </c>
      <c r="I1266" s="53" t="str">
        <f t="shared" si="58"/>
        <v/>
      </c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59"/>
        <v>1255</v>
      </c>
      <c r="E1267" s="10" t="str">
        <f t="shared" si="57"/>
        <v/>
      </c>
      <c r="I1267" s="53" t="str">
        <f t="shared" si="58"/>
        <v/>
      </c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59"/>
        <v>1256</v>
      </c>
      <c r="E1268" s="10" t="str">
        <f t="shared" si="57"/>
        <v/>
      </c>
      <c r="I1268" s="53" t="str">
        <f t="shared" si="58"/>
        <v/>
      </c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59"/>
        <v>1257</v>
      </c>
      <c r="E1269" s="10" t="str">
        <f t="shared" si="57"/>
        <v/>
      </c>
      <c r="I1269" s="53" t="str">
        <f t="shared" si="58"/>
        <v/>
      </c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59"/>
        <v>1258</v>
      </c>
      <c r="E1270" s="10" t="str">
        <f t="shared" si="57"/>
        <v/>
      </c>
      <c r="I1270" s="53" t="str">
        <f t="shared" si="58"/>
        <v/>
      </c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59"/>
        <v>1259</v>
      </c>
      <c r="E1271" s="10" t="str">
        <f t="shared" si="57"/>
        <v/>
      </c>
      <c r="I1271" s="53" t="str">
        <f t="shared" si="58"/>
        <v/>
      </c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59"/>
        <v>1260</v>
      </c>
      <c r="E1272" s="10" t="str">
        <f t="shared" si="57"/>
        <v/>
      </c>
      <c r="I1272" s="53" t="str">
        <f t="shared" si="58"/>
        <v/>
      </c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59"/>
        <v>1261</v>
      </c>
      <c r="E1273" s="10" t="str">
        <f t="shared" si="57"/>
        <v/>
      </c>
      <c r="I1273" s="53" t="str">
        <f t="shared" si="58"/>
        <v/>
      </c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59"/>
        <v>1262</v>
      </c>
      <c r="E1274" s="10" t="str">
        <f t="shared" si="57"/>
        <v/>
      </c>
      <c r="I1274" s="53" t="str">
        <f t="shared" si="58"/>
        <v/>
      </c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59"/>
        <v>1263</v>
      </c>
      <c r="E1275" s="10" t="str">
        <f t="shared" si="57"/>
        <v/>
      </c>
      <c r="I1275" s="53" t="str">
        <f t="shared" si="58"/>
        <v/>
      </c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59"/>
        <v>1264</v>
      </c>
      <c r="E1276" s="10" t="str">
        <f t="shared" si="57"/>
        <v/>
      </c>
      <c r="I1276" s="53" t="str">
        <f t="shared" si="58"/>
        <v/>
      </c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59"/>
        <v>1265</v>
      </c>
      <c r="E1277" s="10" t="str">
        <f t="shared" si="57"/>
        <v/>
      </c>
      <c r="I1277" s="53" t="str">
        <f t="shared" si="58"/>
        <v/>
      </c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59"/>
        <v>1266</v>
      </c>
      <c r="E1278" s="10" t="str">
        <f t="shared" si="57"/>
        <v/>
      </c>
      <c r="I1278" s="53" t="str">
        <f t="shared" si="58"/>
        <v/>
      </c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59"/>
        <v>1267</v>
      </c>
      <c r="E1279" s="10" t="str">
        <f t="shared" si="57"/>
        <v/>
      </c>
      <c r="I1279" s="53" t="str">
        <f t="shared" si="58"/>
        <v/>
      </c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59"/>
        <v>1268</v>
      </c>
      <c r="E1280" s="10" t="str">
        <f t="shared" si="57"/>
        <v/>
      </c>
      <c r="I1280" s="53" t="str">
        <f t="shared" si="58"/>
        <v/>
      </c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59"/>
        <v>1269</v>
      </c>
      <c r="E1281" s="10" t="str">
        <f t="shared" si="57"/>
        <v/>
      </c>
      <c r="I1281" s="53" t="str">
        <f t="shared" si="58"/>
        <v/>
      </c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59"/>
        <v>1270</v>
      </c>
      <c r="E1282" s="10" t="str">
        <f t="shared" si="57"/>
        <v/>
      </c>
      <c r="I1282" s="53" t="str">
        <f t="shared" si="58"/>
        <v/>
      </c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59"/>
        <v>1271</v>
      </c>
      <c r="E1283" s="10" t="str">
        <f t="shared" si="57"/>
        <v/>
      </c>
      <c r="I1283" s="53" t="str">
        <f t="shared" si="58"/>
        <v/>
      </c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59"/>
        <v>1272</v>
      </c>
      <c r="E1284" s="10" t="str">
        <f t="shared" si="57"/>
        <v/>
      </c>
      <c r="I1284" s="53" t="str">
        <f t="shared" si="58"/>
        <v/>
      </c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59"/>
        <v>1273</v>
      </c>
      <c r="E1285" s="10" t="str">
        <f t="shared" si="57"/>
        <v/>
      </c>
      <c r="I1285" s="53" t="str">
        <f t="shared" si="58"/>
        <v/>
      </c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59"/>
        <v>1274</v>
      </c>
      <c r="E1286" s="10" t="str">
        <f t="shared" si="57"/>
        <v/>
      </c>
      <c r="I1286" s="53" t="str">
        <f t="shared" si="58"/>
        <v/>
      </c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59"/>
        <v>1275</v>
      </c>
      <c r="E1287" s="10" t="str">
        <f t="shared" si="57"/>
        <v/>
      </c>
      <c r="I1287" s="53" t="str">
        <f t="shared" si="58"/>
        <v/>
      </c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59"/>
        <v>1276</v>
      </c>
      <c r="E1288" s="10" t="str">
        <f t="shared" si="57"/>
        <v/>
      </c>
      <c r="I1288" s="53" t="str">
        <f t="shared" si="58"/>
        <v/>
      </c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59"/>
        <v>1277</v>
      </c>
      <c r="E1289" s="10" t="str">
        <f t="shared" si="57"/>
        <v/>
      </c>
      <c r="I1289" s="53" t="str">
        <f t="shared" si="58"/>
        <v/>
      </c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59"/>
        <v>1278</v>
      </c>
      <c r="E1290" s="10" t="str">
        <f t="shared" si="57"/>
        <v/>
      </c>
      <c r="I1290" s="53" t="str">
        <f t="shared" si="58"/>
        <v/>
      </c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59"/>
        <v>1279</v>
      </c>
      <c r="E1291" s="10" t="str">
        <f t="shared" si="57"/>
        <v/>
      </c>
      <c r="I1291" s="53" t="str">
        <f t="shared" si="58"/>
        <v/>
      </c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59"/>
        <v>1280</v>
      </c>
      <c r="E1292" s="10" t="str">
        <f t="shared" si="57"/>
        <v/>
      </c>
      <c r="I1292" s="53" t="str">
        <f t="shared" si="58"/>
        <v/>
      </c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59"/>
        <v>1281</v>
      </c>
      <c r="E1293" s="10" t="str">
        <f t="shared" ref="E1293:E1356" si="60">IF($C$8&gt;=A1293,$E$1&amp;" "&amp;A1293,"")</f>
        <v/>
      </c>
      <c r="I1293" s="53" t="str">
        <f t="shared" si="58"/>
        <v/>
      </c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59"/>
        <v>1282</v>
      </c>
      <c r="E1294" s="10" t="str">
        <f t="shared" si="60"/>
        <v/>
      </c>
      <c r="I1294" s="53" t="str">
        <f t="shared" ref="I1294:I1357" si="61">IF(E1294="","",F1294-G1294-H1294)</f>
        <v/>
      </c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62">A1294+1</f>
        <v>1283</v>
      </c>
      <c r="E1295" s="10" t="str">
        <f t="shared" si="60"/>
        <v/>
      </c>
      <c r="I1295" s="53" t="str">
        <f t="shared" si="61"/>
        <v/>
      </c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62"/>
        <v>1284</v>
      </c>
      <c r="E1296" s="10" t="str">
        <f t="shared" si="60"/>
        <v/>
      </c>
      <c r="I1296" s="53" t="str">
        <f t="shared" si="61"/>
        <v/>
      </c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62"/>
        <v>1285</v>
      </c>
      <c r="E1297" s="10" t="str">
        <f t="shared" si="60"/>
        <v/>
      </c>
      <c r="I1297" s="53" t="str">
        <f t="shared" si="61"/>
        <v/>
      </c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62"/>
        <v>1286</v>
      </c>
      <c r="E1298" s="10" t="str">
        <f t="shared" si="60"/>
        <v/>
      </c>
      <c r="I1298" s="53" t="str">
        <f t="shared" si="61"/>
        <v/>
      </c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62"/>
        <v>1287</v>
      </c>
      <c r="E1299" s="10" t="str">
        <f t="shared" si="60"/>
        <v/>
      </c>
      <c r="I1299" s="53" t="str">
        <f t="shared" si="61"/>
        <v/>
      </c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62"/>
        <v>1288</v>
      </c>
      <c r="E1300" s="10" t="str">
        <f t="shared" si="60"/>
        <v/>
      </c>
      <c r="I1300" s="53" t="str">
        <f t="shared" si="61"/>
        <v/>
      </c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62"/>
        <v>1289</v>
      </c>
      <c r="E1301" s="10" t="str">
        <f t="shared" si="60"/>
        <v/>
      </c>
      <c r="I1301" s="53" t="str">
        <f t="shared" si="61"/>
        <v/>
      </c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62"/>
        <v>1290</v>
      </c>
      <c r="E1302" s="10" t="str">
        <f t="shared" si="60"/>
        <v/>
      </c>
      <c r="I1302" s="53" t="str">
        <f t="shared" si="61"/>
        <v/>
      </c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62"/>
        <v>1291</v>
      </c>
      <c r="E1303" s="10" t="str">
        <f t="shared" si="60"/>
        <v/>
      </c>
      <c r="I1303" s="53" t="str">
        <f t="shared" si="61"/>
        <v/>
      </c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62"/>
        <v>1292</v>
      </c>
      <c r="E1304" s="10" t="str">
        <f t="shared" si="60"/>
        <v/>
      </c>
      <c r="I1304" s="53" t="str">
        <f t="shared" si="61"/>
        <v/>
      </c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62"/>
        <v>1293</v>
      </c>
      <c r="E1305" s="10" t="str">
        <f t="shared" si="60"/>
        <v/>
      </c>
      <c r="I1305" s="53" t="str">
        <f t="shared" si="61"/>
        <v/>
      </c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62"/>
        <v>1294</v>
      </c>
      <c r="E1306" s="10" t="str">
        <f t="shared" si="60"/>
        <v/>
      </c>
      <c r="I1306" s="53" t="str">
        <f t="shared" si="61"/>
        <v/>
      </c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62"/>
        <v>1295</v>
      </c>
      <c r="E1307" s="10" t="str">
        <f t="shared" si="60"/>
        <v/>
      </c>
      <c r="I1307" s="53" t="str">
        <f t="shared" si="61"/>
        <v/>
      </c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62"/>
        <v>1296</v>
      </c>
      <c r="E1308" s="10" t="str">
        <f t="shared" si="60"/>
        <v/>
      </c>
      <c r="I1308" s="53" t="str">
        <f t="shared" si="61"/>
        <v/>
      </c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62"/>
        <v>1297</v>
      </c>
      <c r="E1309" s="10" t="str">
        <f t="shared" si="60"/>
        <v/>
      </c>
      <c r="I1309" s="53" t="str">
        <f t="shared" si="61"/>
        <v/>
      </c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62"/>
        <v>1298</v>
      </c>
      <c r="E1310" s="10" t="str">
        <f t="shared" si="60"/>
        <v/>
      </c>
      <c r="I1310" s="53" t="str">
        <f t="shared" si="61"/>
        <v/>
      </c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62"/>
        <v>1299</v>
      </c>
      <c r="E1311" s="10" t="str">
        <f t="shared" si="60"/>
        <v/>
      </c>
      <c r="I1311" s="53" t="str">
        <f t="shared" si="61"/>
        <v/>
      </c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62"/>
        <v>1300</v>
      </c>
      <c r="E1312" s="10" t="str">
        <f t="shared" si="60"/>
        <v/>
      </c>
      <c r="I1312" s="53" t="str">
        <f t="shared" si="61"/>
        <v/>
      </c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62"/>
        <v>1301</v>
      </c>
      <c r="E1313" s="10" t="str">
        <f t="shared" si="60"/>
        <v/>
      </c>
      <c r="I1313" s="53" t="str">
        <f t="shared" si="61"/>
        <v/>
      </c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62"/>
        <v>1302</v>
      </c>
      <c r="E1314" s="10" t="str">
        <f t="shared" si="60"/>
        <v/>
      </c>
      <c r="I1314" s="53" t="str">
        <f t="shared" si="61"/>
        <v/>
      </c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62"/>
        <v>1303</v>
      </c>
      <c r="E1315" s="10" t="str">
        <f t="shared" si="60"/>
        <v/>
      </c>
      <c r="I1315" s="53" t="str">
        <f t="shared" si="61"/>
        <v/>
      </c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62"/>
        <v>1304</v>
      </c>
      <c r="E1316" s="10" t="str">
        <f t="shared" si="60"/>
        <v/>
      </c>
      <c r="I1316" s="53" t="str">
        <f t="shared" si="61"/>
        <v/>
      </c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62"/>
        <v>1305</v>
      </c>
      <c r="E1317" s="10" t="str">
        <f t="shared" si="60"/>
        <v/>
      </c>
      <c r="I1317" s="53" t="str">
        <f t="shared" si="61"/>
        <v/>
      </c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62"/>
        <v>1306</v>
      </c>
      <c r="E1318" s="10" t="str">
        <f t="shared" si="60"/>
        <v/>
      </c>
      <c r="I1318" s="53" t="str">
        <f t="shared" si="61"/>
        <v/>
      </c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62"/>
        <v>1307</v>
      </c>
      <c r="E1319" s="10" t="str">
        <f t="shared" si="60"/>
        <v/>
      </c>
      <c r="I1319" s="53" t="str">
        <f t="shared" si="61"/>
        <v/>
      </c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62"/>
        <v>1308</v>
      </c>
      <c r="E1320" s="10" t="str">
        <f t="shared" si="60"/>
        <v/>
      </c>
      <c r="I1320" s="53" t="str">
        <f t="shared" si="61"/>
        <v/>
      </c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62"/>
        <v>1309</v>
      </c>
      <c r="E1321" s="10" t="str">
        <f t="shared" si="60"/>
        <v/>
      </c>
      <c r="I1321" s="53" t="str">
        <f t="shared" si="61"/>
        <v/>
      </c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62"/>
        <v>1310</v>
      </c>
      <c r="E1322" s="10" t="str">
        <f t="shared" si="60"/>
        <v/>
      </c>
      <c r="I1322" s="53" t="str">
        <f t="shared" si="61"/>
        <v/>
      </c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62"/>
        <v>1311</v>
      </c>
      <c r="E1323" s="10" t="str">
        <f t="shared" si="60"/>
        <v/>
      </c>
      <c r="I1323" s="53" t="str">
        <f t="shared" si="61"/>
        <v/>
      </c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62"/>
        <v>1312</v>
      </c>
      <c r="E1324" s="10" t="str">
        <f t="shared" si="60"/>
        <v/>
      </c>
      <c r="I1324" s="53" t="str">
        <f t="shared" si="61"/>
        <v/>
      </c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62"/>
        <v>1313</v>
      </c>
      <c r="E1325" s="10" t="str">
        <f t="shared" si="60"/>
        <v/>
      </c>
      <c r="I1325" s="53" t="str">
        <f t="shared" si="61"/>
        <v/>
      </c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62"/>
        <v>1314</v>
      </c>
      <c r="E1326" s="10" t="str">
        <f t="shared" si="60"/>
        <v/>
      </c>
      <c r="I1326" s="53" t="str">
        <f t="shared" si="61"/>
        <v/>
      </c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62"/>
        <v>1315</v>
      </c>
      <c r="E1327" s="10" t="str">
        <f t="shared" si="60"/>
        <v/>
      </c>
      <c r="I1327" s="53" t="str">
        <f t="shared" si="61"/>
        <v/>
      </c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62"/>
        <v>1316</v>
      </c>
      <c r="E1328" s="10" t="str">
        <f t="shared" si="60"/>
        <v/>
      </c>
      <c r="I1328" s="53" t="str">
        <f t="shared" si="61"/>
        <v/>
      </c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62"/>
        <v>1317</v>
      </c>
      <c r="E1329" s="10" t="str">
        <f t="shared" si="60"/>
        <v/>
      </c>
      <c r="I1329" s="53" t="str">
        <f t="shared" si="61"/>
        <v/>
      </c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62"/>
        <v>1318</v>
      </c>
      <c r="E1330" s="10" t="str">
        <f t="shared" si="60"/>
        <v/>
      </c>
      <c r="I1330" s="53" t="str">
        <f t="shared" si="61"/>
        <v/>
      </c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62"/>
        <v>1319</v>
      </c>
      <c r="E1331" s="10" t="str">
        <f t="shared" si="60"/>
        <v/>
      </c>
      <c r="I1331" s="53" t="str">
        <f t="shared" si="61"/>
        <v/>
      </c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62"/>
        <v>1320</v>
      </c>
      <c r="E1332" s="10" t="str">
        <f t="shared" si="60"/>
        <v/>
      </c>
      <c r="I1332" s="53" t="str">
        <f t="shared" si="61"/>
        <v/>
      </c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62"/>
        <v>1321</v>
      </c>
      <c r="E1333" s="10" t="str">
        <f t="shared" si="60"/>
        <v/>
      </c>
      <c r="I1333" s="53" t="str">
        <f t="shared" si="61"/>
        <v/>
      </c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62"/>
        <v>1322</v>
      </c>
      <c r="E1334" s="10" t="str">
        <f t="shared" si="60"/>
        <v/>
      </c>
      <c r="I1334" s="53" t="str">
        <f t="shared" si="61"/>
        <v/>
      </c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62"/>
        <v>1323</v>
      </c>
      <c r="E1335" s="10" t="str">
        <f t="shared" si="60"/>
        <v/>
      </c>
      <c r="I1335" s="53" t="str">
        <f t="shared" si="61"/>
        <v/>
      </c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62"/>
        <v>1324</v>
      </c>
      <c r="E1336" s="10" t="str">
        <f t="shared" si="60"/>
        <v/>
      </c>
      <c r="I1336" s="53" t="str">
        <f t="shared" si="61"/>
        <v/>
      </c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62"/>
        <v>1325</v>
      </c>
      <c r="E1337" s="10" t="str">
        <f t="shared" si="60"/>
        <v/>
      </c>
      <c r="I1337" s="53" t="str">
        <f t="shared" si="61"/>
        <v/>
      </c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62"/>
        <v>1326</v>
      </c>
      <c r="E1338" s="10" t="str">
        <f t="shared" si="60"/>
        <v/>
      </c>
      <c r="I1338" s="53" t="str">
        <f t="shared" si="61"/>
        <v/>
      </c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62"/>
        <v>1327</v>
      </c>
      <c r="E1339" s="10" t="str">
        <f t="shared" si="60"/>
        <v/>
      </c>
      <c r="I1339" s="53" t="str">
        <f t="shared" si="61"/>
        <v/>
      </c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62"/>
        <v>1328</v>
      </c>
      <c r="E1340" s="10" t="str">
        <f t="shared" si="60"/>
        <v/>
      </c>
      <c r="I1340" s="53" t="str">
        <f t="shared" si="61"/>
        <v/>
      </c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62"/>
        <v>1329</v>
      </c>
      <c r="E1341" s="10" t="str">
        <f t="shared" si="60"/>
        <v/>
      </c>
      <c r="I1341" s="53" t="str">
        <f t="shared" si="61"/>
        <v/>
      </c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62"/>
        <v>1330</v>
      </c>
      <c r="E1342" s="10" t="str">
        <f t="shared" si="60"/>
        <v/>
      </c>
      <c r="I1342" s="53" t="str">
        <f t="shared" si="61"/>
        <v/>
      </c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62"/>
        <v>1331</v>
      </c>
      <c r="E1343" s="10" t="str">
        <f t="shared" si="60"/>
        <v/>
      </c>
      <c r="I1343" s="53" t="str">
        <f t="shared" si="61"/>
        <v/>
      </c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62"/>
        <v>1332</v>
      </c>
      <c r="E1344" s="10" t="str">
        <f t="shared" si="60"/>
        <v/>
      </c>
      <c r="I1344" s="53" t="str">
        <f t="shared" si="61"/>
        <v/>
      </c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62"/>
        <v>1333</v>
      </c>
      <c r="E1345" s="10" t="str">
        <f t="shared" si="60"/>
        <v/>
      </c>
      <c r="I1345" s="53" t="str">
        <f t="shared" si="61"/>
        <v/>
      </c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62"/>
        <v>1334</v>
      </c>
      <c r="E1346" s="10" t="str">
        <f t="shared" si="60"/>
        <v/>
      </c>
      <c r="I1346" s="53" t="str">
        <f t="shared" si="61"/>
        <v/>
      </c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62"/>
        <v>1335</v>
      </c>
      <c r="E1347" s="10" t="str">
        <f t="shared" si="60"/>
        <v/>
      </c>
      <c r="I1347" s="53" t="str">
        <f t="shared" si="61"/>
        <v/>
      </c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62"/>
        <v>1336</v>
      </c>
      <c r="E1348" s="10" t="str">
        <f t="shared" si="60"/>
        <v/>
      </c>
      <c r="I1348" s="53" t="str">
        <f t="shared" si="61"/>
        <v/>
      </c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62"/>
        <v>1337</v>
      </c>
      <c r="E1349" s="10" t="str">
        <f t="shared" si="60"/>
        <v/>
      </c>
      <c r="I1349" s="53" t="str">
        <f t="shared" si="61"/>
        <v/>
      </c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62"/>
        <v>1338</v>
      </c>
      <c r="E1350" s="10" t="str">
        <f t="shared" si="60"/>
        <v/>
      </c>
      <c r="I1350" s="53" t="str">
        <f t="shared" si="61"/>
        <v/>
      </c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62"/>
        <v>1339</v>
      </c>
      <c r="E1351" s="10" t="str">
        <f t="shared" si="60"/>
        <v/>
      </c>
      <c r="I1351" s="53" t="str">
        <f t="shared" si="61"/>
        <v/>
      </c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62"/>
        <v>1340</v>
      </c>
      <c r="E1352" s="10" t="str">
        <f t="shared" si="60"/>
        <v/>
      </c>
      <c r="I1352" s="53" t="str">
        <f t="shared" si="61"/>
        <v/>
      </c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62"/>
        <v>1341</v>
      </c>
      <c r="E1353" s="10" t="str">
        <f t="shared" si="60"/>
        <v/>
      </c>
      <c r="I1353" s="53" t="str">
        <f t="shared" si="61"/>
        <v/>
      </c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62"/>
        <v>1342</v>
      </c>
      <c r="E1354" s="10" t="str">
        <f t="shared" si="60"/>
        <v/>
      </c>
      <c r="I1354" s="53" t="str">
        <f t="shared" si="61"/>
        <v/>
      </c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62"/>
        <v>1343</v>
      </c>
      <c r="E1355" s="10" t="str">
        <f t="shared" si="60"/>
        <v/>
      </c>
      <c r="I1355" s="53" t="str">
        <f t="shared" si="61"/>
        <v/>
      </c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62"/>
        <v>1344</v>
      </c>
      <c r="E1356" s="10" t="str">
        <f t="shared" si="60"/>
        <v/>
      </c>
      <c r="I1356" s="53" t="str">
        <f t="shared" si="61"/>
        <v/>
      </c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62"/>
        <v>1345</v>
      </c>
      <c r="E1357" s="10" t="str">
        <f t="shared" ref="E1357:E1420" si="63">IF($C$8&gt;=A1357,$E$1&amp;" "&amp;A1357,"")</f>
        <v/>
      </c>
      <c r="I1357" s="53" t="str">
        <f t="shared" si="61"/>
        <v/>
      </c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62"/>
        <v>1346</v>
      </c>
      <c r="E1358" s="10" t="str">
        <f t="shared" si="63"/>
        <v/>
      </c>
      <c r="I1358" s="53" t="str">
        <f t="shared" ref="I1358:I1421" si="64">IF(E1358="","",F1358-G1358-H1358)</f>
        <v/>
      </c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65">A1358+1</f>
        <v>1347</v>
      </c>
      <c r="E1359" s="10" t="str">
        <f t="shared" si="63"/>
        <v/>
      </c>
      <c r="I1359" s="53" t="str">
        <f t="shared" si="64"/>
        <v/>
      </c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65"/>
        <v>1348</v>
      </c>
      <c r="E1360" s="10" t="str">
        <f t="shared" si="63"/>
        <v/>
      </c>
      <c r="I1360" s="53" t="str">
        <f t="shared" si="64"/>
        <v/>
      </c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65"/>
        <v>1349</v>
      </c>
      <c r="E1361" s="10" t="str">
        <f t="shared" si="63"/>
        <v/>
      </c>
      <c r="I1361" s="53" t="str">
        <f t="shared" si="64"/>
        <v/>
      </c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65"/>
        <v>1350</v>
      </c>
      <c r="E1362" s="10" t="str">
        <f t="shared" si="63"/>
        <v/>
      </c>
      <c r="I1362" s="53" t="str">
        <f t="shared" si="64"/>
        <v/>
      </c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65"/>
        <v>1351</v>
      </c>
      <c r="E1363" s="10" t="str">
        <f t="shared" si="63"/>
        <v/>
      </c>
      <c r="I1363" s="53" t="str">
        <f t="shared" si="64"/>
        <v/>
      </c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65"/>
        <v>1352</v>
      </c>
      <c r="E1364" s="10" t="str">
        <f t="shared" si="63"/>
        <v/>
      </c>
      <c r="I1364" s="53" t="str">
        <f t="shared" si="64"/>
        <v/>
      </c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65"/>
        <v>1353</v>
      </c>
      <c r="E1365" s="10" t="str">
        <f t="shared" si="63"/>
        <v/>
      </c>
      <c r="I1365" s="53" t="str">
        <f t="shared" si="64"/>
        <v/>
      </c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65"/>
        <v>1354</v>
      </c>
      <c r="E1366" s="10" t="str">
        <f t="shared" si="63"/>
        <v/>
      </c>
      <c r="I1366" s="53" t="str">
        <f t="shared" si="64"/>
        <v/>
      </c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65"/>
        <v>1355</v>
      </c>
      <c r="E1367" s="10" t="str">
        <f t="shared" si="63"/>
        <v/>
      </c>
      <c r="I1367" s="53" t="str">
        <f t="shared" si="64"/>
        <v/>
      </c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65"/>
        <v>1356</v>
      </c>
      <c r="E1368" s="10" t="str">
        <f t="shared" si="63"/>
        <v/>
      </c>
      <c r="I1368" s="53" t="str">
        <f t="shared" si="64"/>
        <v/>
      </c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65"/>
        <v>1357</v>
      </c>
      <c r="E1369" s="10" t="str">
        <f t="shared" si="63"/>
        <v/>
      </c>
      <c r="I1369" s="53" t="str">
        <f t="shared" si="64"/>
        <v/>
      </c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65"/>
        <v>1358</v>
      </c>
      <c r="E1370" s="10" t="str">
        <f t="shared" si="63"/>
        <v/>
      </c>
      <c r="I1370" s="53" t="str">
        <f t="shared" si="64"/>
        <v/>
      </c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65"/>
        <v>1359</v>
      </c>
      <c r="E1371" s="10" t="str">
        <f t="shared" si="63"/>
        <v/>
      </c>
      <c r="I1371" s="53" t="str">
        <f t="shared" si="64"/>
        <v/>
      </c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65"/>
        <v>1360</v>
      </c>
      <c r="E1372" s="10" t="str">
        <f t="shared" si="63"/>
        <v/>
      </c>
      <c r="I1372" s="53" t="str">
        <f t="shared" si="64"/>
        <v/>
      </c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65"/>
        <v>1361</v>
      </c>
      <c r="E1373" s="10" t="str">
        <f t="shared" si="63"/>
        <v/>
      </c>
      <c r="I1373" s="53" t="str">
        <f t="shared" si="64"/>
        <v/>
      </c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65"/>
        <v>1362</v>
      </c>
      <c r="E1374" s="10" t="str">
        <f t="shared" si="63"/>
        <v/>
      </c>
      <c r="I1374" s="53" t="str">
        <f t="shared" si="64"/>
        <v/>
      </c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65"/>
        <v>1363</v>
      </c>
      <c r="E1375" s="10" t="str">
        <f t="shared" si="63"/>
        <v/>
      </c>
      <c r="I1375" s="53" t="str">
        <f t="shared" si="64"/>
        <v/>
      </c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65"/>
        <v>1364</v>
      </c>
      <c r="E1376" s="10" t="str">
        <f t="shared" si="63"/>
        <v/>
      </c>
      <c r="I1376" s="53" t="str">
        <f t="shared" si="64"/>
        <v/>
      </c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65"/>
        <v>1365</v>
      </c>
      <c r="E1377" s="10" t="str">
        <f t="shared" si="63"/>
        <v/>
      </c>
      <c r="I1377" s="53" t="str">
        <f t="shared" si="64"/>
        <v/>
      </c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65"/>
        <v>1366</v>
      </c>
      <c r="E1378" s="10" t="str">
        <f t="shared" si="63"/>
        <v/>
      </c>
      <c r="I1378" s="53" t="str">
        <f t="shared" si="64"/>
        <v/>
      </c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65"/>
        <v>1367</v>
      </c>
      <c r="E1379" s="10" t="str">
        <f t="shared" si="63"/>
        <v/>
      </c>
      <c r="I1379" s="53" t="str">
        <f t="shared" si="64"/>
        <v/>
      </c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65"/>
        <v>1368</v>
      </c>
      <c r="E1380" s="10" t="str">
        <f t="shared" si="63"/>
        <v/>
      </c>
      <c r="I1380" s="53" t="str">
        <f t="shared" si="64"/>
        <v/>
      </c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65"/>
        <v>1369</v>
      </c>
      <c r="E1381" s="10" t="str">
        <f t="shared" si="63"/>
        <v/>
      </c>
      <c r="I1381" s="53" t="str">
        <f t="shared" si="64"/>
        <v/>
      </c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65"/>
        <v>1370</v>
      </c>
      <c r="E1382" s="10" t="str">
        <f t="shared" si="63"/>
        <v/>
      </c>
      <c r="I1382" s="53" t="str">
        <f t="shared" si="64"/>
        <v/>
      </c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65"/>
        <v>1371</v>
      </c>
      <c r="E1383" s="10" t="str">
        <f t="shared" si="63"/>
        <v/>
      </c>
      <c r="I1383" s="53" t="str">
        <f t="shared" si="64"/>
        <v/>
      </c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65"/>
        <v>1372</v>
      </c>
      <c r="E1384" s="10" t="str">
        <f t="shared" si="63"/>
        <v/>
      </c>
      <c r="I1384" s="53" t="str">
        <f t="shared" si="64"/>
        <v/>
      </c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65"/>
        <v>1373</v>
      </c>
      <c r="E1385" s="10" t="str">
        <f t="shared" si="63"/>
        <v/>
      </c>
      <c r="I1385" s="53" t="str">
        <f t="shared" si="64"/>
        <v/>
      </c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65"/>
        <v>1374</v>
      </c>
      <c r="E1386" s="10" t="str">
        <f t="shared" si="63"/>
        <v/>
      </c>
      <c r="I1386" s="53" t="str">
        <f t="shared" si="64"/>
        <v/>
      </c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65"/>
        <v>1375</v>
      </c>
      <c r="E1387" s="10" t="str">
        <f t="shared" si="63"/>
        <v/>
      </c>
      <c r="I1387" s="53" t="str">
        <f t="shared" si="64"/>
        <v/>
      </c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65"/>
        <v>1376</v>
      </c>
      <c r="E1388" s="10" t="str">
        <f t="shared" si="63"/>
        <v/>
      </c>
      <c r="I1388" s="53" t="str">
        <f t="shared" si="64"/>
        <v/>
      </c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65"/>
        <v>1377</v>
      </c>
      <c r="E1389" s="10" t="str">
        <f t="shared" si="63"/>
        <v/>
      </c>
      <c r="I1389" s="53" t="str">
        <f t="shared" si="64"/>
        <v/>
      </c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65"/>
        <v>1378</v>
      </c>
      <c r="E1390" s="10" t="str">
        <f t="shared" si="63"/>
        <v/>
      </c>
      <c r="I1390" s="53" t="str">
        <f t="shared" si="64"/>
        <v/>
      </c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65"/>
        <v>1379</v>
      </c>
      <c r="E1391" s="10" t="str">
        <f t="shared" si="63"/>
        <v/>
      </c>
      <c r="I1391" s="53" t="str">
        <f t="shared" si="64"/>
        <v/>
      </c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65"/>
        <v>1380</v>
      </c>
      <c r="E1392" s="10" t="str">
        <f t="shared" si="63"/>
        <v/>
      </c>
      <c r="I1392" s="53" t="str">
        <f t="shared" si="64"/>
        <v/>
      </c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65"/>
        <v>1381</v>
      </c>
      <c r="E1393" s="10" t="str">
        <f t="shared" si="63"/>
        <v/>
      </c>
      <c r="I1393" s="53" t="str">
        <f t="shared" si="64"/>
        <v/>
      </c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65"/>
        <v>1382</v>
      </c>
      <c r="E1394" s="10" t="str">
        <f t="shared" si="63"/>
        <v/>
      </c>
      <c r="I1394" s="53" t="str">
        <f t="shared" si="64"/>
        <v/>
      </c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65"/>
        <v>1383</v>
      </c>
      <c r="E1395" s="10" t="str">
        <f t="shared" si="63"/>
        <v/>
      </c>
      <c r="I1395" s="53" t="str">
        <f t="shared" si="64"/>
        <v/>
      </c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65"/>
        <v>1384</v>
      </c>
      <c r="E1396" s="10" t="str">
        <f t="shared" si="63"/>
        <v/>
      </c>
      <c r="I1396" s="53" t="str">
        <f t="shared" si="64"/>
        <v/>
      </c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65"/>
        <v>1385</v>
      </c>
      <c r="E1397" s="10" t="str">
        <f t="shared" si="63"/>
        <v/>
      </c>
      <c r="I1397" s="53" t="str">
        <f t="shared" si="64"/>
        <v/>
      </c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65"/>
        <v>1386</v>
      </c>
      <c r="E1398" s="10" t="str">
        <f t="shared" si="63"/>
        <v/>
      </c>
      <c r="I1398" s="53" t="str">
        <f t="shared" si="64"/>
        <v/>
      </c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65"/>
        <v>1387</v>
      </c>
      <c r="E1399" s="10" t="str">
        <f t="shared" si="63"/>
        <v/>
      </c>
      <c r="I1399" s="53" t="str">
        <f t="shared" si="64"/>
        <v/>
      </c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65"/>
        <v>1388</v>
      </c>
      <c r="E1400" s="10" t="str">
        <f t="shared" si="63"/>
        <v/>
      </c>
      <c r="I1400" s="53" t="str">
        <f t="shared" si="64"/>
        <v/>
      </c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65"/>
        <v>1389</v>
      </c>
      <c r="E1401" s="10" t="str">
        <f t="shared" si="63"/>
        <v/>
      </c>
      <c r="I1401" s="53" t="str">
        <f t="shared" si="64"/>
        <v/>
      </c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65"/>
        <v>1390</v>
      </c>
      <c r="E1402" s="10" t="str">
        <f t="shared" si="63"/>
        <v/>
      </c>
      <c r="I1402" s="53" t="str">
        <f t="shared" si="64"/>
        <v/>
      </c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65"/>
        <v>1391</v>
      </c>
      <c r="E1403" s="10" t="str">
        <f t="shared" si="63"/>
        <v/>
      </c>
      <c r="I1403" s="53" t="str">
        <f t="shared" si="64"/>
        <v/>
      </c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65"/>
        <v>1392</v>
      </c>
      <c r="E1404" s="10" t="str">
        <f t="shared" si="63"/>
        <v/>
      </c>
      <c r="I1404" s="53" t="str">
        <f t="shared" si="64"/>
        <v/>
      </c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65"/>
        <v>1393</v>
      </c>
      <c r="E1405" s="10" t="str">
        <f t="shared" si="63"/>
        <v/>
      </c>
      <c r="I1405" s="53" t="str">
        <f t="shared" si="64"/>
        <v/>
      </c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65"/>
        <v>1394</v>
      </c>
      <c r="E1406" s="10" t="str">
        <f t="shared" si="63"/>
        <v/>
      </c>
      <c r="I1406" s="53" t="str">
        <f t="shared" si="64"/>
        <v/>
      </c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65"/>
        <v>1395</v>
      </c>
      <c r="E1407" s="10" t="str">
        <f t="shared" si="63"/>
        <v/>
      </c>
      <c r="I1407" s="53" t="str">
        <f t="shared" si="64"/>
        <v/>
      </c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65"/>
        <v>1396</v>
      </c>
      <c r="E1408" s="10" t="str">
        <f t="shared" si="63"/>
        <v/>
      </c>
      <c r="I1408" s="53" t="str">
        <f t="shared" si="64"/>
        <v/>
      </c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65"/>
        <v>1397</v>
      </c>
      <c r="E1409" s="10" t="str">
        <f t="shared" si="63"/>
        <v/>
      </c>
      <c r="I1409" s="53" t="str">
        <f t="shared" si="64"/>
        <v/>
      </c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65"/>
        <v>1398</v>
      </c>
      <c r="E1410" s="10" t="str">
        <f t="shared" si="63"/>
        <v/>
      </c>
      <c r="I1410" s="53" t="str">
        <f t="shared" si="64"/>
        <v/>
      </c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65"/>
        <v>1399</v>
      </c>
      <c r="E1411" s="10" t="str">
        <f t="shared" si="63"/>
        <v/>
      </c>
      <c r="I1411" s="53" t="str">
        <f t="shared" si="64"/>
        <v/>
      </c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65"/>
        <v>1400</v>
      </c>
      <c r="E1412" s="10" t="str">
        <f t="shared" si="63"/>
        <v/>
      </c>
      <c r="I1412" s="53" t="str">
        <f t="shared" si="64"/>
        <v/>
      </c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65"/>
        <v>1401</v>
      </c>
      <c r="E1413" s="10" t="str">
        <f t="shared" si="63"/>
        <v/>
      </c>
      <c r="I1413" s="53" t="str">
        <f t="shared" si="64"/>
        <v/>
      </c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65"/>
        <v>1402</v>
      </c>
      <c r="E1414" s="10" t="str">
        <f t="shared" si="63"/>
        <v/>
      </c>
      <c r="I1414" s="53" t="str">
        <f t="shared" si="64"/>
        <v/>
      </c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65"/>
        <v>1403</v>
      </c>
      <c r="E1415" s="10" t="str">
        <f t="shared" si="63"/>
        <v/>
      </c>
      <c r="I1415" s="53" t="str">
        <f t="shared" si="64"/>
        <v/>
      </c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65"/>
        <v>1404</v>
      </c>
      <c r="E1416" s="10" t="str">
        <f t="shared" si="63"/>
        <v/>
      </c>
      <c r="I1416" s="53" t="str">
        <f t="shared" si="64"/>
        <v/>
      </c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65"/>
        <v>1405</v>
      </c>
      <c r="E1417" s="10" t="str">
        <f t="shared" si="63"/>
        <v/>
      </c>
      <c r="I1417" s="53" t="str">
        <f t="shared" si="64"/>
        <v/>
      </c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65"/>
        <v>1406</v>
      </c>
      <c r="E1418" s="10" t="str">
        <f t="shared" si="63"/>
        <v/>
      </c>
      <c r="I1418" s="53" t="str">
        <f t="shared" si="64"/>
        <v/>
      </c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65"/>
        <v>1407</v>
      </c>
      <c r="E1419" s="10" t="str">
        <f t="shared" si="63"/>
        <v/>
      </c>
      <c r="I1419" s="53" t="str">
        <f t="shared" si="64"/>
        <v/>
      </c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65"/>
        <v>1408</v>
      </c>
      <c r="E1420" s="10" t="str">
        <f t="shared" si="63"/>
        <v/>
      </c>
      <c r="I1420" s="53" t="str">
        <f t="shared" si="64"/>
        <v/>
      </c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65"/>
        <v>1409</v>
      </c>
      <c r="E1421" s="10" t="str">
        <f t="shared" ref="E1421:E1484" si="66">IF($C$8&gt;=A1421,$E$1&amp;" "&amp;A1421,"")</f>
        <v/>
      </c>
      <c r="I1421" s="53" t="str">
        <f t="shared" si="64"/>
        <v/>
      </c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65"/>
        <v>1410</v>
      </c>
      <c r="E1422" s="10" t="str">
        <f t="shared" si="66"/>
        <v/>
      </c>
      <c r="I1422" s="53" t="str">
        <f t="shared" ref="I1422:I1485" si="67">IF(E1422="","",F1422-G1422-H1422)</f>
        <v/>
      </c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68">A1422+1</f>
        <v>1411</v>
      </c>
      <c r="E1423" s="10" t="str">
        <f t="shared" si="66"/>
        <v/>
      </c>
      <c r="I1423" s="53" t="str">
        <f t="shared" si="67"/>
        <v/>
      </c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68"/>
        <v>1412</v>
      </c>
      <c r="E1424" s="10" t="str">
        <f t="shared" si="66"/>
        <v/>
      </c>
      <c r="I1424" s="53" t="str">
        <f t="shared" si="67"/>
        <v/>
      </c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68"/>
        <v>1413</v>
      </c>
      <c r="E1425" s="10" t="str">
        <f t="shared" si="66"/>
        <v/>
      </c>
      <c r="I1425" s="53" t="str">
        <f t="shared" si="67"/>
        <v/>
      </c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68"/>
        <v>1414</v>
      </c>
      <c r="E1426" s="10" t="str">
        <f t="shared" si="66"/>
        <v/>
      </c>
      <c r="I1426" s="53" t="str">
        <f t="shared" si="67"/>
        <v/>
      </c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68"/>
        <v>1415</v>
      </c>
      <c r="E1427" s="10" t="str">
        <f t="shared" si="66"/>
        <v/>
      </c>
      <c r="I1427" s="53" t="str">
        <f t="shared" si="67"/>
        <v/>
      </c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68"/>
        <v>1416</v>
      </c>
      <c r="E1428" s="10" t="str">
        <f t="shared" si="66"/>
        <v/>
      </c>
      <c r="I1428" s="53" t="str">
        <f t="shared" si="67"/>
        <v/>
      </c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68"/>
        <v>1417</v>
      </c>
      <c r="E1429" s="10" t="str">
        <f t="shared" si="66"/>
        <v/>
      </c>
      <c r="I1429" s="53" t="str">
        <f t="shared" si="67"/>
        <v/>
      </c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68"/>
        <v>1418</v>
      </c>
      <c r="E1430" s="10" t="str">
        <f t="shared" si="66"/>
        <v/>
      </c>
      <c r="I1430" s="53" t="str">
        <f t="shared" si="67"/>
        <v/>
      </c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68"/>
        <v>1419</v>
      </c>
      <c r="E1431" s="10" t="str">
        <f t="shared" si="66"/>
        <v/>
      </c>
      <c r="I1431" s="53" t="str">
        <f t="shared" si="67"/>
        <v/>
      </c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68"/>
        <v>1420</v>
      </c>
      <c r="E1432" s="10" t="str">
        <f t="shared" si="66"/>
        <v/>
      </c>
      <c r="I1432" s="53" t="str">
        <f t="shared" si="67"/>
        <v/>
      </c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68"/>
        <v>1421</v>
      </c>
      <c r="E1433" s="10" t="str">
        <f t="shared" si="66"/>
        <v/>
      </c>
      <c r="I1433" s="53" t="str">
        <f t="shared" si="67"/>
        <v/>
      </c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68"/>
        <v>1422</v>
      </c>
      <c r="E1434" s="10" t="str">
        <f t="shared" si="66"/>
        <v/>
      </c>
      <c r="I1434" s="53" t="str">
        <f t="shared" si="67"/>
        <v/>
      </c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68"/>
        <v>1423</v>
      </c>
      <c r="E1435" s="10" t="str">
        <f t="shared" si="66"/>
        <v/>
      </c>
      <c r="I1435" s="53" t="str">
        <f t="shared" si="67"/>
        <v/>
      </c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68"/>
        <v>1424</v>
      </c>
      <c r="E1436" s="10" t="str">
        <f t="shared" si="66"/>
        <v/>
      </c>
      <c r="I1436" s="53" t="str">
        <f t="shared" si="67"/>
        <v/>
      </c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68"/>
        <v>1425</v>
      </c>
      <c r="E1437" s="10" t="str">
        <f t="shared" si="66"/>
        <v/>
      </c>
      <c r="I1437" s="53" t="str">
        <f t="shared" si="67"/>
        <v/>
      </c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68"/>
        <v>1426</v>
      </c>
      <c r="E1438" s="10" t="str">
        <f t="shared" si="66"/>
        <v/>
      </c>
      <c r="I1438" s="53" t="str">
        <f t="shared" si="67"/>
        <v/>
      </c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68"/>
        <v>1427</v>
      </c>
      <c r="E1439" s="10" t="str">
        <f t="shared" si="66"/>
        <v/>
      </c>
      <c r="I1439" s="53" t="str">
        <f t="shared" si="67"/>
        <v/>
      </c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68"/>
        <v>1428</v>
      </c>
      <c r="E1440" s="10" t="str">
        <f t="shared" si="66"/>
        <v/>
      </c>
      <c r="I1440" s="53" t="str">
        <f t="shared" si="67"/>
        <v/>
      </c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68"/>
        <v>1429</v>
      </c>
      <c r="E1441" s="10" t="str">
        <f t="shared" si="66"/>
        <v/>
      </c>
      <c r="I1441" s="53" t="str">
        <f t="shared" si="67"/>
        <v/>
      </c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68"/>
        <v>1430</v>
      </c>
      <c r="E1442" s="10" t="str">
        <f t="shared" si="66"/>
        <v/>
      </c>
      <c r="I1442" s="53" t="str">
        <f t="shared" si="67"/>
        <v/>
      </c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68"/>
        <v>1431</v>
      </c>
      <c r="E1443" s="10" t="str">
        <f t="shared" si="66"/>
        <v/>
      </c>
      <c r="I1443" s="53" t="str">
        <f t="shared" si="67"/>
        <v/>
      </c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68"/>
        <v>1432</v>
      </c>
      <c r="E1444" s="10" t="str">
        <f t="shared" si="66"/>
        <v/>
      </c>
      <c r="I1444" s="53" t="str">
        <f t="shared" si="67"/>
        <v/>
      </c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68"/>
        <v>1433</v>
      </c>
      <c r="E1445" s="10" t="str">
        <f t="shared" si="66"/>
        <v/>
      </c>
      <c r="I1445" s="53" t="str">
        <f t="shared" si="67"/>
        <v/>
      </c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68"/>
        <v>1434</v>
      </c>
      <c r="E1446" s="10" t="str">
        <f t="shared" si="66"/>
        <v/>
      </c>
      <c r="I1446" s="53" t="str">
        <f t="shared" si="67"/>
        <v/>
      </c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68"/>
        <v>1435</v>
      </c>
      <c r="E1447" s="10" t="str">
        <f t="shared" si="66"/>
        <v/>
      </c>
      <c r="I1447" s="53" t="str">
        <f t="shared" si="67"/>
        <v/>
      </c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68"/>
        <v>1436</v>
      </c>
      <c r="E1448" s="10" t="str">
        <f t="shared" si="66"/>
        <v/>
      </c>
      <c r="I1448" s="53" t="str">
        <f t="shared" si="67"/>
        <v/>
      </c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68"/>
        <v>1437</v>
      </c>
      <c r="E1449" s="10" t="str">
        <f t="shared" si="66"/>
        <v/>
      </c>
      <c r="I1449" s="53" t="str">
        <f t="shared" si="67"/>
        <v/>
      </c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68"/>
        <v>1438</v>
      </c>
      <c r="E1450" s="10" t="str">
        <f t="shared" si="66"/>
        <v/>
      </c>
      <c r="I1450" s="53" t="str">
        <f t="shared" si="67"/>
        <v/>
      </c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68"/>
        <v>1439</v>
      </c>
      <c r="E1451" s="10" t="str">
        <f t="shared" si="66"/>
        <v/>
      </c>
      <c r="I1451" s="53" t="str">
        <f t="shared" si="67"/>
        <v/>
      </c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68"/>
        <v>1440</v>
      </c>
      <c r="E1452" s="10" t="str">
        <f t="shared" si="66"/>
        <v/>
      </c>
      <c r="I1452" s="53" t="str">
        <f t="shared" si="67"/>
        <v/>
      </c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68"/>
        <v>1441</v>
      </c>
      <c r="E1453" s="10" t="str">
        <f t="shared" si="66"/>
        <v/>
      </c>
      <c r="I1453" s="53" t="str">
        <f t="shared" si="67"/>
        <v/>
      </c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68"/>
        <v>1442</v>
      </c>
      <c r="E1454" s="10" t="str">
        <f t="shared" si="66"/>
        <v/>
      </c>
      <c r="I1454" s="53" t="str">
        <f t="shared" si="67"/>
        <v/>
      </c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68"/>
        <v>1443</v>
      </c>
      <c r="E1455" s="10" t="str">
        <f t="shared" si="66"/>
        <v/>
      </c>
      <c r="I1455" s="53" t="str">
        <f t="shared" si="67"/>
        <v/>
      </c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68"/>
        <v>1444</v>
      </c>
      <c r="E1456" s="10" t="str">
        <f t="shared" si="66"/>
        <v/>
      </c>
      <c r="I1456" s="53" t="str">
        <f t="shared" si="67"/>
        <v/>
      </c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68"/>
        <v>1445</v>
      </c>
      <c r="E1457" s="10" t="str">
        <f t="shared" si="66"/>
        <v/>
      </c>
      <c r="I1457" s="53" t="str">
        <f t="shared" si="67"/>
        <v/>
      </c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68"/>
        <v>1446</v>
      </c>
      <c r="E1458" s="10" t="str">
        <f t="shared" si="66"/>
        <v/>
      </c>
      <c r="I1458" s="53" t="str">
        <f t="shared" si="67"/>
        <v/>
      </c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68"/>
        <v>1447</v>
      </c>
      <c r="E1459" s="10" t="str">
        <f t="shared" si="66"/>
        <v/>
      </c>
      <c r="I1459" s="53" t="str">
        <f t="shared" si="67"/>
        <v/>
      </c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68"/>
        <v>1448</v>
      </c>
      <c r="E1460" s="10" t="str">
        <f t="shared" si="66"/>
        <v/>
      </c>
      <c r="I1460" s="53" t="str">
        <f t="shared" si="67"/>
        <v/>
      </c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68"/>
        <v>1449</v>
      </c>
      <c r="E1461" s="10" t="str">
        <f t="shared" si="66"/>
        <v/>
      </c>
      <c r="I1461" s="53" t="str">
        <f t="shared" si="67"/>
        <v/>
      </c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68"/>
        <v>1450</v>
      </c>
      <c r="E1462" s="10" t="str">
        <f t="shared" si="66"/>
        <v/>
      </c>
      <c r="I1462" s="53" t="str">
        <f t="shared" si="67"/>
        <v/>
      </c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68"/>
        <v>1451</v>
      </c>
      <c r="E1463" s="10" t="str">
        <f t="shared" si="66"/>
        <v/>
      </c>
      <c r="I1463" s="53" t="str">
        <f t="shared" si="67"/>
        <v/>
      </c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68"/>
        <v>1452</v>
      </c>
      <c r="E1464" s="10" t="str">
        <f t="shared" si="66"/>
        <v/>
      </c>
      <c r="I1464" s="53" t="str">
        <f t="shared" si="67"/>
        <v/>
      </c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68"/>
        <v>1453</v>
      </c>
      <c r="E1465" s="10" t="str">
        <f t="shared" si="66"/>
        <v/>
      </c>
      <c r="I1465" s="53" t="str">
        <f t="shared" si="67"/>
        <v/>
      </c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68"/>
        <v>1454</v>
      </c>
      <c r="E1466" s="10" t="str">
        <f t="shared" si="66"/>
        <v/>
      </c>
      <c r="I1466" s="53" t="str">
        <f t="shared" si="67"/>
        <v/>
      </c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68"/>
        <v>1455</v>
      </c>
      <c r="E1467" s="10" t="str">
        <f t="shared" si="66"/>
        <v/>
      </c>
      <c r="I1467" s="53" t="str">
        <f t="shared" si="67"/>
        <v/>
      </c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68"/>
        <v>1456</v>
      </c>
      <c r="E1468" s="10" t="str">
        <f t="shared" si="66"/>
        <v/>
      </c>
      <c r="I1468" s="53" t="str">
        <f t="shared" si="67"/>
        <v/>
      </c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68"/>
        <v>1457</v>
      </c>
      <c r="E1469" s="10" t="str">
        <f t="shared" si="66"/>
        <v/>
      </c>
      <c r="I1469" s="53" t="str">
        <f t="shared" si="67"/>
        <v/>
      </c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68"/>
        <v>1458</v>
      </c>
      <c r="E1470" s="10" t="str">
        <f t="shared" si="66"/>
        <v/>
      </c>
      <c r="I1470" s="53" t="str">
        <f t="shared" si="67"/>
        <v/>
      </c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68"/>
        <v>1459</v>
      </c>
      <c r="E1471" s="10" t="str">
        <f t="shared" si="66"/>
        <v/>
      </c>
      <c r="I1471" s="53" t="str">
        <f t="shared" si="67"/>
        <v/>
      </c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68"/>
        <v>1460</v>
      </c>
      <c r="E1472" s="10" t="str">
        <f t="shared" si="66"/>
        <v/>
      </c>
      <c r="I1472" s="53" t="str">
        <f t="shared" si="67"/>
        <v/>
      </c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68"/>
        <v>1461</v>
      </c>
      <c r="E1473" s="10" t="str">
        <f t="shared" si="66"/>
        <v/>
      </c>
      <c r="I1473" s="53" t="str">
        <f t="shared" si="67"/>
        <v/>
      </c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68"/>
        <v>1462</v>
      </c>
      <c r="E1474" s="10" t="str">
        <f t="shared" si="66"/>
        <v/>
      </c>
      <c r="I1474" s="53" t="str">
        <f t="shared" si="67"/>
        <v/>
      </c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68"/>
        <v>1463</v>
      </c>
      <c r="E1475" s="10" t="str">
        <f t="shared" si="66"/>
        <v/>
      </c>
      <c r="I1475" s="53" t="str">
        <f t="shared" si="67"/>
        <v/>
      </c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68"/>
        <v>1464</v>
      </c>
      <c r="E1476" s="10" t="str">
        <f t="shared" si="66"/>
        <v/>
      </c>
      <c r="I1476" s="53" t="str">
        <f t="shared" si="67"/>
        <v/>
      </c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68"/>
        <v>1465</v>
      </c>
      <c r="E1477" s="10" t="str">
        <f t="shared" si="66"/>
        <v/>
      </c>
      <c r="I1477" s="53" t="str">
        <f t="shared" si="67"/>
        <v/>
      </c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68"/>
        <v>1466</v>
      </c>
      <c r="E1478" s="10" t="str">
        <f t="shared" si="66"/>
        <v/>
      </c>
      <c r="I1478" s="53" t="str">
        <f t="shared" si="67"/>
        <v/>
      </c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68"/>
        <v>1467</v>
      </c>
      <c r="E1479" s="10" t="str">
        <f t="shared" si="66"/>
        <v/>
      </c>
      <c r="I1479" s="53" t="str">
        <f t="shared" si="67"/>
        <v/>
      </c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68"/>
        <v>1468</v>
      </c>
      <c r="E1480" s="10" t="str">
        <f t="shared" si="66"/>
        <v/>
      </c>
      <c r="I1480" s="53" t="str">
        <f t="shared" si="67"/>
        <v/>
      </c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68"/>
        <v>1469</v>
      </c>
      <c r="E1481" s="10" t="str">
        <f t="shared" si="66"/>
        <v/>
      </c>
      <c r="I1481" s="53" t="str">
        <f t="shared" si="67"/>
        <v/>
      </c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68"/>
        <v>1470</v>
      </c>
      <c r="E1482" s="10" t="str">
        <f t="shared" si="66"/>
        <v/>
      </c>
      <c r="I1482" s="53" t="str">
        <f t="shared" si="67"/>
        <v/>
      </c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68"/>
        <v>1471</v>
      </c>
      <c r="E1483" s="10" t="str">
        <f t="shared" si="66"/>
        <v/>
      </c>
      <c r="I1483" s="53" t="str">
        <f t="shared" si="67"/>
        <v/>
      </c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68"/>
        <v>1472</v>
      </c>
      <c r="E1484" s="10" t="str">
        <f t="shared" si="66"/>
        <v/>
      </c>
      <c r="I1484" s="53" t="str">
        <f t="shared" si="67"/>
        <v/>
      </c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68"/>
        <v>1473</v>
      </c>
      <c r="E1485" s="10" t="str">
        <f t="shared" ref="E1485:E1511" si="69">IF($C$8&gt;=A1485,$E$1&amp;" "&amp;A1485,"")</f>
        <v/>
      </c>
      <c r="I1485" s="53" t="str">
        <f t="shared" si="67"/>
        <v/>
      </c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68"/>
        <v>1474</v>
      </c>
      <c r="E1486" s="10" t="str">
        <f t="shared" si="69"/>
        <v/>
      </c>
      <c r="I1486" s="53" t="str">
        <f t="shared" ref="I1486:I1511" si="70">IF(E1486="","",F1486-G1486-H1486)</f>
        <v/>
      </c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71">A1486+1</f>
        <v>1475</v>
      </c>
      <c r="E1487" s="10" t="str">
        <f t="shared" si="69"/>
        <v/>
      </c>
      <c r="I1487" s="53" t="str">
        <f t="shared" si="70"/>
        <v/>
      </c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71"/>
        <v>1476</v>
      </c>
      <c r="E1488" s="10" t="str">
        <f t="shared" si="69"/>
        <v/>
      </c>
      <c r="I1488" s="53" t="str">
        <f t="shared" si="70"/>
        <v/>
      </c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71"/>
        <v>1477</v>
      </c>
      <c r="E1489" s="10" t="str">
        <f t="shared" si="69"/>
        <v/>
      </c>
      <c r="I1489" s="53" t="str">
        <f t="shared" si="70"/>
        <v/>
      </c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71"/>
        <v>1478</v>
      </c>
      <c r="E1490" s="10" t="str">
        <f t="shared" si="69"/>
        <v/>
      </c>
      <c r="I1490" s="53" t="str">
        <f t="shared" si="70"/>
        <v/>
      </c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71"/>
        <v>1479</v>
      </c>
      <c r="E1491" s="10" t="str">
        <f t="shared" si="69"/>
        <v/>
      </c>
      <c r="I1491" s="53" t="str">
        <f t="shared" si="70"/>
        <v/>
      </c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71"/>
        <v>1480</v>
      </c>
      <c r="E1492" s="10" t="str">
        <f t="shared" si="69"/>
        <v/>
      </c>
      <c r="I1492" s="53" t="str">
        <f t="shared" si="70"/>
        <v/>
      </c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71"/>
        <v>1481</v>
      </c>
      <c r="E1493" s="10" t="str">
        <f t="shared" si="69"/>
        <v/>
      </c>
      <c r="I1493" s="53" t="str">
        <f t="shared" si="70"/>
        <v/>
      </c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71"/>
        <v>1482</v>
      </c>
      <c r="E1494" s="10" t="str">
        <f t="shared" si="69"/>
        <v/>
      </c>
      <c r="I1494" s="53" t="str">
        <f t="shared" si="70"/>
        <v/>
      </c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71"/>
        <v>1483</v>
      </c>
      <c r="E1495" s="10" t="str">
        <f t="shared" si="69"/>
        <v/>
      </c>
      <c r="I1495" s="53" t="str">
        <f t="shared" si="70"/>
        <v/>
      </c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71"/>
        <v>1484</v>
      </c>
      <c r="E1496" s="10" t="str">
        <f t="shared" si="69"/>
        <v/>
      </c>
      <c r="I1496" s="53" t="str">
        <f t="shared" si="70"/>
        <v/>
      </c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71"/>
        <v>1485</v>
      </c>
      <c r="E1497" s="10" t="str">
        <f t="shared" si="69"/>
        <v/>
      </c>
      <c r="I1497" s="53" t="str">
        <f t="shared" si="70"/>
        <v/>
      </c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71"/>
        <v>1486</v>
      </c>
      <c r="E1498" s="10" t="str">
        <f t="shared" si="69"/>
        <v/>
      </c>
      <c r="I1498" s="53" t="str">
        <f t="shared" si="70"/>
        <v/>
      </c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71"/>
        <v>1487</v>
      </c>
      <c r="E1499" s="10" t="str">
        <f t="shared" si="69"/>
        <v/>
      </c>
      <c r="I1499" s="53" t="str">
        <f t="shared" si="70"/>
        <v/>
      </c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71"/>
        <v>1488</v>
      </c>
      <c r="E1500" s="10" t="str">
        <f t="shared" si="69"/>
        <v/>
      </c>
      <c r="I1500" s="53" t="str">
        <f t="shared" si="70"/>
        <v/>
      </c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71"/>
        <v>1489</v>
      </c>
      <c r="E1501" s="10" t="str">
        <f t="shared" si="69"/>
        <v/>
      </c>
      <c r="I1501" s="53" t="str">
        <f t="shared" si="70"/>
        <v/>
      </c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71"/>
        <v>1490</v>
      </c>
      <c r="E1502" s="10" t="str">
        <f t="shared" si="69"/>
        <v/>
      </c>
      <c r="I1502" s="53" t="str">
        <f t="shared" si="70"/>
        <v/>
      </c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71"/>
        <v>1491</v>
      </c>
      <c r="E1503" s="10" t="str">
        <f t="shared" si="69"/>
        <v/>
      </c>
      <c r="I1503" s="53" t="str">
        <f t="shared" si="70"/>
        <v/>
      </c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71"/>
        <v>1492</v>
      </c>
      <c r="E1504" s="10" t="str">
        <f t="shared" si="69"/>
        <v/>
      </c>
      <c r="I1504" s="53" t="str">
        <f t="shared" si="70"/>
        <v/>
      </c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71"/>
        <v>1493</v>
      </c>
      <c r="E1505" s="10" t="str">
        <f t="shared" si="69"/>
        <v/>
      </c>
      <c r="I1505" s="53" t="str">
        <f t="shared" si="70"/>
        <v/>
      </c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71"/>
        <v>1494</v>
      </c>
      <c r="E1506" s="10" t="str">
        <f t="shared" si="69"/>
        <v/>
      </c>
      <c r="I1506" s="53" t="str">
        <f t="shared" si="70"/>
        <v/>
      </c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71"/>
        <v>1495</v>
      </c>
      <c r="E1507" s="10" t="str">
        <f t="shared" si="69"/>
        <v/>
      </c>
      <c r="I1507" s="53" t="str">
        <f t="shared" si="70"/>
        <v/>
      </c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71"/>
        <v>1496</v>
      </c>
      <c r="E1508" s="10" t="str">
        <f t="shared" si="69"/>
        <v/>
      </c>
      <c r="I1508" s="53" t="str">
        <f t="shared" si="70"/>
        <v/>
      </c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71"/>
        <v>1497</v>
      </c>
      <c r="E1509" s="10" t="str">
        <f t="shared" si="69"/>
        <v/>
      </c>
      <c r="I1509" s="53" t="str">
        <f t="shared" si="70"/>
        <v/>
      </c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71"/>
        <v>1498</v>
      </c>
      <c r="E1510" s="10" t="str">
        <f t="shared" si="69"/>
        <v/>
      </c>
      <c r="I1510" s="53" t="str">
        <f t="shared" si="70"/>
        <v/>
      </c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71"/>
        <v>1499</v>
      </c>
      <c r="E1511" s="10" t="str">
        <f t="shared" si="69"/>
        <v/>
      </c>
      <c r="I1511" s="53" t="str">
        <f t="shared" si="70"/>
        <v/>
      </c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71"/>
        <v>1500</v>
      </c>
      <c r="N1512" s="8"/>
      <c r="Q1512" s="1"/>
      <c r="R1512" s="1"/>
      <c r="S1512" s="1"/>
      <c r="T1512" s="9"/>
      <c r="U1512" s="9"/>
      <c r="V1512" s="1"/>
      <c r="W1512" s="1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2020-06-19T20:29:40Z</dcterms:modified>
</cp:coreProperties>
</file>