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Queueing_Webpage/VTP - Election Toolkit_files/"/>
    </mc:Choice>
  </mc:AlternateContent>
  <bookViews>
    <workbookView xWindow="0" yWindow="460" windowWidth="28800" windowHeight="17540" activeTab="1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Inputs_Outputs!$I$13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2" l="1"/>
  <c r="E24" i="2"/>
  <c r="I13" i="3"/>
  <c r="I18" i="3"/>
  <c r="I17" i="3"/>
  <c r="I16" i="3"/>
  <c r="I15" i="3"/>
  <c r="I14" i="3"/>
  <c r="D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E23" i="2"/>
  <c r="W11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S1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P11" i="2"/>
  <c r="V11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E28" i="3"/>
  <c r="A29" i="3"/>
  <c r="E29" i="3"/>
  <c r="A30" i="3"/>
  <c r="E30" i="3"/>
  <c r="A31" i="3"/>
  <c r="E31" i="3"/>
  <c r="A32" i="3"/>
  <c r="E32" i="3"/>
  <c r="A33" i="3"/>
  <c r="E33" i="3"/>
  <c r="A34" i="3"/>
  <c r="E34" i="3"/>
  <c r="A35" i="3"/>
  <c r="E35" i="3"/>
  <c r="A36" i="3"/>
  <c r="E36" i="3"/>
  <c r="A37" i="3"/>
  <c r="E37" i="3"/>
  <c r="A38" i="3"/>
  <c r="E38" i="3"/>
  <c r="A39" i="3"/>
  <c r="E39" i="3"/>
  <c r="A40" i="3"/>
  <c r="E40" i="3"/>
  <c r="A41" i="3"/>
  <c r="E41" i="3"/>
  <c r="A42" i="3"/>
  <c r="E42" i="3"/>
  <c r="A43" i="3"/>
  <c r="E43" i="3"/>
  <c r="A44" i="3"/>
  <c r="E44" i="3"/>
  <c r="A45" i="3"/>
  <c r="E45" i="3"/>
  <c r="A46" i="3"/>
  <c r="E46" i="3"/>
  <c r="A47" i="3"/>
  <c r="E47" i="3"/>
  <c r="A48" i="3"/>
  <c r="E48" i="3"/>
  <c r="A49" i="3"/>
  <c r="E49" i="3"/>
  <c r="A50" i="3"/>
  <c r="E50" i="3"/>
  <c r="A51" i="3"/>
  <c r="E51" i="3"/>
  <c r="A52" i="3"/>
  <c r="E52" i="3"/>
  <c r="A53" i="3"/>
  <c r="E53" i="3"/>
  <c r="A54" i="3"/>
  <c r="E54" i="3"/>
  <c r="A55" i="3"/>
  <c r="E55" i="3"/>
  <c r="A56" i="3"/>
  <c r="E56" i="3"/>
  <c r="A57" i="3"/>
  <c r="E57" i="3"/>
  <c r="A58" i="3"/>
  <c r="E58" i="3"/>
  <c r="A59" i="3"/>
  <c r="E59" i="3"/>
  <c r="A60" i="3"/>
  <c r="E60" i="3"/>
  <c r="A61" i="3"/>
  <c r="E61" i="3"/>
  <c r="A62" i="3"/>
  <c r="E62" i="3"/>
  <c r="A63" i="3"/>
  <c r="E63" i="3"/>
  <c r="A64" i="3"/>
  <c r="E64" i="3"/>
  <c r="A65" i="3"/>
  <c r="E65" i="3"/>
  <c r="A66" i="3"/>
  <c r="E66" i="3"/>
  <c r="A67" i="3"/>
  <c r="E67" i="3"/>
  <c r="A68" i="3"/>
  <c r="E68" i="3"/>
  <c r="A69" i="3"/>
  <c r="E69" i="3"/>
  <c r="A70" i="3"/>
  <c r="E70" i="3"/>
  <c r="A71" i="3"/>
  <c r="E71" i="3"/>
  <c r="A72" i="3"/>
  <c r="E72" i="3"/>
  <c r="A73" i="3"/>
  <c r="E73" i="3"/>
  <c r="A74" i="3"/>
  <c r="E74" i="3"/>
  <c r="A75" i="3"/>
  <c r="E75" i="3"/>
  <c r="A76" i="3"/>
  <c r="E76" i="3"/>
  <c r="A77" i="3"/>
  <c r="E77" i="3"/>
  <c r="A78" i="3"/>
  <c r="E78" i="3"/>
  <c r="A79" i="3"/>
  <c r="E79" i="3"/>
  <c r="A80" i="3"/>
  <c r="E80" i="3"/>
  <c r="A81" i="3"/>
  <c r="E81" i="3"/>
  <c r="A82" i="3"/>
  <c r="E82" i="3"/>
  <c r="A83" i="3"/>
  <c r="E83" i="3"/>
  <c r="A84" i="3"/>
  <c r="E84" i="3"/>
  <c r="A85" i="3"/>
  <c r="E85" i="3"/>
  <c r="A86" i="3"/>
  <c r="E86" i="3"/>
  <c r="A87" i="3"/>
  <c r="E87" i="3"/>
  <c r="A88" i="3"/>
  <c r="E88" i="3"/>
  <c r="A89" i="3"/>
  <c r="E89" i="3"/>
  <c r="A90" i="3"/>
  <c r="E90" i="3"/>
  <c r="A91" i="3"/>
  <c r="E91" i="3"/>
  <c r="A92" i="3"/>
  <c r="E92" i="3"/>
  <c r="A93" i="3"/>
  <c r="E93" i="3"/>
  <c r="A94" i="3"/>
  <c r="E94" i="3"/>
  <c r="A95" i="3"/>
  <c r="E95" i="3"/>
  <c r="A96" i="3"/>
  <c r="E96" i="3"/>
  <c r="A97" i="3"/>
  <c r="E97" i="3"/>
  <c r="A98" i="3"/>
  <c r="E98" i="3"/>
  <c r="A99" i="3"/>
  <c r="E99" i="3"/>
  <c r="A100" i="3"/>
  <c r="E100" i="3"/>
  <c r="A101" i="3"/>
  <c r="E101" i="3"/>
  <c r="A102" i="3"/>
  <c r="E102" i="3"/>
  <c r="A103" i="3"/>
  <c r="E103" i="3"/>
  <c r="A104" i="3"/>
  <c r="E104" i="3"/>
  <c r="A105" i="3"/>
  <c r="E105" i="3"/>
  <c r="A106" i="3"/>
  <c r="E106" i="3"/>
  <c r="A107" i="3"/>
  <c r="E107" i="3"/>
  <c r="A108" i="3"/>
  <c r="E108" i="3"/>
  <c r="A109" i="3"/>
  <c r="E109" i="3"/>
  <c r="A110" i="3"/>
  <c r="E110" i="3"/>
  <c r="A111" i="3"/>
  <c r="E111" i="3"/>
  <c r="A112" i="3"/>
  <c r="E112" i="3"/>
  <c r="A113" i="3"/>
  <c r="E113" i="3"/>
  <c r="A114" i="3"/>
  <c r="E114" i="3"/>
  <c r="A115" i="3"/>
  <c r="E115" i="3"/>
  <c r="A116" i="3"/>
  <c r="E116" i="3"/>
  <c r="A117" i="3"/>
  <c r="E117" i="3"/>
  <c r="A118" i="3"/>
  <c r="E118" i="3"/>
  <c r="A119" i="3"/>
  <c r="E119" i="3"/>
  <c r="A120" i="3"/>
  <c r="E120" i="3"/>
  <c r="A121" i="3"/>
  <c r="E121" i="3"/>
  <c r="A122" i="3"/>
  <c r="E122" i="3"/>
  <c r="A123" i="3"/>
  <c r="E123" i="3"/>
  <c r="A124" i="3"/>
  <c r="E124" i="3"/>
  <c r="A125" i="3"/>
  <c r="E125" i="3"/>
  <c r="A126" i="3"/>
  <c r="E126" i="3"/>
  <c r="A127" i="3"/>
  <c r="E127" i="3"/>
  <c r="A128" i="3"/>
  <c r="E128" i="3"/>
  <c r="A129" i="3"/>
  <c r="E129" i="3"/>
  <c r="A130" i="3"/>
  <c r="E130" i="3"/>
  <c r="A131" i="3"/>
  <c r="E131" i="3"/>
  <c r="A132" i="3"/>
  <c r="E132" i="3"/>
  <c r="A133" i="3"/>
  <c r="E133" i="3"/>
  <c r="A134" i="3"/>
  <c r="E134" i="3"/>
  <c r="A135" i="3"/>
  <c r="E135" i="3"/>
  <c r="A136" i="3"/>
  <c r="E136" i="3"/>
  <c r="A137" i="3"/>
  <c r="E137" i="3"/>
  <c r="A138" i="3"/>
  <c r="E138" i="3"/>
  <c r="A139" i="3"/>
  <c r="E139" i="3"/>
  <c r="A140" i="3"/>
  <c r="E140" i="3"/>
  <c r="A141" i="3"/>
  <c r="E141" i="3"/>
  <c r="A142" i="3"/>
  <c r="E142" i="3"/>
  <c r="A143" i="3"/>
  <c r="E143" i="3"/>
  <c r="A144" i="3"/>
  <c r="E144" i="3"/>
  <c r="A145" i="3"/>
  <c r="E145" i="3"/>
  <c r="A146" i="3"/>
  <c r="E146" i="3"/>
  <c r="A147" i="3"/>
  <c r="E147" i="3"/>
  <c r="A148" i="3"/>
  <c r="E148" i="3"/>
  <c r="A149" i="3"/>
  <c r="E149" i="3"/>
  <c r="A150" i="3"/>
  <c r="E150" i="3"/>
  <c r="A151" i="3"/>
  <c r="E151" i="3"/>
  <c r="A152" i="3"/>
  <c r="E152" i="3"/>
  <c r="A153" i="3"/>
  <c r="E153" i="3"/>
  <c r="A154" i="3"/>
  <c r="E154" i="3"/>
  <c r="A155" i="3"/>
  <c r="E155" i="3"/>
  <c r="A156" i="3"/>
  <c r="E156" i="3"/>
  <c r="A157" i="3"/>
  <c r="E157" i="3"/>
  <c r="A158" i="3"/>
  <c r="E158" i="3"/>
  <c r="A159" i="3"/>
  <c r="E159" i="3"/>
  <c r="A160" i="3"/>
  <c r="E160" i="3"/>
  <c r="A161" i="3"/>
  <c r="E161" i="3"/>
  <c r="A162" i="3"/>
  <c r="E162" i="3"/>
  <c r="A163" i="3"/>
  <c r="E163" i="3"/>
  <c r="A164" i="3"/>
  <c r="E164" i="3"/>
  <c r="A165" i="3"/>
  <c r="E165" i="3"/>
  <c r="A166" i="3"/>
  <c r="E166" i="3"/>
  <c r="A167" i="3"/>
  <c r="E167" i="3"/>
  <c r="A168" i="3"/>
  <c r="E168" i="3"/>
  <c r="A169" i="3"/>
  <c r="E169" i="3"/>
  <c r="A170" i="3"/>
  <c r="E170" i="3"/>
  <c r="A171" i="3"/>
  <c r="E171" i="3"/>
  <c r="A172" i="3"/>
  <c r="E172" i="3"/>
  <c r="A173" i="3"/>
  <c r="E173" i="3"/>
  <c r="A174" i="3"/>
  <c r="E174" i="3"/>
  <c r="A175" i="3"/>
  <c r="E175" i="3"/>
  <c r="A176" i="3"/>
  <c r="E176" i="3"/>
  <c r="A177" i="3"/>
  <c r="E177" i="3"/>
  <c r="A178" i="3"/>
  <c r="E178" i="3"/>
  <c r="A179" i="3"/>
  <c r="E179" i="3"/>
  <c r="A180" i="3"/>
  <c r="E180" i="3"/>
  <c r="A181" i="3"/>
  <c r="E181" i="3"/>
  <c r="A182" i="3"/>
  <c r="E182" i="3"/>
  <c r="A183" i="3"/>
  <c r="E183" i="3"/>
  <c r="A184" i="3"/>
  <c r="E184" i="3"/>
  <c r="A185" i="3"/>
  <c r="E185" i="3"/>
  <c r="A186" i="3"/>
  <c r="E186" i="3"/>
  <c r="A187" i="3"/>
  <c r="E187" i="3"/>
  <c r="A188" i="3"/>
  <c r="E188" i="3"/>
  <c r="A189" i="3"/>
  <c r="E189" i="3"/>
  <c r="A190" i="3"/>
  <c r="E190" i="3"/>
  <c r="A191" i="3"/>
  <c r="E191" i="3"/>
  <c r="A192" i="3"/>
  <c r="E192" i="3"/>
  <c r="A193" i="3"/>
  <c r="E193" i="3"/>
  <c r="A194" i="3"/>
  <c r="E194" i="3"/>
  <c r="A195" i="3"/>
  <c r="E195" i="3"/>
  <c r="A196" i="3"/>
  <c r="E196" i="3"/>
  <c r="A197" i="3"/>
  <c r="E197" i="3"/>
  <c r="A198" i="3"/>
  <c r="E198" i="3"/>
  <c r="A199" i="3"/>
  <c r="E199" i="3"/>
  <c r="A200" i="3"/>
  <c r="E200" i="3"/>
  <c r="A201" i="3"/>
  <c r="E201" i="3"/>
  <c r="A202" i="3"/>
  <c r="E202" i="3"/>
  <c r="A203" i="3"/>
  <c r="E203" i="3"/>
  <c r="A204" i="3"/>
  <c r="E204" i="3"/>
  <c r="A205" i="3"/>
  <c r="E205" i="3"/>
  <c r="A206" i="3"/>
  <c r="E206" i="3"/>
  <c r="A207" i="3"/>
  <c r="E207" i="3"/>
  <c r="A208" i="3"/>
  <c r="E208" i="3"/>
  <c r="A209" i="3"/>
  <c r="E209" i="3"/>
  <c r="A210" i="3"/>
  <c r="E210" i="3"/>
  <c r="A211" i="3"/>
  <c r="E211" i="3"/>
  <c r="A212" i="3"/>
  <c r="E212" i="3"/>
  <c r="A213" i="3"/>
  <c r="E213" i="3"/>
  <c r="A214" i="3"/>
  <c r="E214" i="3"/>
  <c r="A215" i="3"/>
  <c r="E215" i="3"/>
  <c r="A216" i="3"/>
  <c r="E216" i="3"/>
  <c r="A217" i="3"/>
  <c r="E217" i="3"/>
  <c r="A218" i="3"/>
  <c r="E218" i="3"/>
  <c r="A219" i="3"/>
  <c r="E219" i="3"/>
  <c r="A220" i="3"/>
  <c r="E220" i="3"/>
  <c r="A221" i="3"/>
  <c r="E221" i="3"/>
  <c r="A222" i="3"/>
  <c r="E222" i="3"/>
  <c r="A223" i="3"/>
  <c r="E223" i="3"/>
  <c r="A224" i="3"/>
  <c r="E224" i="3"/>
  <c r="A225" i="3"/>
  <c r="E225" i="3"/>
  <c r="A226" i="3"/>
  <c r="E226" i="3"/>
  <c r="A227" i="3"/>
  <c r="E227" i="3"/>
  <c r="A228" i="3"/>
  <c r="E228" i="3"/>
  <c r="A229" i="3"/>
  <c r="E229" i="3"/>
  <c r="A230" i="3"/>
  <c r="E230" i="3"/>
  <c r="A231" i="3"/>
  <c r="E231" i="3"/>
  <c r="A232" i="3"/>
  <c r="E232" i="3"/>
  <c r="A233" i="3"/>
  <c r="E233" i="3"/>
  <c r="A234" i="3"/>
  <c r="E234" i="3"/>
  <c r="A235" i="3"/>
  <c r="E235" i="3"/>
  <c r="A236" i="3"/>
  <c r="E236" i="3"/>
  <c r="A237" i="3"/>
  <c r="E237" i="3"/>
  <c r="A238" i="3"/>
  <c r="E238" i="3"/>
  <c r="A239" i="3"/>
  <c r="E239" i="3"/>
  <c r="A240" i="3"/>
  <c r="E240" i="3"/>
  <c r="A241" i="3"/>
  <c r="E241" i="3"/>
  <c r="A242" i="3"/>
  <c r="E242" i="3"/>
  <c r="A243" i="3"/>
  <c r="E243" i="3"/>
  <c r="A244" i="3"/>
  <c r="E244" i="3"/>
  <c r="A245" i="3"/>
  <c r="E245" i="3"/>
  <c r="A246" i="3"/>
  <c r="E246" i="3"/>
  <c r="A247" i="3"/>
  <c r="E247" i="3"/>
  <c r="A248" i="3"/>
  <c r="E248" i="3"/>
  <c r="A249" i="3"/>
  <c r="E249" i="3"/>
  <c r="A250" i="3"/>
  <c r="E250" i="3"/>
  <c r="A251" i="3"/>
  <c r="E251" i="3"/>
  <c r="A252" i="3"/>
  <c r="E252" i="3"/>
  <c r="A253" i="3"/>
  <c r="E253" i="3"/>
  <c r="A254" i="3"/>
  <c r="E254" i="3"/>
  <c r="A255" i="3"/>
  <c r="E255" i="3"/>
  <c r="A256" i="3"/>
  <c r="E256" i="3"/>
  <c r="A257" i="3"/>
  <c r="E257" i="3"/>
  <c r="A258" i="3"/>
  <c r="E258" i="3"/>
  <c r="A259" i="3"/>
  <c r="E259" i="3"/>
  <c r="A260" i="3"/>
  <c r="E260" i="3"/>
  <c r="A261" i="3"/>
  <c r="E261" i="3"/>
  <c r="A262" i="3"/>
  <c r="E262" i="3"/>
  <c r="A263" i="3"/>
  <c r="E263" i="3"/>
  <c r="A264" i="3"/>
  <c r="E264" i="3"/>
  <c r="A265" i="3"/>
  <c r="E265" i="3"/>
  <c r="A266" i="3"/>
  <c r="E266" i="3"/>
  <c r="A267" i="3"/>
  <c r="E267" i="3"/>
  <c r="A268" i="3"/>
  <c r="E268" i="3"/>
  <c r="A269" i="3"/>
  <c r="E269" i="3"/>
  <c r="A270" i="3"/>
  <c r="E270" i="3"/>
  <c r="A271" i="3"/>
  <c r="E271" i="3"/>
  <c r="A272" i="3"/>
  <c r="E272" i="3"/>
  <c r="A273" i="3"/>
  <c r="E273" i="3"/>
  <c r="A274" i="3"/>
  <c r="E274" i="3"/>
  <c r="A275" i="3"/>
  <c r="E275" i="3"/>
  <c r="A276" i="3"/>
  <c r="E276" i="3"/>
  <c r="A277" i="3"/>
  <c r="E277" i="3"/>
  <c r="A278" i="3"/>
  <c r="E278" i="3"/>
  <c r="A279" i="3"/>
  <c r="E279" i="3"/>
  <c r="A280" i="3"/>
  <c r="E280" i="3"/>
  <c r="A281" i="3"/>
  <c r="E281" i="3"/>
  <c r="A282" i="3"/>
  <c r="E282" i="3"/>
  <c r="A283" i="3"/>
  <c r="E283" i="3"/>
  <c r="A284" i="3"/>
  <c r="E284" i="3"/>
  <c r="A285" i="3"/>
  <c r="E285" i="3"/>
  <c r="A286" i="3"/>
  <c r="E286" i="3"/>
  <c r="A287" i="3"/>
  <c r="E287" i="3"/>
  <c r="A288" i="3"/>
  <c r="E288" i="3"/>
  <c r="A289" i="3"/>
  <c r="E289" i="3"/>
  <c r="A290" i="3"/>
  <c r="E290" i="3"/>
  <c r="A291" i="3"/>
  <c r="E291" i="3"/>
  <c r="A292" i="3"/>
  <c r="E292" i="3"/>
  <c r="A293" i="3"/>
  <c r="E293" i="3"/>
  <c r="A294" i="3"/>
  <c r="E294" i="3"/>
  <c r="A295" i="3"/>
  <c r="E295" i="3"/>
  <c r="A296" i="3"/>
  <c r="E296" i="3"/>
  <c r="A297" i="3"/>
  <c r="E297" i="3"/>
  <c r="A298" i="3"/>
  <c r="E298" i="3"/>
  <c r="A299" i="3"/>
  <c r="E299" i="3"/>
  <c r="A300" i="3"/>
  <c r="E300" i="3"/>
  <c r="A301" i="3"/>
  <c r="E301" i="3"/>
  <c r="A302" i="3"/>
  <c r="E302" i="3"/>
  <c r="A303" i="3"/>
  <c r="E303" i="3"/>
  <c r="A304" i="3"/>
  <c r="E304" i="3"/>
  <c r="A305" i="3"/>
  <c r="E305" i="3"/>
  <c r="A306" i="3"/>
  <c r="E306" i="3"/>
  <c r="A307" i="3"/>
  <c r="E307" i="3"/>
  <c r="A308" i="3"/>
  <c r="E308" i="3"/>
  <c r="A309" i="3"/>
  <c r="E309" i="3"/>
  <c r="A310" i="3"/>
  <c r="E310" i="3"/>
  <c r="A311" i="3"/>
  <c r="E311" i="3"/>
  <c r="A312" i="3"/>
  <c r="E312" i="3"/>
  <c r="A313" i="3"/>
  <c r="E313" i="3"/>
  <c r="A314" i="3"/>
  <c r="E314" i="3"/>
  <c r="A315" i="3"/>
  <c r="E315" i="3"/>
  <c r="A316" i="3"/>
  <c r="E316" i="3"/>
  <c r="A317" i="3"/>
  <c r="E317" i="3"/>
  <c r="A318" i="3"/>
  <c r="E318" i="3"/>
  <c r="A319" i="3"/>
  <c r="E319" i="3"/>
  <c r="A320" i="3"/>
  <c r="E320" i="3"/>
  <c r="A321" i="3"/>
  <c r="E321" i="3"/>
  <c r="A322" i="3"/>
  <c r="E322" i="3"/>
  <c r="A323" i="3"/>
  <c r="E323" i="3"/>
  <c r="A324" i="3"/>
  <c r="E324" i="3"/>
  <c r="A325" i="3"/>
  <c r="E325" i="3"/>
  <c r="A326" i="3"/>
  <c r="E326" i="3"/>
  <c r="A327" i="3"/>
  <c r="E327" i="3"/>
  <c r="A328" i="3"/>
  <c r="E328" i="3"/>
  <c r="A329" i="3"/>
  <c r="E329" i="3"/>
  <c r="A330" i="3"/>
  <c r="E330" i="3"/>
  <c r="A331" i="3"/>
  <c r="E331" i="3"/>
  <c r="A332" i="3"/>
  <c r="E332" i="3"/>
  <c r="A333" i="3"/>
  <c r="E333" i="3"/>
  <c r="A334" i="3"/>
  <c r="E334" i="3"/>
  <c r="A335" i="3"/>
  <c r="E335" i="3"/>
  <c r="A336" i="3"/>
  <c r="E336" i="3"/>
  <c r="A337" i="3"/>
  <c r="E337" i="3"/>
  <c r="A338" i="3"/>
  <c r="E338" i="3"/>
  <c r="A339" i="3"/>
  <c r="E339" i="3"/>
  <c r="A340" i="3"/>
  <c r="E340" i="3"/>
  <c r="A341" i="3"/>
  <c r="E341" i="3"/>
  <c r="A342" i="3"/>
  <c r="E342" i="3"/>
  <c r="A343" i="3"/>
  <c r="E343" i="3"/>
  <c r="A344" i="3"/>
  <c r="E344" i="3"/>
  <c r="A345" i="3"/>
  <c r="E345" i="3"/>
  <c r="A346" i="3"/>
  <c r="E346" i="3"/>
  <c r="A347" i="3"/>
  <c r="E347" i="3"/>
  <c r="A348" i="3"/>
  <c r="E348" i="3"/>
  <c r="A349" i="3"/>
  <c r="E349" i="3"/>
  <c r="A350" i="3"/>
  <c r="E350" i="3"/>
  <c r="A351" i="3"/>
  <c r="E351" i="3"/>
  <c r="A352" i="3"/>
  <c r="E352" i="3"/>
  <c r="A353" i="3"/>
  <c r="E353" i="3"/>
  <c r="A354" i="3"/>
  <c r="E354" i="3"/>
  <c r="A355" i="3"/>
  <c r="E355" i="3"/>
  <c r="A356" i="3"/>
  <c r="E356" i="3"/>
  <c r="A357" i="3"/>
  <c r="E357" i="3"/>
  <c r="A358" i="3"/>
  <c r="E358" i="3"/>
  <c r="A359" i="3"/>
  <c r="E359" i="3"/>
  <c r="A360" i="3"/>
  <c r="E360" i="3"/>
  <c r="A361" i="3"/>
  <c r="E361" i="3"/>
  <c r="A362" i="3"/>
  <c r="E362" i="3"/>
  <c r="A363" i="3"/>
  <c r="E363" i="3"/>
  <c r="A364" i="3"/>
  <c r="E364" i="3"/>
  <c r="A365" i="3"/>
  <c r="E365" i="3"/>
  <c r="A366" i="3"/>
  <c r="E366" i="3"/>
  <c r="A367" i="3"/>
  <c r="E367" i="3"/>
  <c r="A368" i="3"/>
  <c r="E368" i="3"/>
  <c r="A369" i="3"/>
  <c r="E369" i="3"/>
  <c r="A370" i="3"/>
  <c r="E370" i="3"/>
  <c r="A371" i="3"/>
  <c r="E371" i="3"/>
  <c r="A372" i="3"/>
  <c r="E372" i="3"/>
  <c r="A373" i="3"/>
  <c r="E373" i="3"/>
  <c r="A374" i="3"/>
  <c r="E374" i="3"/>
  <c r="A375" i="3"/>
  <c r="E375" i="3"/>
  <c r="A376" i="3"/>
  <c r="E376" i="3"/>
  <c r="A377" i="3"/>
  <c r="E377" i="3"/>
  <c r="A378" i="3"/>
  <c r="E378" i="3"/>
  <c r="A379" i="3"/>
  <c r="E379" i="3"/>
  <c r="A380" i="3"/>
  <c r="E380" i="3"/>
  <c r="A381" i="3"/>
  <c r="E381" i="3"/>
  <c r="A382" i="3"/>
  <c r="E382" i="3"/>
  <c r="A383" i="3"/>
  <c r="E383" i="3"/>
  <c r="A384" i="3"/>
  <c r="E384" i="3"/>
  <c r="A385" i="3"/>
  <c r="E385" i="3"/>
  <c r="A386" i="3"/>
  <c r="E386" i="3"/>
  <c r="A387" i="3"/>
  <c r="E387" i="3"/>
  <c r="A388" i="3"/>
  <c r="E388" i="3"/>
  <c r="A389" i="3"/>
  <c r="E389" i="3"/>
  <c r="A390" i="3"/>
  <c r="E390" i="3"/>
  <c r="A391" i="3"/>
  <c r="E391" i="3"/>
  <c r="A392" i="3"/>
  <c r="E392" i="3"/>
  <c r="A393" i="3"/>
  <c r="E393" i="3"/>
  <c r="A394" i="3"/>
  <c r="E394" i="3"/>
  <c r="A395" i="3"/>
  <c r="E395" i="3"/>
  <c r="A396" i="3"/>
  <c r="E396" i="3"/>
  <c r="A397" i="3"/>
  <c r="E397" i="3"/>
  <c r="A398" i="3"/>
  <c r="E398" i="3"/>
  <c r="A399" i="3"/>
  <c r="E399" i="3"/>
  <c r="A400" i="3"/>
  <c r="E400" i="3"/>
  <c r="A401" i="3"/>
  <c r="E401" i="3"/>
  <c r="A402" i="3"/>
  <c r="E402" i="3"/>
  <c r="A403" i="3"/>
  <c r="E403" i="3"/>
  <c r="A404" i="3"/>
  <c r="E404" i="3"/>
  <c r="A405" i="3"/>
  <c r="E405" i="3"/>
  <c r="A406" i="3"/>
  <c r="E406" i="3"/>
  <c r="A407" i="3"/>
  <c r="E407" i="3"/>
  <c r="A408" i="3"/>
  <c r="E408" i="3"/>
  <c r="A409" i="3"/>
  <c r="E409" i="3"/>
  <c r="A410" i="3"/>
  <c r="E410" i="3"/>
  <c r="A411" i="3"/>
  <c r="E411" i="3"/>
  <c r="A412" i="3"/>
  <c r="E412" i="3"/>
  <c r="A413" i="3"/>
  <c r="E413" i="3"/>
  <c r="A414" i="3"/>
  <c r="E414" i="3"/>
  <c r="A415" i="3"/>
  <c r="E415" i="3"/>
  <c r="A416" i="3"/>
  <c r="E416" i="3"/>
  <c r="A417" i="3"/>
  <c r="E417" i="3"/>
  <c r="A418" i="3"/>
  <c r="E418" i="3"/>
  <c r="A419" i="3"/>
  <c r="E419" i="3"/>
  <c r="A420" i="3"/>
  <c r="E420" i="3"/>
  <c r="A421" i="3"/>
  <c r="E421" i="3"/>
  <c r="A422" i="3"/>
  <c r="E422" i="3"/>
  <c r="A423" i="3"/>
  <c r="E423" i="3"/>
  <c r="A424" i="3"/>
  <c r="E424" i="3"/>
  <c r="A425" i="3"/>
  <c r="E425" i="3"/>
  <c r="A426" i="3"/>
  <c r="E426" i="3"/>
  <c r="A427" i="3"/>
  <c r="E427" i="3"/>
  <c r="A428" i="3"/>
  <c r="E428" i="3"/>
  <c r="A429" i="3"/>
  <c r="E429" i="3"/>
  <c r="A430" i="3"/>
  <c r="E430" i="3"/>
  <c r="A431" i="3"/>
  <c r="E431" i="3"/>
  <c r="A432" i="3"/>
  <c r="E432" i="3"/>
  <c r="A433" i="3"/>
  <c r="E433" i="3"/>
  <c r="A434" i="3"/>
  <c r="E434" i="3"/>
  <c r="A435" i="3"/>
  <c r="E435" i="3"/>
  <c r="A436" i="3"/>
  <c r="E436" i="3"/>
  <c r="A437" i="3"/>
  <c r="E437" i="3"/>
  <c r="A438" i="3"/>
  <c r="E438" i="3"/>
  <c r="A439" i="3"/>
  <c r="E439" i="3"/>
  <c r="A440" i="3"/>
  <c r="E440" i="3"/>
  <c r="A441" i="3"/>
  <c r="E441" i="3"/>
  <c r="A442" i="3"/>
  <c r="E442" i="3"/>
  <c r="A443" i="3"/>
  <c r="E443" i="3"/>
  <c r="A444" i="3"/>
  <c r="E444" i="3"/>
  <c r="A445" i="3"/>
  <c r="E445" i="3"/>
  <c r="A446" i="3"/>
  <c r="E446" i="3"/>
  <c r="A447" i="3"/>
  <c r="E447" i="3"/>
  <c r="A448" i="3"/>
  <c r="E448" i="3"/>
  <c r="A449" i="3"/>
  <c r="E449" i="3"/>
  <c r="A450" i="3"/>
  <c r="E450" i="3"/>
  <c r="A451" i="3"/>
  <c r="E451" i="3"/>
  <c r="A452" i="3"/>
  <c r="E452" i="3"/>
  <c r="A453" i="3"/>
  <c r="E453" i="3"/>
  <c r="A454" i="3"/>
  <c r="E454" i="3"/>
  <c r="A455" i="3"/>
  <c r="E455" i="3"/>
  <c r="A456" i="3"/>
  <c r="E456" i="3"/>
  <c r="A457" i="3"/>
  <c r="E457" i="3"/>
  <c r="A458" i="3"/>
  <c r="E458" i="3"/>
  <c r="A459" i="3"/>
  <c r="E459" i="3"/>
  <c r="A460" i="3"/>
  <c r="E460" i="3"/>
  <c r="A461" i="3"/>
  <c r="E461" i="3"/>
  <c r="A462" i="3"/>
  <c r="E462" i="3"/>
  <c r="A463" i="3"/>
  <c r="E463" i="3"/>
  <c r="A464" i="3"/>
  <c r="E464" i="3"/>
  <c r="A465" i="3"/>
  <c r="E465" i="3"/>
  <c r="A466" i="3"/>
  <c r="E466" i="3"/>
  <c r="A467" i="3"/>
  <c r="E467" i="3"/>
  <c r="A468" i="3"/>
  <c r="E468" i="3"/>
  <c r="A469" i="3"/>
  <c r="E469" i="3"/>
  <c r="A470" i="3"/>
  <c r="E470" i="3"/>
  <c r="A471" i="3"/>
  <c r="E471" i="3"/>
  <c r="A472" i="3"/>
  <c r="E472" i="3"/>
  <c r="A473" i="3"/>
  <c r="E473" i="3"/>
  <c r="A474" i="3"/>
  <c r="E474" i="3"/>
  <c r="A475" i="3"/>
  <c r="E475" i="3"/>
  <c r="A476" i="3"/>
  <c r="E476" i="3"/>
  <c r="A477" i="3"/>
  <c r="E477" i="3"/>
  <c r="A478" i="3"/>
  <c r="E478" i="3"/>
  <c r="A479" i="3"/>
  <c r="E479" i="3"/>
  <c r="A480" i="3"/>
  <c r="E480" i="3"/>
  <c r="A481" i="3"/>
  <c r="E481" i="3"/>
  <c r="A482" i="3"/>
  <c r="E482" i="3"/>
  <c r="A483" i="3"/>
  <c r="E483" i="3"/>
  <c r="A484" i="3"/>
  <c r="E484" i="3"/>
  <c r="A485" i="3"/>
  <c r="E485" i="3"/>
  <c r="A486" i="3"/>
  <c r="E486" i="3"/>
  <c r="A487" i="3"/>
  <c r="E487" i="3"/>
  <c r="A488" i="3"/>
  <c r="E488" i="3"/>
  <c r="A489" i="3"/>
  <c r="E489" i="3"/>
  <c r="A490" i="3"/>
  <c r="E490" i="3"/>
  <c r="A491" i="3"/>
  <c r="E491" i="3"/>
  <c r="A492" i="3"/>
  <c r="E492" i="3"/>
  <c r="A493" i="3"/>
  <c r="E493" i="3"/>
  <c r="A494" i="3"/>
  <c r="E494" i="3"/>
  <c r="A495" i="3"/>
  <c r="E495" i="3"/>
  <c r="A496" i="3"/>
  <c r="E496" i="3"/>
  <c r="A497" i="3"/>
  <c r="E497" i="3"/>
  <c r="A498" i="3"/>
  <c r="E498" i="3"/>
  <c r="A499" i="3"/>
  <c r="E499" i="3"/>
  <c r="A500" i="3"/>
  <c r="E500" i="3"/>
  <c r="A501" i="3"/>
  <c r="E501" i="3"/>
  <c r="A502" i="3"/>
  <c r="E502" i="3"/>
  <c r="A503" i="3"/>
  <c r="E503" i="3"/>
  <c r="A504" i="3"/>
  <c r="E504" i="3"/>
  <c r="A505" i="3"/>
  <c r="E505" i="3"/>
  <c r="A506" i="3"/>
  <c r="E506" i="3"/>
  <c r="A507" i="3"/>
  <c r="E507" i="3"/>
  <c r="A508" i="3"/>
  <c r="E508" i="3"/>
  <c r="A509" i="3"/>
  <c r="E509" i="3"/>
  <c r="A510" i="3"/>
  <c r="E510" i="3"/>
  <c r="A511" i="3"/>
  <c r="E511" i="3"/>
  <c r="A512" i="3"/>
  <c r="E512" i="3"/>
  <c r="A513" i="3"/>
  <c r="E513" i="3"/>
  <c r="A514" i="3"/>
  <c r="E514" i="3"/>
  <c r="A515" i="3"/>
  <c r="E515" i="3"/>
  <c r="A516" i="3"/>
  <c r="E516" i="3"/>
  <c r="A517" i="3"/>
  <c r="E517" i="3"/>
  <c r="A518" i="3"/>
  <c r="E518" i="3"/>
  <c r="A519" i="3"/>
  <c r="E519" i="3"/>
  <c r="A520" i="3"/>
  <c r="E520" i="3"/>
  <c r="A521" i="3"/>
  <c r="E521" i="3"/>
  <c r="A522" i="3"/>
  <c r="E522" i="3"/>
  <c r="A523" i="3"/>
  <c r="E523" i="3"/>
  <c r="A524" i="3"/>
  <c r="E524" i="3"/>
  <c r="A525" i="3"/>
  <c r="E525" i="3"/>
  <c r="A526" i="3"/>
  <c r="E526" i="3"/>
  <c r="A527" i="3"/>
  <c r="E527" i="3"/>
  <c r="A528" i="3"/>
  <c r="E528" i="3"/>
  <c r="A529" i="3"/>
  <c r="E529" i="3"/>
  <c r="A530" i="3"/>
  <c r="E530" i="3"/>
  <c r="A531" i="3"/>
  <c r="E531" i="3"/>
  <c r="A532" i="3"/>
  <c r="E532" i="3"/>
  <c r="A533" i="3"/>
  <c r="E533" i="3"/>
  <c r="A534" i="3"/>
  <c r="E534" i="3"/>
  <c r="A535" i="3"/>
  <c r="E535" i="3"/>
  <c r="A536" i="3"/>
  <c r="E536" i="3"/>
  <c r="A537" i="3"/>
  <c r="E537" i="3"/>
  <c r="A538" i="3"/>
  <c r="E538" i="3"/>
  <c r="A539" i="3"/>
  <c r="E539" i="3"/>
  <c r="A540" i="3"/>
  <c r="E540" i="3"/>
  <c r="A541" i="3"/>
  <c r="E541" i="3"/>
  <c r="A542" i="3"/>
  <c r="E542" i="3"/>
  <c r="A543" i="3"/>
  <c r="E543" i="3"/>
  <c r="A544" i="3"/>
  <c r="E544" i="3"/>
  <c r="A545" i="3"/>
  <c r="E545" i="3"/>
  <c r="A546" i="3"/>
  <c r="E546" i="3"/>
  <c r="A547" i="3"/>
  <c r="E547" i="3"/>
  <c r="A548" i="3"/>
  <c r="E548" i="3"/>
  <c r="A549" i="3"/>
  <c r="E549" i="3"/>
  <c r="A550" i="3"/>
  <c r="E550" i="3"/>
  <c r="A551" i="3"/>
  <c r="E551" i="3"/>
  <c r="A552" i="3"/>
  <c r="E552" i="3"/>
  <c r="A553" i="3"/>
  <c r="E553" i="3"/>
  <c r="A554" i="3"/>
  <c r="E554" i="3"/>
  <c r="A555" i="3"/>
  <c r="E555" i="3"/>
  <c r="A556" i="3"/>
  <c r="E556" i="3"/>
  <c r="A557" i="3"/>
  <c r="E557" i="3"/>
  <c r="A558" i="3"/>
  <c r="E558" i="3"/>
  <c r="A559" i="3"/>
  <c r="E559" i="3"/>
  <c r="A560" i="3"/>
  <c r="E560" i="3"/>
  <c r="A561" i="3"/>
  <c r="E561" i="3"/>
  <c r="A562" i="3"/>
  <c r="E562" i="3"/>
  <c r="A563" i="3"/>
  <c r="E563" i="3"/>
  <c r="A564" i="3"/>
  <c r="E564" i="3"/>
  <c r="A565" i="3"/>
  <c r="E565" i="3"/>
  <c r="A566" i="3"/>
  <c r="E566" i="3"/>
  <c r="A567" i="3"/>
  <c r="E567" i="3"/>
  <c r="A568" i="3"/>
  <c r="E568" i="3"/>
  <c r="A569" i="3"/>
  <c r="E569" i="3"/>
  <c r="A570" i="3"/>
  <c r="E570" i="3"/>
  <c r="A571" i="3"/>
  <c r="E571" i="3"/>
  <c r="A572" i="3"/>
  <c r="E572" i="3"/>
  <c r="A573" i="3"/>
  <c r="E573" i="3"/>
  <c r="A574" i="3"/>
  <c r="E574" i="3"/>
  <c r="A575" i="3"/>
  <c r="E575" i="3"/>
  <c r="A576" i="3"/>
  <c r="E576" i="3"/>
  <c r="A577" i="3"/>
  <c r="E577" i="3"/>
  <c r="A578" i="3"/>
  <c r="E578" i="3"/>
  <c r="A579" i="3"/>
  <c r="E579" i="3"/>
  <c r="A580" i="3"/>
  <c r="E580" i="3"/>
  <c r="A581" i="3"/>
  <c r="E581" i="3"/>
  <c r="A582" i="3"/>
  <c r="E582" i="3"/>
  <c r="A583" i="3"/>
  <c r="E583" i="3"/>
  <c r="A584" i="3"/>
  <c r="E584" i="3"/>
  <c r="A585" i="3"/>
  <c r="E585" i="3"/>
  <c r="A586" i="3"/>
  <c r="E586" i="3"/>
  <c r="A587" i="3"/>
  <c r="E587" i="3"/>
  <c r="A588" i="3"/>
  <c r="E588" i="3"/>
  <c r="A589" i="3"/>
  <c r="E589" i="3"/>
  <c r="A590" i="3"/>
  <c r="E590" i="3"/>
  <c r="A591" i="3"/>
  <c r="E591" i="3"/>
  <c r="A592" i="3"/>
  <c r="E592" i="3"/>
  <c r="A593" i="3"/>
  <c r="E593" i="3"/>
  <c r="A594" i="3"/>
  <c r="E594" i="3"/>
  <c r="A595" i="3"/>
  <c r="E595" i="3"/>
  <c r="A596" i="3"/>
  <c r="E596" i="3"/>
  <c r="A597" i="3"/>
  <c r="E597" i="3"/>
  <c r="A598" i="3"/>
  <c r="E598" i="3"/>
  <c r="A599" i="3"/>
  <c r="E599" i="3"/>
  <c r="A600" i="3"/>
  <c r="E600" i="3"/>
  <c r="A601" i="3"/>
  <c r="E601" i="3"/>
  <c r="A602" i="3"/>
  <c r="E602" i="3"/>
  <c r="A603" i="3"/>
  <c r="E603" i="3"/>
  <c r="A604" i="3"/>
  <c r="E604" i="3"/>
  <c r="A605" i="3"/>
  <c r="E605" i="3"/>
  <c r="A606" i="3"/>
  <c r="E606" i="3"/>
  <c r="A607" i="3"/>
  <c r="E607" i="3"/>
  <c r="A608" i="3"/>
  <c r="E608" i="3"/>
  <c r="A609" i="3"/>
  <c r="E609" i="3"/>
  <c r="A610" i="3"/>
  <c r="E610" i="3"/>
  <c r="A611" i="3"/>
  <c r="E611" i="3"/>
  <c r="A612" i="3"/>
  <c r="E612" i="3"/>
  <c r="A613" i="3"/>
  <c r="E613" i="3"/>
  <c r="A614" i="3"/>
  <c r="E614" i="3"/>
  <c r="A615" i="3"/>
  <c r="E615" i="3"/>
  <c r="A616" i="3"/>
  <c r="E616" i="3"/>
  <c r="A617" i="3"/>
  <c r="E617" i="3"/>
  <c r="A618" i="3"/>
  <c r="E618" i="3"/>
  <c r="A619" i="3"/>
  <c r="E619" i="3"/>
  <c r="A620" i="3"/>
  <c r="E620" i="3"/>
  <c r="A621" i="3"/>
  <c r="E621" i="3"/>
  <c r="A622" i="3"/>
  <c r="E622" i="3"/>
  <c r="A623" i="3"/>
  <c r="E623" i="3"/>
  <c r="A624" i="3"/>
  <c r="E624" i="3"/>
  <c r="A625" i="3"/>
  <c r="E625" i="3"/>
  <c r="A626" i="3"/>
  <c r="E626" i="3"/>
  <c r="A627" i="3"/>
  <c r="E627" i="3"/>
  <c r="A628" i="3"/>
  <c r="E628" i="3"/>
  <c r="A629" i="3"/>
  <c r="E629" i="3"/>
  <c r="A630" i="3"/>
  <c r="E630" i="3"/>
  <c r="A631" i="3"/>
  <c r="E631" i="3"/>
  <c r="A632" i="3"/>
  <c r="E632" i="3"/>
  <c r="A633" i="3"/>
  <c r="E633" i="3"/>
  <c r="A634" i="3"/>
  <c r="E634" i="3"/>
  <c r="A635" i="3"/>
  <c r="E635" i="3"/>
  <c r="A636" i="3"/>
  <c r="E636" i="3"/>
  <c r="A637" i="3"/>
  <c r="E637" i="3"/>
  <c r="A638" i="3"/>
  <c r="E638" i="3"/>
  <c r="A639" i="3"/>
  <c r="E639" i="3"/>
  <c r="A640" i="3"/>
  <c r="E640" i="3"/>
  <c r="A641" i="3"/>
  <c r="E641" i="3"/>
  <c r="A642" i="3"/>
  <c r="E642" i="3"/>
  <c r="A643" i="3"/>
  <c r="E643" i="3"/>
  <c r="A644" i="3"/>
  <c r="E644" i="3"/>
  <c r="A645" i="3"/>
  <c r="E645" i="3"/>
  <c r="A646" i="3"/>
  <c r="E646" i="3"/>
  <c r="A647" i="3"/>
  <c r="E647" i="3"/>
  <c r="A648" i="3"/>
  <c r="E648" i="3"/>
  <c r="A649" i="3"/>
  <c r="E649" i="3"/>
  <c r="A650" i="3"/>
  <c r="E650" i="3"/>
  <c r="A651" i="3"/>
  <c r="E651" i="3"/>
  <c r="A652" i="3"/>
  <c r="E652" i="3"/>
  <c r="A653" i="3"/>
  <c r="E653" i="3"/>
  <c r="A654" i="3"/>
  <c r="E654" i="3"/>
  <c r="A655" i="3"/>
  <c r="E655" i="3"/>
  <c r="A656" i="3"/>
  <c r="E656" i="3"/>
  <c r="A657" i="3"/>
  <c r="E657" i="3"/>
  <c r="A658" i="3"/>
  <c r="E658" i="3"/>
  <c r="A659" i="3"/>
  <c r="E659" i="3"/>
  <c r="A660" i="3"/>
  <c r="E660" i="3"/>
  <c r="A661" i="3"/>
  <c r="E661" i="3"/>
  <c r="A662" i="3"/>
  <c r="E662" i="3"/>
  <c r="A663" i="3"/>
  <c r="E663" i="3"/>
  <c r="A664" i="3"/>
  <c r="E664" i="3"/>
  <c r="A665" i="3"/>
  <c r="E665" i="3"/>
  <c r="A666" i="3"/>
  <c r="E666" i="3"/>
  <c r="A667" i="3"/>
  <c r="E667" i="3"/>
  <c r="A668" i="3"/>
  <c r="E668" i="3"/>
  <c r="A669" i="3"/>
  <c r="E669" i="3"/>
  <c r="A670" i="3"/>
  <c r="E670" i="3"/>
  <c r="A671" i="3"/>
  <c r="E671" i="3"/>
  <c r="A672" i="3"/>
  <c r="E672" i="3"/>
  <c r="A673" i="3"/>
  <c r="E673" i="3"/>
  <c r="A674" i="3"/>
  <c r="E674" i="3"/>
  <c r="A675" i="3"/>
  <c r="E675" i="3"/>
  <c r="A676" i="3"/>
  <c r="E676" i="3"/>
  <c r="A677" i="3"/>
  <c r="E677" i="3"/>
  <c r="A678" i="3"/>
  <c r="E678" i="3"/>
  <c r="A679" i="3"/>
  <c r="E679" i="3"/>
  <c r="A680" i="3"/>
  <c r="E680" i="3"/>
  <c r="A681" i="3"/>
  <c r="E681" i="3"/>
  <c r="A682" i="3"/>
  <c r="E682" i="3"/>
  <c r="A683" i="3"/>
  <c r="E683" i="3"/>
  <c r="A684" i="3"/>
  <c r="E684" i="3"/>
  <c r="A685" i="3"/>
  <c r="E685" i="3"/>
  <c r="A686" i="3"/>
  <c r="E686" i="3"/>
  <c r="A687" i="3"/>
  <c r="E687" i="3"/>
  <c r="A688" i="3"/>
  <c r="E688" i="3"/>
  <c r="A689" i="3"/>
  <c r="E689" i="3"/>
  <c r="A690" i="3"/>
  <c r="E690" i="3"/>
  <c r="A691" i="3"/>
  <c r="E691" i="3"/>
  <c r="A692" i="3"/>
  <c r="E692" i="3"/>
  <c r="A693" i="3"/>
  <c r="E693" i="3"/>
  <c r="A694" i="3"/>
  <c r="E694" i="3"/>
  <c r="A695" i="3"/>
  <c r="E695" i="3"/>
  <c r="A696" i="3"/>
  <c r="E696" i="3"/>
  <c r="A697" i="3"/>
  <c r="E697" i="3"/>
  <c r="A698" i="3"/>
  <c r="E698" i="3"/>
  <c r="A699" i="3"/>
  <c r="E699" i="3"/>
  <c r="A700" i="3"/>
  <c r="E700" i="3"/>
  <c r="A701" i="3"/>
  <c r="E701" i="3"/>
  <c r="A702" i="3"/>
  <c r="E702" i="3"/>
  <c r="A703" i="3"/>
  <c r="E703" i="3"/>
  <c r="A704" i="3"/>
  <c r="E704" i="3"/>
  <c r="A705" i="3"/>
  <c r="E705" i="3"/>
  <c r="A706" i="3"/>
  <c r="E706" i="3"/>
  <c r="A707" i="3"/>
  <c r="E707" i="3"/>
  <c r="A708" i="3"/>
  <c r="E708" i="3"/>
  <c r="A709" i="3"/>
  <c r="E709" i="3"/>
  <c r="A710" i="3"/>
  <c r="E710" i="3"/>
  <c r="A711" i="3"/>
  <c r="E711" i="3"/>
  <c r="A712" i="3"/>
  <c r="E712" i="3"/>
  <c r="A713" i="3"/>
  <c r="E713" i="3"/>
  <c r="A714" i="3"/>
  <c r="E714" i="3"/>
  <c r="A715" i="3"/>
  <c r="E715" i="3"/>
  <c r="A716" i="3"/>
  <c r="E716" i="3"/>
  <c r="A717" i="3"/>
  <c r="E717" i="3"/>
  <c r="A718" i="3"/>
  <c r="E718" i="3"/>
  <c r="A719" i="3"/>
  <c r="E719" i="3"/>
  <c r="A720" i="3"/>
  <c r="E720" i="3"/>
  <c r="A721" i="3"/>
  <c r="E721" i="3"/>
  <c r="A722" i="3"/>
  <c r="E722" i="3"/>
  <c r="A723" i="3"/>
  <c r="E723" i="3"/>
  <c r="A724" i="3"/>
  <c r="E724" i="3"/>
  <c r="A725" i="3"/>
  <c r="E725" i="3"/>
  <c r="A726" i="3"/>
  <c r="E726" i="3"/>
  <c r="A727" i="3"/>
  <c r="E727" i="3"/>
  <c r="A728" i="3"/>
  <c r="E728" i="3"/>
  <c r="A729" i="3"/>
  <c r="E729" i="3"/>
  <c r="A730" i="3"/>
  <c r="E730" i="3"/>
  <c r="A731" i="3"/>
  <c r="E731" i="3"/>
  <c r="A732" i="3"/>
  <c r="E732" i="3"/>
  <c r="A733" i="3"/>
  <c r="E733" i="3"/>
  <c r="A734" i="3"/>
  <c r="E734" i="3"/>
  <c r="A735" i="3"/>
  <c r="E735" i="3"/>
  <c r="A736" i="3"/>
  <c r="E736" i="3"/>
  <c r="A737" i="3"/>
  <c r="E737" i="3"/>
  <c r="A738" i="3"/>
  <c r="E738" i="3"/>
  <c r="A739" i="3"/>
  <c r="E739" i="3"/>
  <c r="A740" i="3"/>
  <c r="E740" i="3"/>
  <c r="A741" i="3"/>
  <c r="E741" i="3"/>
  <c r="A742" i="3"/>
  <c r="E742" i="3"/>
  <c r="A743" i="3"/>
  <c r="E743" i="3"/>
  <c r="A744" i="3"/>
  <c r="E744" i="3"/>
  <c r="A745" i="3"/>
  <c r="E745" i="3"/>
  <c r="A746" i="3"/>
  <c r="E746" i="3"/>
  <c r="A747" i="3"/>
  <c r="E747" i="3"/>
  <c r="A748" i="3"/>
  <c r="E748" i="3"/>
  <c r="A749" i="3"/>
  <c r="E749" i="3"/>
  <c r="A750" i="3"/>
  <c r="E750" i="3"/>
  <c r="A751" i="3"/>
  <c r="E751" i="3"/>
  <c r="A752" i="3"/>
  <c r="E752" i="3"/>
  <c r="A753" i="3"/>
  <c r="E753" i="3"/>
  <c r="A754" i="3"/>
  <c r="E754" i="3"/>
  <c r="A755" i="3"/>
  <c r="E755" i="3"/>
  <c r="A756" i="3"/>
  <c r="E756" i="3"/>
  <c r="A757" i="3"/>
  <c r="E757" i="3"/>
  <c r="A758" i="3"/>
  <c r="E758" i="3"/>
  <c r="A759" i="3"/>
  <c r="E759" i="3"/>
  <c r="A760" i="3"/>
  <c r="E760" i="3"/>
  <c r="A761" i="3"/>
  <c r="E761" i="3"/>
  <c r="A762" i="3"/>
  <c r="E762" i="3"/>
  <c r="A763" i="3"/>
  <c r="E763" i="3"/>
  <c r="A764" i="3"/>
  <c r="E764" i="3"/>
  <c r="A765" i="3"/>
  <c r="E765" i="3"/>
  <c r="A766" i="3"/>
  <c r="E766" i="3"/>
  <c r="A767" i="3"/>
  <c r="E767" i="3"/>
  <c r="A768" i="3"/>
  <c r="E768" i="3"/>
  <c r="A769" i="3"/>
  <c r="E769" i="3"/>
  <c r="A770" i="3"/>
  <c r="E770" i="3"/>
  <c r="A771" i="3"/>
  <c r="E771" i="3"/>
  <c r="A772" i="3"/>
  <c r="E772" i="3"/>
  <c r="A773" i="3"/>
  <c r="E773" i="3"/>
  <c r="A774" i="3"/>
  <c r="E774" i="3"/>
  <c r="A775" i="3"/>
  <c r="E775" i="3"/>
  <c r="A776" i="3"/>
  <c r="E776" i="3"/>
  <c r="A777" i="3"/>
  <c r="E777" i="3"/>
  <c r="A778" i="3"/>
  <c r="E778" i="3"/>
  <c r="A779" i="3"/>
  <c r="E779" i="3"/>
  <c r="A780" i="3"/>
  <c r="E780" i="3"/>
  <c r="A781" i="3"/>
  <c r="E781" i="3"/>
  <c r="A782" i="3"/>
  <c r="E782" i="3"/>
  <c r="A783" i="3"/>
  <c r="E783" i="3"/>
  <c r="A784" i="3"/>
  <c r="E784" i="3"/>
  <c r="A785" i="3"/>
  <c r="E785" i="3"/>
  <c r="A786" i="3"/>
  <c r="E786" i="3"/>
  <c r="A787" i="3"/>
  <c r="E787" i="3"/>
  <c r="A788" i="3"/>
  <c r="E788" i="3"/>
  <c r="A789" i="3"/>
  <c r="E789" i="3"/>
  <c r="A790" i="3"/>
  <c r="E790" i="3"/>
  <c r="A791" i="3"/>
  <c r="E791" i="3"/>
  <c r="A792" i="3"/>
  <c r="E792" i="3"/>
  <c r="A793" i="3"/>
  <c r="E793" i="3"/>
  <c r="A794" i="3"/>
  <c r="E794" i="3"/>
  <c r="A795" i="3"/>
  <c r="E795" i="3"/>
  <c r="A796" i="3"/>
  <c r="E796" i="3"/>
  <c r="A797" i="3"/>
  <c r="E797" i="3"/>
  <c r="A798" i="3"/>
  <c r="E798" i="3"/>
  <c r="A799" i="3"/>
  <c r="E799" i="3"/>
  <c r="A800" i="3"/>
  <c r="E800" i="3"/>
  <c r="A801" i="3"/>
  <c r="E801" i="3"/>
  <c r="A802" i="3"/>
  <c r="E802" i="3"/>
  <c r="A803" i="3"/>
  <c r="E803" i="3"/>
  <c r="A804" i="3"/>
  <c r="E804" i="3"/>
  <c r="A805" i="3"/>
  <c r="E805" i="3"/>
  <c r="A806" i="3"/>
  <c r="E806" i="3"/>
  <c r="A807" i="3"/>
  <c r="E807" i="3"/>
  <c r="A808" i="3"/>
  <c r="E808" i="3"/>
  <c r="A809" i="3"/>
  <c r="E809" i="3"/>
  <c r="A810" i="3"/>
  <c r="E810" i="3"/>
  <c r="A811" i="3"/>
  <c r="E811" i="3"/>
  <c r="A812" i="3"/>
  <c r="E812" i="3"/>
  <c r="A813" i="3"/>
  <c r="E813" i="3"/>
  <c r="A814" i="3"/>
  <c r="E814" i="3"/>
  <c r="A815" i="3"/>
  <c r="E815" i="3"/>
  <c r="A816" i="3"/>
  <c r="E816" i="3"/>
  <c r="A817" i="3"/>
  <c r="E817" i="3"/>
  <c r="A818" i="3"/>
  <c r="E818" i="3"/>
  <c r="A819" i="3"/>
  <c r="E819" i="3"/>
  <c r="A820" i="3"/>
  <c r="E820" i="3"/>
  <c r="A821" i="3"/>
  <c r="E821" i="3"/>
  <c r="A822" i="3"/>
  <c r="E822" i="3"/>
  <c r="A823" i="3"/>
  <c r="E823" i="3"/>
  <c r="A824" i="3"/>
  <c r="E824" i="3"/>
  <c r="A825" i="3"/>
  <c r="E825" i="3"/>
  <c r="A826" i="3"/>
  <c r="E826" i="3"/>
  <c r="A827" i="3"/>
  <c r="E827" i="3"/>
  <c r="A828" i="3"/>
  <c r="E828" i="3"/>
  <c r="A829" i="3"/>
  <c r="E829" i="3"/>
  <c r="A830" i="3"/>
  <c r="E830" i="3"/>
  <c r="A831" i="3"/>
  <c r="E831" i="3"/>
  <c r="A832" i="3"/>
  <c r="E832" i="3"/>
  <c r="A833" i="3"/>
  <c r="E833" i="3"/>
  <c r="A834" i="3"/>
  <c r="E834" i="3"/>
  <c r="A835" i="3"/>
  <c r="E835" i="3"/>
  <c r="A836" i="3"/>
  <c r="E836" i="3"/>
  <c r="A837" i="3"/>
  <c r="E837" i="3"/>
  <c r="A838" i="3"/>
  <c r="E838" i="3"/>
  <c r="A839" i="3"/>
  <c r="E839" i="3"/>
  <c r="A840" i="3"/>
  <c r="E840" i="3"/>
  <c r="A841" i="3"/>
  <c r="E841" i="3"/>
  <c r="A842" i="3"/>
  <c r="E842" i="3"/>
  <c r="A843" i="3"/>
  <c r="E843" i="3"/>
  <c r="A844" i="3"/>
  <c r="E844" i="3"/>
  <c r="A845" i="3"/>
  <c r="E845" i="3"/>
  <c r="A846" i="3"/>
  <c r="E846" i="3"/>
  <c r="A847" i="3"/>
  <c r="E847" i="3"/>
  <c r="A848" i="3"/>
  <c r="E848" i="3"/>
  <c r="A849" i="3"/>
  <c r="E849" i="3"/>
  <c r="A850" i="3"/>
  <c r="E850" i="3"/>
  <c r="A851" i="3"/>
  <c r="E851" i="3"/>
  <c r="A852" i="3"/>
  <c r="E852" i="3"/>
  <c r="A853" i="3"/>
  <c r="E853" i="3"/>
  <c r="A854" i="3"/>
  <c r="E854" i="3"/>
  <c r="A855" i="3"/>
  <c r="E855" i="3"/>
  <c r="A856" i="3"/>
  <c r="E856" i="3"/>
  <c r="A857" i="3"/>
  <c r="E857" i="3"/>
  <c r="A858" i="3"/>
  <c r="E858" i="3"/>
  <c r="A859" i="3"/>
  <c r="E859" i="3"/>
  <c r="A860" i="3"/>
  <c r="E860" i="3"/>
  <c r="A861" i="3"/>
  <c r="E861" i="3"/>
  <c r="A862" i="3"/>
  <c r="E862" i="3"/>
  <c r="A863" i="3"/>
  <c r="E863" i="3"/>
  <c r="A864" i="3"/>
  <c r="E864" i="3"/>
  <c r="A865" i="3"/>
  <c r="E865" i="3"/>
  <c r="A866" i="3"/>
  <c r="E866" i="3"/>
  <c r="A867" i="3"/>
  <c r="E867" i="3"/>
  <c r="A868" i="3"/>
  <c r="E868" i="3"/>
  <c r="A869" i="3"/>
  <c r="E869" i="3"/>
  <c r="A870" i="3"/>
  <c r="E870" i="3"/>
  <c r="A871" i="3"/>
  <c r="E871" i="3"/>
  <c r="A872" i="3"/>
  <c r="E872" i="3"/>
  <c r="A873" i="3"/>
  <c r="E873" i="3"/>
  <c r="A874" i="3"/>
  <c r="E874" i="3"/>
  <c r="A875" i="3"/>
  <c r="E875" i="3"/>
  <c r="A876" i="3"/>
  <c r="E876" i="3"/>
  <c r="A877" i="3"/>
  <c r="E877" i="3"/>
  <c r="A878" i="3"/>
  <c r="E878" i="3"/>
  <c r="A879" i="3"/>
  <c r="E879" i="3"/>
  <c r="A880" i="3"/>
  <c r="E880" i="3"/>
  <c r="A881" i="3"/>
  <c r="E881" i="3"/>
  <c r="A882" i="3"/>
  <c r="E882" i="3"/>
  <c r="A883" i="3"/>
  <c r="E883" i="3"/>
  <c r="A884" i="3"/>
  <c r="E884" i="3"/>
  <c r="A885" i="3"/>
  <c r="E885" i="3"/>
  <c r="A886" i="3"/>
  <c r="E886" i="3"/>
  <c r="A887" i="3"/>
  <c r="E887" i="3"/>
  <c r="A888" i="3"/>
  <c r="E888" i="3"/>
  <c r="A889" i="3"/>
  <c r="E889" i="3"/>
  <c r="A890" i="3"/>
  <c r="E890" i="3"/>
  <c r="A891" i="3"/>
  <c r="E891" i="3"/>
  <c r="A892" i="3"/>
  <c r="E892" i="3"/>
  <c r="A893" i="3"/>
  <c r="E893" i="3"/>
  <c r="A894" i="3"/>
  <c r="E894" i="3"/>
  <c r="A895" i="3"/>
  <c r="E895" i="3"/>
  <c r="A896" i="3"/>
  <c r="E896" i="3"/>
  <c r="A897" i="3"/>
  <c r="E897" i="3"/>
  <c r="A898" i="3"/>
  <c r="E898" i="3"/>
  <c r="A899" i="3"/>
  <c r="E899" i="3"/>
  <c r="A900" i="3"/>
  <c r="E900" i="3"/>
  <c r="A901" i="3"/>
  <c r="E901" i="3"/>
  <c r="A902" i="3"/>
  <c r="E902" i="3"/>
  <c r="A903" i="3"/>
  <c r="E903" i="3"/>
  <c r="A904" i="3"/>
  <c r="E904" i="3"/>
  <c r="A905" i="3"/>
  <c r="E905" i="3"/>
  <c r="A906" i="3"/>
  <c r="E906" i="3"/>
  <c r="A907" i="3"/>
  <c r="E907" i="3"/>
  <c r="A908" i="3"/>
  <c r="E908" i="3"/>
  <c r="A909" i="3"/>
  <c r="E909" i="3"/>
  <c r="A910" i="3"/>
  <c r="E910" i="3"/>
  <c r="A911" i="3"/>
  <c r="E911" i="3"/>
  <c r="A912" i="3"/>
  <c r="E912" i="3"/>
  <c r="A913" i="3"/>
  <c r="E913" i="3"/>
  <c r="A914" i="3"/>
  <c r="E914" i="3"/>
  <c r="A915" i="3"/>
  <c r="E915" i="3"/>
  <c r="A916" i="3"/>
  <c r="E916" i="3"/>
  <c r="A917" i="3"/>
  <c r="E917" i="3"/>
  <c r="A918" i="3"/>
  <c r="E918" i="3"/>
  <c r="A919" i="3"/>
  <c r="E919" i="3"/>
  <c r="A920" i="3"/>
  <c r="E920" i="3"/>
  <c r="A921" i="3"/>
  <c r="E921" i="3"/>
  <c r="A922" i="3"/>
  <c r="E922" i="3"/>
  <c r="A923" i="3"/>
  <c r="E923" i="3"/>
  <c r="A924" i="3"/>
  <c r="E924" i="3"/>
  <c r="A925" i="3"/>
  <c r="E925" i="3"/>
  <c r="A926" i="3"/>
  <c r="E926" i="3"/>
  <c r="A927" i="3"/>
  <c r="E927" i="3"/>
  <c r="A928" i="3"/>
  <c r="E928" i="3"/>
  <c r="A929" i="3"/>
  <c r="E929" i="3"/>
  <c r="A930" i="3"/>
  <c r="E930" i="3"/>
  <c r="A931" i="3"/>
  <c r="E931" i="3"/>
  <c r="A932" i="3"/>
  <c r="E932" i="3"/>
  <c r="A933" i="3"/>
  <c r="E933" i="3"/>
  <c r="A934" i="3"/>
  <c r="E934" i="3"/>
  <c r="A935" i="3"/>
  <c r="E935" i="3"/>
  <c r="A936" i="3"/>
  <c r="E936" i="3"/>
  <c r="A937" i="3"/>
  <c r="E937" i="3"/>
  <c r="A938" i="3"/>
  <c r="E938" i="3"/>
  <c r="A939" i="3"/>
  <c r="E939" i="3"/>
  <c r="A940" i="3"/>
  <c r="E940" i="3"/>
  <c r="A941" i="3"/>
  <c r="E941" i="3"/>
  <c r="A942" i="3"/>
  <c r="E942" i="3"/>
  <c r="A943" i="3"/>
  <c r="E943" i="3"/>
  <c r="A944" i="3"/>
  <c r="E944" i="3"/>
  <c r="A945" i="3"/>
  <c r="E945" i="3"/>
  <c r="A946" i="3"/>
  <c r="E946" i="3"/>
  <c r="A947" i="3"/>
  <c r="E947" i="3"/>
  <c r="A948" i="3"/>
  <c r="E948" i="3"/>
  <c r="A949" i="3"/>
  <c r="E949" i="3"/>
  <c r="A950" i="3"/>
  <c r="E950" i="3"/>
  <c r="A951" i="3"/>
  <c r="E951" i="3"/>
  <c r="A952" i="3"/>
  <c r="E952" i="3"/>
  <c r="A953" i="3"/>
  <c r="E953" i="3"/>
  <c r="A954" i="3"/>
  <c r="E954" i="3"/>
  <c r="A955" i="3"/>
  <c r="E955" i="3"/>
  <c r="A956" i="3"/>
  <c r="E956" i="3"/>
  <c r="A957" i="3"/>
  <c r="E957" i="3"/>
  <c r="A958" i="3"/>
  <c r="E958" i="3"/>
  <c r="A959" i="3"/>
  <c r="E959" i="3"/>
  <c r="A960" i="3"/>
  <c r="E960" i="3"/>
  <c r="A961" i="3"/>
  <c r="E961" i="3"/>
  <c r="A962" i="3"/>
  <c r="E962" i="3"/>
  <c r="A963" i="3"/>
  <c r="E963" i="3"/>
  <c r="A964" i="3"/>
  <c r="E964" i="3"/>
  <c r="A965" i="3"/>
  <c r="E965" i="3"/>
  <c r="A966" i="3"/>
  <c r="E966" i="3"/>
  <c r="A967" i="3"/>
  <c r="E967" i="3"/>
  <c r="A968" i="3"/>
  <c r="E968" i="3"/>
  <c r="A969" i="3"/>
  <c r="E969" i="3"/>
  <c r="A970" i="3"/>
  <c r="E970" i="3"/>
  <c r="A971" i="3"/>
  <c r="E971" i="3"/>
  <c r="A972" i="3"/>
  <c r="E972" i="3"/>
  <c r="A973" i="3"/>
  <c r="E973" i="3"/>
  <c r="A974" i="3"/>
  <c r="E974" i="3"/>
  <c r="A975" i="3"/>
  <c r="E975" i="3"/>
  <c r="A976" i="3"/>
  <c r="E976" i="3"/>
  <c r="A977" i="3"/>
  <c r="E977" i="3"/>
  <c r="A978" i="3"/>
  <c r="E978" i="3"/>
  <c r="A979" i="3"/>
  <c r="E979" i="3"/>
  <c r="A980" i="3"/>
  <c r="E980" i="3"/>
  <c r="A981" i="3"/>
  <c r="E981" i="3"/>
  <c r="A982" i="3"/>
  <c r="E982" i="3"/>
  <c r="A983" i="3"/>
  <c r="E983" i="3"/>
  <c r="A984" i="3"/>
  <c r="E984" i="3"/>
  <c r="A985" i="3"/>
  <c r="E985" i="3"/>
  <c r="A986" i="3"/>
  <c r="E986" i="3"/>
  <c r="A987" i="3"/>
  <c r="E987" i="3"/>
  <c r="A988" i="3"/>
  <c r="E988" i="3"/>
  <c r="A989" i="3"/>
  <c r="E989" i="3"/>
  <c r="A990" i="3"/>
  <c r="E990" i="3"/>
  <c r="A991" i="3"/>
  <c r="E991" i="3"/>
  <c r="A992" i="3"/>
  <c r="E992" i="3"/>
  <c r="A993" i="3"/>
  <c r="E993" i="3"/>
  <c r="A994" i="3"/>
  <c r="E994" i="3"/>
  <c r="A995" i="3"/>
  <c r="E995" i="3"/>
  <c r="A996" i="3"/>
  <c r="E996" i="3"/>
  <c r="A997" i="3"/>
  <c r="E997" i="3"/>
  <c r="A998" i="3"/>
  <c r="E998" i="3"/>
  <c r="A999" i="3"/>
  <c r="E999" i="3"/>
  <c r="A1000" i="3"/>
  <c r="E1000" i="3"/>
  <c r="A1001" i="3"/>
  <c r="E1001" i="3"/>
  <c r="A1002" i="3"/>
  <c r="E1002" i="3"/>
  <c r="A1003" i="3"/>
  <c r="E1003" i="3"/>
  <c r="A1004" i="3"/>
  <c r="E1004" i="3"/>
  <c r="A1005" i="3"/>
  <c r="E1005" i="3"/>
  <c r="A1006" i="3"/>
  <c r="E1006" i="3"/>
  <c r="A1007" i="3"/>
  <c r="E1007" i="3"/>
  <c r="A1008" i="3"/>
  <c r="E1008" i="3"/>
  <c r="A1009" i="3"/>
  <c r="E1009" i="3"/>
  <c r="A1010" i="3"/>
  <c r="E1010" i="3"/>
  <c r="A1011" i="3"/>
  <c r="E1011" i="3"/>
  <c r="A1012" i="3"/>
  <c r="E1012" i="3"/>
  <c r="A1013" i="3"/>
  <c r="E1013" i="3"/>
  <c r="A1014" i="3"/>
  <c r="E1014" i="3"/>
  <c r="A1015" i="3"/>
  <c r="E1015" i="3"/>
  <c r="A1016" i="3"/>
  <c r="E1016" i="3"/>
  <c r="A1017" i="3"/>
  <c r="E1017" i="3"/>
  <c r="A1018" i="3"/>
  <c r="E1018" i="3"/>
  <c r="A1019" i="3"/>
  <c r="E1019" i="3"/>
  <c r="A1020" i="3"/>
  <c r="E1020" i="3"/>
  <c r="A1021" i="3"/>
  <c r="E1021" i="3"/>
  <c r="A1022" i="3"/>
  <c r="E1022" i="3"/>
  <c r="A1023" i="3"/>
  <c r="E1023" i="3"/>
  <c r="A1024" i="3"/>
  <c r="E1024" i="3"/>
  <c r="A1025" i="3"/>
  <c r="E1025" i="3"/>
  <c r="A1026" i="3"/>
  <c r="E1026" i="3"/>
  <c r="A1027" i="3"/>
  <c r="E1027" i="3"/>
  <c r="A1028" i="3"/>
  <c r="E1028" i="3"/>
  <c r="A1029" i="3"/>
  <c r="E1029" i="3"/>
  <c r="A1030" i="3"/>
  <c r="E1030" i="3"/>
  <c r="A1031" i="3"/>
  <c r="E1031" i="3"/>
  <c r="A1032" i="3"/>
  <c r="E1032" i="3"/>
  <c r="A1033" i="3"/>
  <c r="E1033" i="3"/>
  <c r="A1034" i="3"/>
  <c r="E1034" i="3"/>
  <c r="A1035" i="3"/>
  <c r="E1035" i="3"/>
  <c r="A1036" i="3"/>
  <c r="E1036" i="3"/>
  <c r="A1037" i="3"/>
  <c r="E1037" i="3"/>
  <c r="A1038" i="3"/>
  <c r="E1038" i="3"/>
  <c r="A1039" i="3"/>
  <c r="E1039" i="3"/>
  <c r="A1040" i="3"/>
  <c r="E1040" i="3"/>
  <c r="A1041" i="3"/>
  <c r="E1041" i="3"/>
  <c r="A1042" i="3"/>
  <c r="E1042" i="3"/>
  <c r="A1043" i="3"/>
  <c r="E1043" i="3"/>
  <c r="A1044" i="3"/>
  <c r="E1044" i="3"/>
  <c r="A1045" i="3"/>
  <c r="E1045" i="3"/>
  <c r="A1046" i="3"/>
  <c r="E1046" i="3"/>
  <c r="A1047" i="3"/>
  <c r="E1047" i="3"/>
  <c r="A1048" i="3"/>
  <c r="E1048" i="3"/>
  <c r="A1049" i="3"/>
  <c r="E1049" i="3"/>
  <c r="A1050" i="3"/>
  <c r="E1050" i="3"/>
  <c r="A1051" i="3"/>
  <c r="E1051" i="3"/>
  <c r="A1052" i="3"/>
  <c r="E1052" i="3"/>
  <c r="A1053" i="3"/>
  <c r="E1053" i="3"/>
  <c r="A1054" i="3"/>
  <c r="E1054" i="3"/>
  <c r="A1055" i="3"/>
  <c r="E1055" i="3"/>
  <c r="A1056" i="3"/>
  <c r="E1056" i="3"/>
  <c r="A1057" i="3"/>
  <c r="E1057" i="3"/>
  <c r="A1058" i="3"/>
  <c r="E1058" i="3"/>
  <c r="A1059" i="3"/>
  <c r="E1059" i="3"/>
  <c r="A1060" i="3"/>
  <c r="E1060" i="3"/>
  <c r="A1061" i="3"/>
  <c r="E1061" i="3"/>
  <c r="A1062" i="3"/>
  <c r="E1062" i="3"/>
  <c r="A1063" i="3"/>
  <c r="E1063" i="3"/>
  <c r="A1064" i="3"/>
  <c r="E1064" i="3"/>
  <c r="A1065" i="3"/>
  <c r="E1065" i="3"/>
  <c r="A1066" i="3"/>
  <c r="E1066" i="3"/>
  <c r="A1067" i="3"/>
  <c r="E1067" i="3"/>
  <c r="A1068" i="3"/>
  <c r="E1068" i="3"/>
  <c r="A1069" i="3"/>
  <c r="E1069" i="3"/>
  <c r="A1070" i="3"/>
  <c r="E1070" i="3"/>
  <c r="A1071" i="3"/>
  <c r="E1071" i="3"/>
  <c r="A1072" i="3"/>
  <c r="E1072" i="3"/>
  <c r="A1073" i="3"/>
  <c r="E1073" i="3"/>
  <c r="A1074" i="3"/>
  <c r="E1074" i="3"/>
  <c r="A1075" i="3"/>
  <c r="E1075" i="3"/>
  <c r="A1076" i="3"/>
  <c r="E1076" i="3"/>
  <c r="A1077" i="3"/>
  <c r="E1077" i="3"/>
  <c r="A1078" i="3"/>
  <c r="E1078" i="3"/>
  <c r="A1079" i="3"/>
  <c r="E1079" i="3"/>
  <c r="A1080" i="3"/>
  <c r="E1080" i="3"/>
  <c r="A1081" i="3"/>
  <c r="E1081" i="3"/>
  <c r="A1082" i="3"/>
  <c r="E1082" i="3"/>
  <c r="A1083" i="3"/>
  <c r="E1083" i="3"/>
  <c r="A1084" i="3"/>
  <c r="E1084" i="3"/>
  <c r="A1085" i="3"/>
  <c r="E1085" i="3"/>
  <c r="A1086" i="3"/>
  <c r="E1086" i="3"/>
  <c r="A1087" i="3"/>
  <c r="E1087" i="3"/>
  <c r="A1088" i="3"/>
  <c r="E1088" i="3"/>
  <c r="A1089" i="3"/>
  <c r="E1089" i="3"/>
  <c r="A1090" i="3"/>
  <c r="E1090" i="3"/>
  <c r="A1091" i="3"/>
  <c r="E1091" i="3"/>
  <c r="A1092" i="3"/>
  <c r="E1092" i="3"/>
  <c r="A1093" i="3"/>
  <c r="E1093" i="3"/>
  <c r="A1094" i="3"/>
  <c r="E1094" i="3"/>
  <c r="A1095" i="3"/>
  <c r="E1095" i="3"/>
  <c r="A1096" i="3"/>
  <c r="E1096" i="3"/>
  <c r="A1097" i="3"/>
  <c r="E1097" i="3"/>
  <c r="A1098" i="3"/>
  <c r="E1098" i="3"/>
  <c r="A1099" i="3"/>
  <c r="E1099" i="3"/>
  <c r="A1100" i="3"/>
  <c r="E1100" i="3"/>
  <c r="A1101" i="3"/>
  <c r="E1101" i="3"/>
  <c r="A1102" i="3"/>
  <c r="E1102" i="3"/>
  <c r="A1103" i="3"/>
  <c r="E1103" i="3"/>
  <c r="A1104" i="3"/>
  <c r="E1104" i="3"/>
  <c r="A1105" i="3"/>
  <c r="E1105" i="3"/>
  <c r="A1106" i="3"/>
  <c r="E1106" i="3"/>
  <c r="A1107" i="3"/>
  <c r="E1107" i="3"/>
  <c r="A1108" i="3"/>
  <c r="E1108" i="3"/>
  <c r="A1109" i="3"/>
  <c r="E1109" i="3"/>
  <c r="A1110" i="3"/>
  <c r="E1110" i="3"/>
  <c r="A1111" i="3"/>
  <c r="E1111" i="3"/>
  <c r="A1112" i="3"/>
  <c r="E1112" i="3"/>
  <c r="A1113" i="3"/>
  <c r="E1113" i="3"/>
  <c r="A1114" i="3"/>
  <c r="E1114" i="3"/>
  <c r="A1115" i="3"/>
  <c r="E1115" i="3"/>
  <c r="A1116" i="3"/>
  <c r="E1116" i="3"/>
  <c r="A1117" i="3"/>
  <c r="E1117" i="3"/>
  <c r="A1118" i="3"/>
  <c r="E1118" i="3"/>
  <c r="A1119" i="3"/>
  <c r="E1119" i="3"/>
  <c r="A1120" i="3"/>
  <c r="E1120" i="3"/>
  <c r="A1121" i="3"/>
  <c r="E1121" i="3"/>
  <c r="A1122" i="3"/>
  <c r="E1122" i="3"/>
  <c r="A1123" i="3"/>
  <c r="E1123" i="3"/>
  <c r="A1124" i="3"/>
  <c r="E1124" i="3"/>
  <c r="A1125" i="3"/>
  <c r="E1125" i="3"/>
  <c r="A1126" i="3"/>
  <c r="E1126" i="3"/>
  <c r="A1127" i="3"/>
  <c r="E1127" i="3"/>
  <c r="A1128" i="3"/>
  <c r="E1128" i="3"/>
  <c r="A1129" i="3"/>
  <c r="E1129" i="3"/>
  <c r="A1130" i="3"/>
  <c r="E1130" i="3"/>
  <c r="A1131" i="3"/>
  <c r="E1131" i="3"/>
  <c r="A1132" i="3"/>
  <c r="E1132" i="3"/>
  <c r="A1133" i="3"/>
  <c r="E1133" i="3"/>
  <c r="A1134" i="3"/>
  <c r="E1134" i="3"/>
  <c r="A1135" i="3"/>
  <c r="E1135" i="3"/>
  <c r="A1136" i="3"/>
  <c r="E1136" i="3"/>
  <c r="A1137" i="3"/>
  <c r="E1137" i="3"/>
  <c r="A1138" i="3"/>
  <c r="E1138" i="3"/>
  <c r="A1139" i="3"/>
  <c r="E1139" i="3"/>
  <c r="A1140" i="3"/>
  <c r="E1140" i="3"/>
  <c r="A1141" i="3"/>
  <c r="E1141" i="3"/>
  <c r="A1142" i="3"/>
  <c r="E1142" i="3"/>
  <c r="A1143" i="3"/>
  <c r="E1143" i="3"/>
  <c r="A1144" i="3"/>
  <c r="E1144" i="3"/>
  <c r="A1145" i="3"/>
  <c r="E1145" i="3"/>
  <c r="A1146" i="3"/>
  <c r="E1146" i="3"/>
  <c r="A1147" i="3"/>
  <c r="E1147" i="3"/>
  <c r="A1148" i="3"/>
  <c r="E1148" i="3"/>
  <c r="A1149" i="3"/>
  <c r="E1149" i="3"/>
  <c r="A1150" i="3"/>
  <c r="E1150" i="3"/>
  <c r="A1151" i="3"/>
  <c r="E1151" i="3"/>
  <c r="A1152" i="3"/>
  <c r="E1152" i="3"/>
  <c r="A1153" i="3"/>
  <c r="E1153" i="3"/>
  <c r="A1154" i="3"/>
  <c r="E1154" i="3"/>
  <c r="A1155" i="3"/>
  <c r="E1155" i="3"/>
  <c r="A1156" i="3"/>
  <c r="E1156" i="3"/>
  <c r="A1157" i="3"/>
  <c r="E1157" i="3"/>
  <c r="A1158" i="3"/>
  <c r="E1158" i="3"/>
  <c r="A1159" i="3"/>
  <c r="E1159" i="3"/>
  <c r="A1160" i="3"/>
  <c r="E1160" i="3"/>
  <c r="A1161" i="3"/>
  <c r="E1161" i="3"/>
  <c r="A1162" i="3"/>
  <c r="E1162" i="3"/>
  <c r="A1163" i="3"/>
  <c r="E1163" i="3"/>
  <c r="A1164" i="3"/>
  <c r="E1164" i="3"/>
  <c r="A1165" i="3"/>
  <c r="E1165" i="3"/>
  <c r="A1166" i="3"/>
  <c r="E1166" i="3"/>
  <c r="A1167" i="3"/>
  <c r="E1167" i="3"/>
  <c r="A1168" i="3"/>
  <c r="E1168" i="3"/>
  <c r="A1169" i="3"/>
  <c r="E1169" i="3"/>
  <c r="A1170" i="3"/>
  <c r="E1170" i="3"/>
  <c r="A1171" i="3"/>
  <c r="E1171" i="3"/>
  <c r="A1172" i="3"/>
  <c r="E1172" i="3"/>
  <c r="A1173" i="3"/>
  <c r="E1173" i="3"/>
  <c r="A1174" i="3"/>
  <c r="E1174" i="3"/>
  <c r="A1175" i="3"/>
  <c r="E1175" i="3"/>
  <c r="A1176" i="3"/>
  <c r="E1176" i="3"/>
  <c r="A1177" i="3"/>
  <c r="E1177" i="3"/>
  <c r="A1178" i="3"/>
  <c r="E1178" i="3"/>
  <c r="A1179" i="3"/>
  <c r="E1179" i="3"/>
  <c r="A1180" i="3"/>
  <c r="E1180" i="3"/>
  <c r="A1181" i="3"/>
  <c r="E1181" i="3"/>
  <c r="A1182" i="3"/>
  <c r="E1182" i="3"/>
  <c r="A1183" i="3"/>
  <c r="E1183" i="3"/>
  <c r="A1184" i="3"/>
  <c r="E1184" i="3"/>
  <c r="A1185" i="3"/>
  <c r="E1185" i="3"/>
  <c r="A1186" i="3"/>
  <c r="E1186" i="3"/>
  <c r="A1187" i="3"/>
  <c r="E1187" i="3"/>
  <c r="A1188" i="3"/>
  <c r="E1188" i="3"/>
  <c r="A1189" i="3"/>
  <c r="E1189" i="3"/>
  <c r="A1190" i="3"/>
  <c r="E1190" i="3"/>
  <c r="A1191" i="3"/>
  <c r="E1191" i="3"/>
  <c r="A1192" i="3"/>
  <c r="E1192" i="3"/>
  <c r="A1193" i="3"/>
  <c r="E1193" i="3"/>
  <c r="A1194" i="3"/>
  <c r="E1194" i="3"/>
  <c r="A1195" i="3"/>
  <c r="E1195" i="3"/>
  <c r="A1196" i="3"/>
  <c r="E1196" i="3"/>
  <c r="A1197" i="3"/>
  <c r="E1197" i="3"/>
  <c r="A1198" i="3"/>
  <c r="E1198" i="3"/>
  <c r="A1199" i="3"/>
  <c r="E1199" i="3"/>
  <c r="A1200" i="3"/>
  <c r="E1200" i="3"/>
  <c r="A1201" i="3"/>
  <c r="E1201" i="3"/>
  <c r="A1202" i="3"/>
  <c r="E1202" i="3"/>
  <c r="A1203" i="3"/>
  <c r="E1203" i="3"/>
  <c r="A1204" i="3"/>
  <c r="E1204" i="3"/>
  <c r="A1205" i="3"/>
  <c r="E1205" i="3"/>
  <c r="A1206" i="3"/>
  <c r="E1206" i="3"/>
  <c r="A1207" i="3"/>
  <c r="E1207" i="3"/>
  <c r="A1208" i="3"/>
  <c r="E1208" i="3"/>
  <c r="A1209" i="3"/>
  <c r="E1209" i="3"/>
  <c r="A1210" i="3"/>
  <c r="E1210" i="3"/>
  <c r="A1211" i="3"/>
  <c r="E1211" i="3"/>
  <c r="A1212" i="3"/>
  <c r="E1212" i="3"/>
  <c r="A1213" i="3"/>
  <c r="E1213" i="3"/>
  <c r="A1214" i="3"/>
  <c r="E1214" i="3"/>
  <c r="A1215" i="3"/>
  <c r="E1215" i="3"/>
  <c r="A1216" i="3"/>
  <c r="E1216" i="3"/>
  <c r="A1217" i="3"/>
  <c r="E1217" i="3"/>
  <c r="A1218" i="3"/>
  <c r="E1218" i="3"/>
  <c r="A1219" i="3"/>
  <c r="E1219" i="3"/>
  <c r="A1220" i="3"/>
  <c r="E1220" i="3"/>
  <c r="A1221" i="3"/>
  <c r="E1221" i="3"/>
  <c r="A1222" i="3"/>
  <c r="E1222" i="3"/>
  <c r="A1223" i="3"/>
  <c r="E1223" i="3"/>
  <c r="A1224" i="3"/>
  <c r="E1224" i="3"/>
  <c r="A1225" i="3"/>
  <c r="E1225" i="3"/>
  <c r="A1226" i="3"/>
  <c r="E1226" i="3"/>
  <c r="A1227" i="3"/>
  <c r="E1227" i="3"/>
  <c r="A1228" i="3"/>
  <c r="E1228" i="3"/>
  <c r="A1229" i="3"/>
  <c r="E1229" i="3"/>
  <c r="A1230" i="3"/>
  <c r="E1230" i="3"/>
  <c r="A1231" i="3"/>
  <c r="E1231" i="3"/>
  <c r="A1232" i="3"/>
  <c r="E1232" i="3"/>
  <c r="A1233" i="3"/>
  <c r="E1233" i="3"/>
  <c r="A1234" i="3"/>
  <c r="E1234" i="3"/>
  <c r="A1235" i="3"/>
  <c r="E1235" i="3"/>
  <c r="A1236" i="3"/>
  <c r="E1236" i="3"/>
  <c r="A1237" i="3"/>
  <c r="E1237" i="3"/>
  <c r="A1238" i="3"/>
  <c r="E1238" i="3"/>
  <c r="A1239" i="3"/>
  <c r="E1239" i="3"/>
  <c r="A1240" i="3"/>
  <c r="E1240" i="3"/>
  <c r="A1241" i="3"/>
  <c r="E1241" i="3"/>
  <c r="A1242" i="3"/>
  <c r="E1242" i="3"/>
  <c r="A1243" i="3"/>
  <c r="E1243" i="3"/>
  <c r="A1244" i="3"/>
  <c r="E1244" i="3"/>
  <c r="A1245" i="3"/>
  <c r="E1245" i="3"/>
  <c r="A1246" i="3"/>
  <c r="E1246" i="3"/>
  <c r="A1247" i="3"/>
  <c r="E1247" i="3"/>
  <c r="A1248" i="3"/>
  <c r="E1248" i="3"/>
  <c r="A1249" i="3"/>
  <c r="E1249" i="3"/>
  <c r="A1250" i="3"/>
  <c r="E1250" i="3"/>
  <c r="A1251" i="3"/>
  <c r="E1251" i="3"/>
  <c r="A1252" i="3"/>
  <c r="E1252" i="3"/>
  <c r="A1253" i="3"/>
  <c r="E1253" i="3"/>
  <c r="A1254" i="3"/>
  <c r="E1254" i="3"/>
  <c r="A1255" i="3"/>
  <c r="E1255" i="3"/>
  <c r="A1256" i="3"/>
  <c r="E1256" i="3"/>
  <c r="A1257" i="3"/>
  <c r="E1257" i="3"/>
  <c r="A1258" i="3"/>
  <c r="E1258" i="3"/>
  <c r="A1259" i="3"/>
  <c r="E1259" i="3"/>
  <c r="A1260" i="3"/>
  <c r="E1260" i="3"/>
  <c r="A1261" i="3"/>
  <c r="E1261" i="3"/>
  <c r="A1262" i="3"/>
  <c r="E1262" i="3"/>
  <c r="A1263" i="3"/>
  <c r="E1263" i="3"/>
  <c r="A1264" i="3"/>
  <c r="E1264" i="3"/>
  <c r="A1265" i="3"/>
  <c r="E1265" i="3"/>
  <c r="A1266" i="3"/>
  <c r="E1266" i="3"/>
  <c r="A1267" i="3"/>
  <c r="E1267" i="3"/>
  <c r="A1268" i="3"/>
  <c r="E1268" i="3"/>
  <c r="A1269" i="3"/>
  <c r="E1269" i="3"/>
  <c r="A1270" i="3"/>
  <c r="E1270" i="3"/>
  <c r="A1271" i="3"/>
  <c r="E1271" i="3"/>
  <c r="A1272" i="3"/>
  <c r="E1272" i="3"/>
  <c r="A1273" i="3"/>
  <c r="E1273" i="3"/>
  <c r="A1274" i="3"/>
  <c r="E1274" i="3"/>
  <c r="A1275" i="3"/>
  <c r="E1275" i="3"/>
  <c r="A1276" i="3"/>
  <c r="E1276" i="3"/>
  <c r="A1277" i="3"/>
  <c r="E1277" i="3"/>
  <c r="A1278" i="3"/>
  <c r="E1278" i="3"/>
  <c r="A1279" i="3"/>
  <c r="E1279" i="3"/>
  <c r="A1280" i="3"/>
  <c r="E1280" i="3"/>
  <c r="A1281" i="3"/>
  <c r="E1281" i="3"/>
  <c r="A1282" i="3"/>
  <c r="E1282" i="3"/>
  <c r="A1283" i="3"/>
  <c r="E1283" i="3"/>
  <c r="A1284" i="3"/>
  <c r="E1284" i="3"/>
  <c r="A1285" i="3"/>
  <c r="E1285" i="3"/>
  <c r="A1286" i="3"/>
  <c r="E1286" i="3"/>
  <c r="A1287" i="3"/>
  <c r="E1287" i="3"/>
  <c r="A1288" i="3"/>
  <c r="E1288" i="3"/>
  <c r="A1289" i="3"/>
  <c r="E1289" i="3"/>
  <c r="A1290" i="3"/>
  <c r="E1290" i="3"/>
  <c r="A1291" i="3"/>
  <c r="E1291" i="3"/>
  <c r="A1292" i="3"/>
  <c r="E1292" i="3"/>
  <c r="A1293" i="3"/>
  <c r="E1293" i="3"/>
  <c r="A1294" i="3"/>
  <c r="E1294" i="3"/>
  <c r="A1295" i="3"/>
  <c r="E1295" i="3"/>
  <c r="A1296" i="3"/>
  <c r="E1296" i="3"/>
  <c r="A1297" i="3"/>
  <c r="E1297" i="3"/>
  <c r="A1298" i="3"/>
  <c r="E1298" i="3"/>
  <c r="A1299" i="3"/>
  <c r="E1299" i="3"/>
  <c r="A1300" i="3"/>
  <c r="E1300" i="3"/>
  <c r="A1301" i="3"/>
  <c r="E1301" i="3"/>
  <c r="A1302" i="3"/>
  <c r="E1302" i="3"/>
  <c r="A1303" i="3"/>
  <c r="E1303" i="3"/>
  <c r="A1304" i="3"/>
  <c r="E1304" i="3"/>
  <c r="A1305" i="3"/>
  <c r="E1305" i="3"/>
  <c r="A1306" i="3"/>
  <c r="E1306" i="3"/>
  <c r="A1307" i="3"/>
  <c r="E1307" i="3"/>
  <c r="A1308" i="3"/>
  <c r="E1308" i="3"/>
  <c r="A1309" i="3"/>
  <c r="E1309" i="3"/>
  <c r="A1310" i="3"/>
  <c r="E1310" i="3"/>
  <c r="A1311" i="3"/>
  <c r="E1311" i="3"/>
  <c r="A1312" i="3"/>
  <c r="E1312" i="3"/>
  <c r="A1313" i="3"/>
  <c r="E1313" i="3"/>
  <c r="A1314" i="3"/>
  <c r="E1314" i="3"/>
  <c r="A1315" i="3"/>
  <c r="E1315" i="3"/>
  <c r="A1316" i="3"/>
  <c r="E1316" i="3"/>
  <c r="A1317" i="3"/>
  <c r="E1317" i="3"/>
  <c r="A1318" i="3"/>
  <c r="E1318" i="3"/>
  <c r="A1319" i="3"/>
  <c r="E1319" i="3"/>
  <c r="A1320" i="3"/>
  <c r="E1320" i="3"/>
  <c r="A1321" i="3"/>
  <c r="E1321" i="3"/>
  <c r="A1322" i="3"/>
  <c r="E1322" i="3"/>
  <c r="A1323" i="3"/>
  <c r="E1323" i="3"/>
  <c r="A1324" i="3"/>
  <c r="E1324" i="3"/>
  <c r="A1325" i="3"/>
  <c r="E1325" i="3"/>
  <c r="A1326" i="3"/>
  <c r="E1326" i="3"/>
  <c r="A1327" i="3"/>
  <c r="E1327" i="3"/>
  <c r="A1328" i="3"/>
  <c r="E1328" i="3"/>
  <c r="A1329" i="3"/>
  <c r="E1329" i="3"/>
  <c r="A1330" i="3"/>
  <c r="E1330" i="3"/>
  <c r="A1331" i="3"/>
  <c r="E1331" i="3"/>
  <c r="A1332" i="3"/>
  <c r="E1332" i="3"/>
  <c r="A1333" i="3"/>
  <c r="E1333" i="3"/>
  <c r="A1334" i="3"/>
  <c r="E1334" i="3"/>
  <c r="A1335" i="3"/>
  <c r="E1335" i="3"/>
  <c r="A1336" i="3"/>
  <c r="E1336" i="3"/>
  <c r="A1337" i="3"/>
  <c r="E1337" i="3"/>
  <c r="A1338" i="3"/>
  <c r="E1338" i="3"/>
  <c r="A1339" i="3"/>
  <c r="E1339" i="3"/>
  <c r="A1340" i="3"/>
  <c r="E1340" i="3"/>
  <c r="A1341" i="3"/>
  <c r="E1341" i="3"/>
  <c r="A1342" i="3"/>
  <c r="E1342" i="3"/>
  <c r="A1343" i="3"/>
  <c r="E1343" i="3"/>
  <c r="A1344" i="3"/>
  <c r="E1344" i="3"/>
  <c r="A1345" i="3"/>
  <c r="E1345" i="3"/>
  <c r="A1346" i="3"/>
  <c r="E1346" i="3"/>
  <c r="A1347" i="3"/>
  <c r="E1347" i="3"/>
  <c r="A1348" i="3"/>
  <c r="E1348" i="3"/>
  <c r="A1349" i="3"/>
  <c r="E1349" i="3"/>
  <c r="A1350" i="3"/>
  <c r="E1350" i="3"/>
  <c r="A1351" i="3"/>
  <c r="E1351" i="3"/>
  <c r="A1352" i="3"/>
  <c r="E1352" i="3"/>
  <c r="A1353" i="3"/>
  <c r="E1353" i="3"/>
  <c r="A1354" i="3"/>
  <c r="E1354" i="3"/>
  <c r="A1355" i="3"/>
  <c r="E1355" i="3"/>
  <c r="A1356" i="3"/>
  <c r="E1356" i="3"/>
  <c r="A1357" i="3"/>
  <c r="E1357" i="3"/>
  <c r="A1358" i="3"/>
  <c r="E1358" i="3"/>
  <c r="A1359" i="3"/>
  <c r="E1359" i="3"/>
  <c r="A1360" i="3"/>
  <c r="E1360" i="3"/>
  <c r="A1361" i="3"/>
  <c r="E1361" i="3"/>
  <c r="A1362" i="3"/>
  <c r="E1362" i="3"/>
  <c r="A1363" i="3"/>
  <c r="E1363" i="3"/>
  <c r="A1364" i="3"/>
  <c r="E1364" i="3"/>
  <c r="A1365" i="3"/>
  <c r="E1365" i="3"/>
  <c r="A1366" i="3"/>
  <c r="E1366" i="3"/>
  <c r="A1367" i="3"/>
  <c r="E1367" i="3"/>
  <c r="A1368" i="3"/>
  <c r="E1368" i="3"/>
  <c r="A1369" i="3"/>
  <c r="E1369" i="3"/>
  <c r="A1370" i="3"/>
  <c r="E1370" i="3"/>
  <c r="A1371" i="3"/>
  <c r="E1371" i="3"/>
  <c r="A1372" i="3"/>
  <c r="E1372" i="3"/>
  <c r="A1373" i="3"/>
  <c r="E1373" i="3"/>
  <c r="A1374" i="3"/>
  <c r="E1374" i="3"/>
  <c r="A1375" i="3"/>
  <c r="E1375" i="3"/>
  <c r="A1376" i="3"/>
  <c r="E1376" i="3"/>
  <c r="A1377" i="3"/>
  <c r="E1377" i="3"/>
  <c r="A1378" i="3"/>
  <c r="E1378" i="3"/>
  <c r="A1379" i="3"/>
  <c r="E1379" i="3"/>
  <c r="A1380" i="3"/>
  <c r="E1380" i="3"/>
  <c r="A1381" i="3"/>
  <c r="E1381" i="3"/>
  <c r="A1382" i="3"/>
  <c r="E1382" i="3"/>
  <c r="A1383" i="3"/>
  <c r="E1383" i="3"/>
  <c r="A1384" i="3"/>
  <c r="E1384" i="3"/>
  <c r="A1385" i="3"/>
  <c r="E1385" i="3"/>
  <c r="A1386" i="3"/>
  <c r="E1386" i="3"/>
  <c r="A1387" i="3"/>
  <c r="E1387" i="3"/>
  <c r="A1388" i="3"/>
  <c r="E1388" i="3"/>
  <c r="A1389" i="3"/>
  <c r="E1389" i="3"/>
  <c r="A1390" i="3"/>
  <c r="E1390" i="3"/>
  <c r="A1391" i="3"/>
  <c r="E1391" i="3"/>
  <c r="A1392" i="3"/>
  <c r="E1392" i="3"/>
  <c r="A1393" i="3"/>
  <c r="E1393" i="3"/>
  <c r="A1394" i="3"/>
  <c r="E1394" i="3"/>
  <c r="A1395" i="3"/>
  <c r="E1395" i="3"/>
  <c r="A1396" i="3"/>
  <c r="E1396" i="3"/>
  <c r="A1397" i="3"/>
  <c r="E1397" i="3"/>
  <c r="A1398" i="3"/>
  <c r="E1398" i="3"/>
  <c r="A1399" i="3"/>
  <c r="E1399" i="3"/>
  <c r="A1400" i="3"/>
  <c r="E1400" i="3"/>
  <c r="A1401" i="3"/>
  <c r="E1401" i="3"/>
  <c r="A1402" i="3"/>
  <c r="E1402" i="3"/>
  <c r="A1403" i="3"/>
  <c r="E1403" i="3"/>
  <c r="A1404" i="3"/>
  <c r="E1404" i="3"/>
  <c r="A1405" i="3"/>
  <c r="E1405" i="3"/>
  <c r="A1406" i="3"/>
  <c r="E1406" i="3"/>
  <c r="A1407" i="3"/>
  <c r="E1407" i="3"/>
  <c r="A1408" i="3"/>
  <c r="E1408" i="3"/>
  <c r="A1409" i="3"/>
  <c r="E1409" i="3"/>
  <c r="A1410" i="3"/>
  <c r="E1410" i="3"/>
  <c r="A1411" i="3"/>
  <c r="E1411" i="3"/>
  <c r="A1412" i="3"/>
  <c r="E1412" i="3"/>
  <c r="A1413" i="3"/>
  <c r="E1413" i="3"/>
  <c r="A1414" i="3"/>
  <c r="E1414" i="3"/>
  <c r="A1415" i="3"/>
  <c r="E1415" i="3"/>
  <c r="A1416" i="3"/>
  <c r="E1416" i="3"/>
  <c r="A1417" i="3"/>
  <c r="E1417" i="3"/>
  <c r="A1418" i="3"/>
  <c r="E1418" i="3"/>
  <c r="A1419" i="3"/>
  <c r="E1419" i="3"/>
  <c r="A1420" i="3"/>
  <c r="E1420" i="3"/>
  <c r="A1421" i="3"/>
  <c r="E1421" i="3"/>
  <c r="A1422" i="3"/>
  <c r="E1422" i="3"/>
  <c r="A1423" i="3"/>
  <c r="E1423" i="3"/>
  <c r="A1424" i="3"/>
  <c r="E1424" i="3"/>
  <c r="A1425" i="3"/>
  <c r="E1425" i="3"/>
  <c r="A1426" i="3"/>
  <c r="E1426" i="3"/>
  <c r="A1427" i="3"/>
  <c r="E1427" i="3"/>
  <c r="A1428" i="3"/>
  <c r="E1428" i="3"/>
  <c r="A1429" i="3"/>
  <c r="E1429" i="3"/>
  <c r="A1430" i="3"/>
  <c r="E1430" i="3"/>
  <c r="A1431" i="3"/>
  <c r="E1431" i="3"/>
  <c r="A1432" i="3"/>
  <c r="E1432" i="3"/>
  <c r="A1433" i="3"/>
  <c r="E1433" i="3"/>
  <c r="A1434" i="3"/>
  <c r="E1434" i="3"/>
  <c r="A1435" i="3"/>
  <c r="E1435" i="3"/>
  <c r="A1436" i="3"/>
  <c r="E1436" i="3"/>
  <c r="A1437" i="3"/>
  <c r="E1437" i="3"/>
  <c r="A1438" i="3"/>
  <c r="E1438" i="3"/>
  <c r="A1439" i="3"/>
  <c r="E1439" i="3"/>
  <c r="A1440" i="3"/>
  <c r="E1440" i="3"/>
  <c r="A1441" i="3"/>
  <c r="E1441" i="3"/>
  <c r="A1442" i="3"/>
  <c r="E1442" i="3"/>
  <c r="A1443" i="3"/>
  <c r="E1443" i="3"/>
  <c r="A1444" i="3"/>
  <c r="E1444" i="3"/>
  <c r="A1445" i="3"/>
  <c r="E1445" i="3"/>
  <c r="A1446" i="3"/>
  <c r="E1446" i="3"/>
  <c r="A1447" i="3"/>
  <c r="E1447" i="3"/>
  <c r="A1448" i="3"/>
  <c r="E1448" i="3"/>
  <c r="A1449" i="3"/>
  <c r="E1449" i="3"/>
  <c r="A1450" i="3"/>
  <c r="E1450" i="3"/>
  <c r="A1451" i="3"/>
  <c r="E1451" i="3"/>
  <c r="A1452" i="3"/>
  <c r="E1452" i="3"/>
  <c r="A1453" i="3"/>
  <c r="E1453" i="3"/>
  <c r="A1454" i="3"/>
  <c r="E1454" i="3"/>
  <c r="A1455" i="3"/>
  <c r="E1455" i="3"/>
  <c r="A1456" i="3"/>
  <c r="E1456" i="3"/>
  <c r="A1457" i="3"/>
  <c r="E1457" i="3"/>
  <c r="A1458" i="3"/>
  <c r="E1458" i="3"/>
  <c r="A1459" i="3"/>
  <c r="E1459" i="3"/>
  <c r="A1460" i="3"/>
  <c r="E1460" i="3"/>
  <c r="A1461" i="3"/>
  <c r="E1461" i="3"/>
  <c r="A1462" i="3"/>
  <c r="E1462" i="3"/>
  <c r="A1463" i="3"/>
  <c r="E1463" i="3"/>
  <c r="A1464" i="3"/>
  <c r="E1464" i="3"/>
  <c r="A1465" i="3"/>
  <c r="E1465" i="3"/>
  <c r="A1466" i="3"/>
  <c r="E1466" i="3"/>
  <c r="A1467" i="3"/>
  <c r="E1467" i="3"/>
  <c r="A1468" i="3"/>
  <c r="E1468" i="3"/>
  <c r="A1469" i="3"/>
  <c r="E1469" i="3"/>
  <c r="A1470" i="3"/>
  <c r="E1470" i="3"/>
  <c r="A1471" i="3"/>
  <c r="E1471" i="3"/>
  <c r="A1472" i="3"/>
  <c r="E1472" i="3"/>
  <c r="A1473" i="3"/>
  <c r="E1473" i="3"/>
  <c r="A1474" i="3"/>
  <c r="E1474" i="3"/>
  <c r="A1475" i="3"/>
  <c r="E1475" i="3"/>
  <c r="A1476" i="3"/>
  <c r="E1476" i="3"/>
  <c r="A1477" i="3"/>
  <c r="E1477" i="3"/>
  <c r="A1478" i="3"/>
  <c r="E1478" i="3"/>
  <c r="A1479" i="3"/>
  <c r="E1479" i="3"/>
  <c r="A1480" i="3"/>
  <c r="E1480" i="3"/>
  <c r="A1481" i="3"/>
  <c r="E1481" i="3"/>
  <c r="A1482" i="3"/>
  <c r="E1482" i="3"/>
  <c r="A1483" i="3"/>
  <c r="E1483" i="3"/>
  <c r="A1484" i="3"/>
  <c r="E1484" i="3"/>
  <c r="A1485" i="3"/>
  <c r="E1485" i="3"/>
  <c r="A1486" i="3"/>
  <c r="E1486" i="3"/>
  <c r="A1487" i="3"/>
  <c r="E1487" i="3"/>
  <c r="A1488" i="3"/>
  <c r="E1488" i="3"/>
  <c r="A1489" i="3"/>
  <c r="E1489" i="3"/>
  <c r="A1490" i="3"/>
  <c r="E1490" i="3"/>
  <c r="A1491" i="3"/>
  <c r="E1491" i="3"/>
  <c r="A1492" i="3"/>
  <c r="E1492" i="3"/>
  <c r="A1493" i="3"/>
  <c r="E1493" i="3"/>
  <c r="A1494" i="3"/>
  <c r="E1494" i="3"/>
  <c r="A1495" i="3"/>
  <c r="E1495" i="3"/>
  <c r="A1496" i="3"/>
  <c r="E1496" i="3"/>
  <c r="A1497" i="3"/>
  <c r="E1497" i="3"/>
  <c r="A1498" i="3"/>
  <c r="E1498" i="3"/>
  <c r="A1499" i="3"/>
  <c r="E1499" i="3"/>
  <c r="A1500" i="3"/>
  <c r="E1500" i="3"/>
  <c r="A1501" i="3"/>
  <c r="E1501" i="3"/>
  <c r="A1502" i="3"/>
  <c r="E1502" i="3"/>
  <c r="A1503" i="3"/>
  <c r="E1503" i="3"/>
  <c r="A1504" i="3"/>
  <c r="E1504" i="3"/>
  <c r="A1505" i="3"/>
  <c r="E1505" i="3"/>
  <c r="A1506" i="3"/>
  <c r="E1506" i="3"/>
  <c r="A1507" i="3"/>
  <c r="E1507" i="3"/>
  <c r="A1508" i="3"/>
  <c r="E1508" i="3"/>
  <c r="A1509" i="3"/>
  <c r="E1509" i="3"/>
  <c r="A1510" i="3"/>
  <c r="E1510" i="3"/>
  <c r="A1511" i="3"/>
  <c r="E1511" i="3"/>
  <c r="A1512" i="3"/>
  <c r="E14" i="3"/>
  <c r="E15" i="3"/>
  <c r="E16" i="3"/>
  <c r="E17" i="3"/>
  <c r="E18" i="3"/>
  <c r="E20" i="3"/>
  <c r="E21" i="3"/>
  <c r="E22" i="3"/>
  <c r="E23" i="3"/>
  <c r="E24" i="3"/>
  <c r="E25" i="3"/>
  <c r="E26" i="3"/>
  <c r="E27" i="3"/>
  <c r="E13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R11" i="2"/>
  <c r="T11" i="2"/>
  <c r="O11" i="2"/>
  <c r="M11" i="2"/>
  <c r="Q11" i="2"/>
  <c r="L11" i="2"/>
  <c r="N11" i="2"/>
  <c r="K11" i="2"/>
  <c r="J11" i="2"/>
</calcChain>
</file>

<file path=xl/sharedStrings.xml><?xml version="1.0" encoding="utf-8"?>
<sst xmlns="http://schemas.openxmlformats.org/spreadsheetml/2006/main" count="105" uniqueCount="58">
  <si>
    <t>Precinct</t>
  </si>
  <si>
    <t>Arrival Rate</t>
  </si>
  <si>
    <t>Voters Per Hour</t>
  </si>
  <si>
    <t>Average time to vote</t>
  </si>
  <si>
    <t>Number of voting stations</t>
  </si>
  <si>
    <t>Maximum Line Length</t>
  </si>
  <si>
    <t>Balking Rate</t>
  </si>
  <si>
    <t>Minutes per Voter</t>
  </si>
  <si>
    <t>Number</t>
  </si>
  <si>
    <t>Average Wait Time</t>
  </si>
  <si>
    <t>Average Time in System</t>
  </si>
  <si>
    <t>Expected Voters in System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</si>
  <si>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</si>
  <si>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</si>
  <si>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</si>
  <si>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</si>
  <si>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</si>
  <si>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</si>
  <si>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</si>
  <si>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</si>
  <si>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</si>
  <si>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</si>
  <si>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System is Unstable</t>
  </si>
  <si>
    <t>Overall Alert</t>
  </si>
  <si>
    <t>System is Stable</t>
  </si>
  <si>
    <t>None</t>
  </si>
  <si>
    <t>Enter Number of Precincts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</si>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</sst>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zoomScale="80" zoomScaleNormal="80" workbookViewId="0">
      <selection activeCell="E24" sqref="E24"/>
    </sheetView>
  </sheetViews>
  <sheetFormatPr baseColWidth="10" defaultColWidth="8.83203125" defaultRowHeight="15" outlineLevelCol="1" x14ac:dyDescent="0.2"/>
  <cols>
    <col min="1" max="1" width="27.5" style="12" customWidth="1" outlineLevel="1"/>
    <col min="2" max="2" width="2.5" style="12" customWidth="1" outlineLevel="1"/>
    <col min="3" max="3" width="14.6640625" customWidth="1"/>
    <col min="4" max="4" width="14.5" style="1" customWidth="1"/>
    <col min="5" max="5" width="13.83203125" customWidth="1"/>
    <col min="6" max="6" width="17.6640625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4" width="15.6640625" customWidth="1"/>
    <col min="15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J1" s="7"/>
      <c r="K1" s="7"/>
      <c r="L1" s="7"/>
      <c r="M1" s="7"/>
      <c r="N1" s="7"/>
      <c r="O1" s="7"/>
      <c r="P1" s="7"/>
      <c r="Q1" s="7"/>
      <c r="R1" s="7"/>
      <c r="S1" s="7"/>
    </row>
    <row r="2" spans="1:23" ht="24" x14ac:dyDescent="0.3">
      <c r="C2" s="49" t="s">
        <v>32</v>
      </c>
      <c r="D2" s="26"/>
      <c r="E2" s="26"/>
      <c r="F2" s="27"/>
      <c r="G2" s="27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23" ht="6" customHeight="1" thickBot="1" x14ac:dyDescent="0.25">
      <c r="C3" s="29"/>
      <c r="D3" s="30"/>
      <c r="E3" s="30"/>
      <c r="F3" s="13"/>
      <c r="G3" s="13"/>
      <c r="H3" s="13"/>
      <c r="I3" s="19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9"/>
    </row>
    <row r="4" spans="1:23" ht="6" customHeight="1" thickTop="1" x14ac:dyDescent="0.2">
      <c r="C4" s="4"/>
      <c r="D4" s="3"/>
      <c r="E4" s="3"/>
      <c r="I4"/>
    </row>
    <row r="5" spans="1:23" ht="19" x14ac:dyDescent="0.25">
      <c r="C5" s="20" t="s">
        <v>30</v>
      </c>
      <c r="D5" s="21"/>
      <c r="E5" s="21"/>
      <c r="F5" s="21"/>
      <c r="G5" s="21"/>
      <c r="H5" s="21"/>
      <c r="I5"/>
      <c r="J5" s="25" t="s">
        <v>31</v>
      </c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3" ht="6" customHeight="1" x14ac:dyDescent="0.2">
      <c r="C6" s="22"/>
      <c r="D6" s="23"/>
      <c r="E6" s="24"/>
      <c r="F6" s="11"/>
      <c r="G6" s="11"/>
      <c r="H6" s="11"/>
      <c r="I6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9"/>
    </row>
    <row r="7" spans="1:23" ht="6" customHeight="1" x14ac:dyDescent="0.2">
      <c r="C7" s="4"/>
      <c r="D7" s="3"/>
      <c r="E7" s="2"/>
      <c r="I7"/>
    </row>
    <row r="8" spans="1:23" ht="51" customHeight="1" x14ac:dyDescent="0.2">
      <c r="A8" s="37"/>
      <c r="B8" s="37"/>
      <c r="C8" s="7" t="s">
        <v>5</v>
      </c>
      <c r="D8" s="7" t="s">
        <v>1</v>
      </c>
      <c r="E8" s="7" t="s">
        <v>3</v>
      </c>
      <c r="F8" s="7" t="s">
        <v>4</v>
      </c>
      <c r="G8" s="7" t="s">
        <v>48</v>
      </c>
      <c r="H8" s="7" t="s">
        <v>6</v>
      </c>
      <c r="I8"/>
      <c r="J8" s="7" t="s">
        <v>9</v>
      </c>
      <c r="K8" s="7" t="s">
        <v>52</v>
      </c>
      <c r="L8" s="7" t="s">
        <v>13</v>
      </c>
      <c r="M8" s="7" t="s">
        <v>15</v>
      </c>
      <c r="N8" s="7" t="s">
        <v>53</v>
      </c>
      <c r="O8" s="7" t="s">
        <v>10</v>
      </c>
      <c r="P8" s="7" t="s">
        <v>11</v>
      </c>
      <c r="Q8" s="7" t="s">
        <v>12</v>
      </c>
      <c r="R8" s="7" t="s">
        <v>16</v>
      </c>
      <c r="S8" s="7" t="s">
        <v>14</v>
      </c>
      <c r="T8" s="7" t="s">
        <v>17</v>
      </c>
      <c r="U8" s="7"/>
    </row>
    <row r="9" spans="1:23" ht="30" x14ac:dyDescent="0.2">
      <c r="C9" s="6" t="s">
        <v>51</v>
      </c>
      <c r="D9" s="6" t="s">
        <v>2</v>
      </c>
      <c r="E9" s="6" t="s">
        <v>2</v>
      </c>
      <c r="F9" s="6" t="s">
        <v>7</v>
      </c>
      <c r="G9" s="6" t="s">
        <v>18</v>
      </c>
      <c r="H9" s="6" t="s">
        <v>20</v>
      </c>
      <c r="I9"/>
      <c r="J9" s="6" t="s">
        <v>18</v>
      </c>
      <c r="K9" s="6" t="s">
        <v>19</v>
      </c>
      <c r="L9" s="6" t="s">
        <v>19</v>
      </c>
      <c r="M9" s="6" t="s">
        <v>20</v>
      </c>
      <c r="N9" s="6" t="s">
        <v>20</v>
      </c>
      <c r="O9" s="6" t="s">
        <v>18</v>
      </c>
      <c r="P9" s="6" t="s">
        <v>19</v>
      </c>
      <c r="Q9" s="6" t="s">
        <v>19</v>
      </c>
      <c r="R9" s="6" t="s">
        <v>21</v>
      </c>
      <c r="S9" s="6" t="s">
        <v>20</v>
      </c>
    </row>
    <row r="10" spans="1:23" x14ac:dyDescent="0.2">
      <c r="C10" s="4"/>
      <c r="D10" s="3"/>
      <c r="E10" s="2"/>
      <c r="I10"/>
      <c r="V10" t="s">
        <v>45</v>
      </c>
      <c r="W10" t="s">
        <v>46</v>
      </c>
    </row>
    <row r="11" spans="1:23" ht="19" x14ac:dyDescent="0.25">
      <c r="C11" s="32">
        <v>60</v>
      </c>
      <c r="D11" s="32">
        <v>85</v>
      </c>
      <c r="E11" s="32">
        <v>2.5</v>
      </c>
      <c r="F11" s="32">
        <v>4</v>
      </c>
      <c r="G11" s="32">
        <v>30</v>
      </c>
      <c r="H11" s="32">
        <v>0</v>
      </c>
      <c r="I11"/>
      <c r="J11" s="34">
        <f>60*K11/$R$11</f>
        <v>4.1372077751564644</v>
      </c>
      <c r="K11" s="34">
        <f>SUMPRODUCT(J23:J2023,H23:H2023)+SUMPRODUCT($I$23:$I$2023,$H$23:$H$2023)</f>
        <v>5.8610443481383294</v>
      </c>
      <c r="L11" s="34">
        <f>SUMPRODUCT(J23:J2023,H23:H2023)</f>
        <v>3.9521786524648519E-3</v>
      </c>
      <c r="M11" s="34">
        <f>SUMPRODUCT(H23:H2023,M23:M2023)</f>
        <v>5.1145841384839209E-4</v>
      </c>
      <c r="N11" s="34">
        <f>1-SUMPRODUCT($N$23:$N$2023,$H$23:$H$2023)</f>
        <v>1.9506785482485967E-3</v>
      </c>
      <c r="O11" s="34">
        <f>60*P11/$R$11</f>
        <v>6.63720777515646</v>
      </c>
      <c r="P11" s="34">
        <f>SUMPRODUCT(D23:D2023,H23:H2023)</f>
        <v>9.4027110148049911</v>
      </c>
      <c r="Q11" s="34">
        <f>SUMPRODUCT(I23:I2023,H23:H2023)</f>
        <v>5.8570921694858642</v>
      </c>
      <c r="R11" s="34">
        <f>SUMPRODUCT(H23:H2023,L23:L2023)</f>
        <v>85.000000000000057</v>
      </c>
      <c r="S11" s="34">
        <f>SUM(K23:K2023)</f>
        <v>0.24151190788798352</v>
      </c>
      <c r="T11" s="35" t="str">
        <f>IFERROR(IF(R11&gt;=F11*60/E11, "System is Unstable", "System is Stable"),"System is Unstable")</f>
        <v>System is Stable</v>
      </c>
      <c r="U11" s="35"/>
      <c r="V11">
        <f>60/E11*F11</f>
        <v>96</v>
      </c>
      <c r="W11">
        <f>CalcInput*(1-H11)</f>
        <v>60</v>
      </c>
    </row>
    <row r="12" spans="1:23" ht="6" customHeight="1" thickBot="1" x14ac:dyDescent="0.25">
      <c r="C12" s="30"/>
      <c r="D12" s="29"/>
      <c r="E12" s="30"/>
      <c r="F12" s="33"/>
      <c r="G12" s="33"/>
      <c r="H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9"/>
    </row>
    <row r="13" spans="1:23" ht="6" customHeight="1" thickTop="1" x14ac:dyDescent="0.2">
      <c r="C13" s="3"/>
      <c r="D13" s="4"/>
      <c r="E13" s="3"/>
      <c r="F13" s="2"/>
      <c r="G13" s="2"/>
    </row>
    <row r="14" spans="1:23" x14ac:dyDescent="0.2">
      <c r="A14" s="12" t="s">
        <v>33</v>
      </c>
      <c r="D14" s="4"/>
      <c r="E14" s="3"/>
      <c r="F14" s="2"/>
    </row>
    <row r="15" spans="1:23" ht="21" x14ac:dyDescent="0.25">
      <c r="A15" s="38">
        <f>F11+C11</f>
        <v>64</v>
      </c>
      <c r="C15" s="46" t="s">
        <v>43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</row>
    <row r="17" spans="1:14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</row>
    <row r="18" spans="1:14" ht="75" x14ac:dyDescent="0.2">
      <c r="D18" s="41" t="s">
        <v>34</v>
      </c>
      <c r="E18" s="42" t="s">
        <v>36</v>
      </c>
      <c r="F18" s="42" t="s">
        <v>54</v>
      </c>
      <c r="G18" s="41" t="s">
        <v>37</v>
      </c>
      <c r="H18" s="41" t="s">
        <v>35</v>
      </c>
      <c r="I18" s="41" t="s">
        <v>38</v>
      </c>
      <c r="J18" s="41" t="s">
        <v>39</v>
      </c>
      <c r="K18" s="43" t="s">
        <v>40</v>
      </c>
      <c r="L18" s="41" t="s">
        <v>41</v>
      </c>
      <c r="M18" s="41" t="s">
        <v>42</v>
      </c>
      <c r="N18" s="41" t="s">
        <v>47</v>
      </c>
    </row>
    <row r="19" spans="1:14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</row>
    <row r="20" spans="1:14" ht="6" customHeight="1" x14ac:dyDescent="0.2">
      <c r="D20"/>
      <c r="E20" s="1"/>
      <c r="F20" s="1"/>
      <c r="I20"/>
      <c r="K20" s="5"/>
    </row>
    <row r="21" spans="1:14" s="10" customFormat="1" x14ac:dyDescent="0.2">
      <c r="A21" s="38"/>
      <c r="B21" s="38"/>
      <c r="C21" s="10" t="s">
        <v>44</v>
      </c>
      <c r="E21" s="51">
        <f>MAX(E23:E2023)</f>
        <v>2.0020328091990587</v>
      </c>
      <c r="F21" s="51"/>
      <c r="G21" s="52">
        <f>SUM(G23:G2023)</f>
        <v>10.187731103010584</v>
      </c>
      <c r="H21" s="52">
        <f>SUM(H23:H2023)</f>
        <v>0.99999999999999944</v>
      </c>
      <c r="I21" s="51"/>
      <c r="J21" s="51"/>
      <c r="K21" s="51"/>
      <c r="L21" s="51"/>
      <c r="M21" s="51"/>
      <c r="N21" s="51"/>
    </row>
    <row r="22" spans="1:14" ht="6" customHeight="1" x14ac:dyDescent="0.2">
      <c r="D22"/>
      <c r="E22" s="1"/>
      <c r="F22" s="1"/>
      <c r="I22"/>
      <c r="K22" s="5"/>
    </row>
    <row r="23" spans="1:14" x14ac:dyDescent="0.2">
      <c r="D23">
        <v>0</v>
      </c>
      <c r="E23" s="1">
        <f>0</f>
        <v>0</v>
      </c>
      <c r="F23" s="1">
        <f>E23-$E$21</f>
        <v>-2.0020328091990587</v>
      </c>
      <c r="G23" s="1">
        <f>EXP(F23)</f>
        <v>0.1350604518624057</v>
      </c>
      <c r="H23" s="1">
        <f t="shared" ref="H23:H86" si="0">G23/$G$21</f>
        <v>1.325716692919917E-2</v>
      </c>
      <c r="I23">
        <f t="shared" ref="I23:I86" si="1">IF($F$11&lt;=D23, IF(D23&lt;=$A$15,D23-$F$11,$C$11),0)</f>
        <v>0</v>
      </c>
      <c r="J23">
        <f t="shared" ref="J23:J86" si="2">IF(D23&lt;=$A$15,0,D23-$A$15)</f>
        <v>0</v>
      </c>
      <c r="K23" s="5">
        <f t="shared" ref="K23:K86" si="3">IF(D23&lt;$F$11,H23,0)</f>
        <v>1.325716692919917E-2</v>
      </c>
      <c r="L23">
        <f t="shared" ref="L23:L86" si="4">IF(D23&lt;$A$15,$D$11,$D$11*(1-$H$11))</f>
        <v>85</v>
      </c>
      <c r="M23">
        <f t="shared" ref="M23:M86" si="5">IF(D23&lt;$A$15,0,1)</f>
        <v>0</v>
      </c>
      <c r="N23">
        <f t="shared" ref="N23:N86" si="6">IF(SUM(I23:J23)&lt;=($G$11/60*$F$11/($E$11/60)),1,0)</f>
        <v>1</v>
      </c>
    </row>
    <row r="24" spans="1:14" x14ac:dyDescent="0.2">
      <c r="D24">
        <f>1+D23</f>
        <v>1</v>
      </c>
      <c r="E24" s="1">
        <f>IF($H$11=1,
IF(D24&lt;=$A$15,
E23+LN($D$11)-LN(60/$E$11)-LN(MIN(D24,$F$11)),
E23-LN(60/$E$11)-LN(MIN(D24,$F$11))),
 IF(D24&lt;=$A$15,
E23+LN($D$11)-LN(60/$E$11)-LN(MIN(D24,$F$11)),
E23+LN($D$11)+LN(1-$H$11)-LN(60/$E$11)-LN(MIN(D24,$F$11))))</f>
        <v>1.2645974261423709</v>
      </c>
      <c r="F24" s="1">
        <f>E24-$E$21</f>
        <v>-0.73743538305668777</v>
      </c>
      <c r="G24" s="1">
        <f t="shared" ref="G24:G87" si="7">EXP(F24)</f>
        <v>0.47833910034602023</v>
      </c>
      <c r="H24" s="1">
        <f t="shared" si="0"/>
        <v>4.6952466207580396E-2</v>
      </c>
      <c r="I24">
        <f t="shared" si="1"/>
        <v>0</v>
      </c>
      <c r="J24">
        <f t="shared" si="2"/>
        <v>0</v>
      </c>
      <c r="K24" s="5">
        <f t="shared" si="3"/>
        <v>4.6952466207580396E-2</v>
      </c>
      <c r="L24">
        <f t="shared" si="4"/>
        <v>85</v>
      </c>
      <c r="M24">
        <f t="shared" si="5"/>
        <v>0</v>
      </c>
      <c r="N24">
        <f t="shared" si="6"/>
        <v>1</v>
      </c>
    </row>
    <row r="25" spans="1:14" x14ac:dyDescent="0.2">
      <c r="D25">
        <f t="shared" ref="D25:D88" si="8">1+D24</f>
        <v>2</v>
      </c>
      <c r="E25" s="1">
        <f t="shared" ref="E25:E88" si="9">IF($H$11=1,IF(D25&lt;=$A$15, E24+LN($D$11)-LN(60/$E$11)-LN(MIN(D25,$F$11)), E24-LN(60/$E$11)-LN(MIN(D25,$F$11))), IF(D25&lt;=$A$15, E24+LN($D$11)-LN(60/$E$11)-LN(MIN(D25,$F$11)), E24+LN($D$11)+LN(1-$H$11)-LN(60/$E$11)-LN(MIN(D25,$F$11))))</f>
        <v>1.8360476717247969</v>
      </c>
      <c r="F25" s="1">
        <f t="shared" ref="F25:F88" si="10">E25-$E$21</f>
        <v>-0.1659851374742618</v>
      </c>
      <c r="G25" s="1">
        <f t="shared" si="7"/>
        <v>0.8470588235294112</v>
      </c>
      <c r="H25" s="1">
        <f t="shared" si="0"/>
        <v>8.3144992242590324E-2</v>
      </c>
      <c r="I25">
        <f t="shared" si="1"/>
        <v>0</v>
      </c>
      <c r="J25">
        <f t="shared" si="2"/>
        <v>0</v>
      </c>
      <c r="K25" s="5">
        <f t="shared" si="3"/>
        <v>8.3144992242590324E-2</v>
      </c>
      <c r="L25">
        <f t="shared" si="4"/>
        <v>85</v>
      </c>
      <c r="M25">
        <f t="shared" si="5"/>
        <v>0</v>
      </c>
      <c r="N25">
        <f t="shared" si="6"/>
        <v>1</v>
      </c>
    </row>
    <row r="26" spans="1:14" x14ac:dyDescent="0.2">
      <c r="D26">
        <f t="shared" si="8"/>
        <v>3</v>
      </c>
      <c r="E26" s="1">
        <f t="shared" si="9"/>
        <v>2.0020328091990587</v>
      </c>
      <c r="F26" s="1">
        <f t="shared" si="10"/>
        <v>0</v>
      </c>
      <c r="G26" s="1">
        <f t="shared" si="7"/>
        <v>1</v>
      </c>
      <c r="H26" s="1">
        <f t="shared" si="0"/>
        <v>9.8157282508613636E-2</v>
      </c>
      <c r="I26">
        <f t="shared" si="1"/>
        <v>0</v>
      </c>
      <c r="J26">
        <f t="shared" si="2"/>
        <v>0</v>
      </c>
      <c r="K26" s="5">
        <f t="shared" si="3"/>
        <v>9.8157282508613636E-2</v>
      </c>
      <c r="L26">
        <f t="shared" si="4"/>
        <v>85</v>
      </c>
      <c r="M26">
        <f t="shared" si="5"/>
        <v>0</v>
      </c>
      <c r="N26">
        <f t="shared" si="6"/>
        <v>1</v>
      </c>
    </row>
    <row r="27" spans="1:14" x14ac:dyDescent="0.2">
      <c r="D27">
        <f t="shared" si="8"/>
        <v>4</v>
      </c>
      <c r="E27" s="1">
        <f t="shared" si="9"/>
        <v>1.880335874221539</v>
      </c>
      <c r="F27" s="1">
        <f t="shared" si="10"/>
        <v>-0.12169693497751966</v>
      </c>
      <c r="G27" s="1">
        <f t="shared" si="7"/>
        <v>0.88541666666666674</v>
      </c>
      <c r="H27" s="1">
        <f t="shared" si="0"/>
        <v>8.6910093887835008E-2</v>
      </c>
      <c r="I27">
        <f t="shared" si="1"/>
        <v>0</v>
      </c>
      <c r="J27">
        <f t="shared" si="2"/>
        <v>0</v>
      </c>
      <c r="K27" s="5">
        <f t="shared" si="3"/>
        <v>0</v>
      </c>
      <c r="L27">
        <f t="shared" si="4"/>
        <v>85</v>
      </c>
      <c r="M27">
        <f t="shared" si="5"/>
        <v>0</v>
      </c>
      <c r="N27">
        <f t="shared" si="6"/>
        <v>1</v>
      </c>
    </row>
    <row r="28" spans="1:14" x14ac:dyDescent="0.2">
      <c r="D28">
        <f t="shared" si="8"/>
        <v>5</v>
      </c>
      <c r="E28" s="1">
        <f t="shared" si="9"/>
        <v>1.7586389392440196</v>
      </c>
      <c r="F28" s="1">
        <f t="shared" si="10"/>
        <v>-0.24339386995503909</v>
      </c>
      <c r="G28" s="1">
        <f t="shared" si="7"/>
        <v>0.78396267361111149</v>
      </c>
      <c r="H28" s="1">
        <f t="shared" si="0"/>
        <v>7.6951645629853946E-2</v>
      </c>
      <c r="I28">
        <f t="shared" si="1"/>
        <v>1</v>
      </c>
      <c r="J28">
        <f t="shared" si="2"/>
        <v>0</v>
      </c>
      <c r="K28" s="5">
        <f t="shared" si="3"/>
        <v>0</v>
      </c>
      <c r="L28">
        <f t="shared" si="4"/>
        <v>85</v>
      </c>
      <c r="M28">
        <f t="shared" si="5"/>
        <v>0</v>
      </c>
      <c r="N28">
        <f t="shared" si="6"/>
        <v>1</v>
      </c>
    </row>
    <row r="29" spans="1:14" x14ac:dyDescent="0.2">
      <c r="D29">
        <f t="shared" si="8"/>
        <v>6</v>
      </c>
      <c r="E29" s="1">
        <f t="shared" si="9"/>
        <v>1.6369420042665002</v>
      </c>
      <c r="F29" s="1">
        <f t="shared" si="10"/>
        <v>-0.36509080493255852</v>
      </c>
      <c r="G29" s="1">
        <f t="shared" si="7"/>
        <v>0.69413361725983858</v>
      </c>
      <c r="H29" s="1">
        <f t="shared" si="0"/>
        <v>6.813426956809987E-2</v>
      </c>
      <c r="I29">
        <f t="shared" si="1"/>
        <v>2</v>
      </c>
      <c r="J29">
        <f t="shared" si="2"/>
        <v>0</v>
      </c>
      <c r="K29" s="5">
        <f t="shared" si="3"/>
        <v>0</v>
      </c>
      <c r="L29">
        <f t="shared" si="4"/>
        <v>85</v>
      </c>
      <c r="M29">
        <f t="shared" si="5"/>
        <v>0</v>
      </c>
      <c r="N29">
        <f t="shared" si="6"/>
        <v>1</v>
      </c>
    </row>
    <row r="30" spans="1:14" x14ac:dyDescent="0.2">
      <c r="D30">
        <f t="shared" si="8"/>
        <v>7</v>
      </c>
      <c r="E30" s="1">
        <f t="shared" si="9"/>
        <v>1.5152450692889807</v>
      </c>
      <c r="F30" s="1">
        <f t="shared" si="10"/>
        <v>-0.48678773991007795</v>
      </c>
      <c r="G30" s="1">
        <f t="shared" si="7"/>
        <v>0.61459747361548223</v>
      </c>
      <c r="H30" s="1">
        <f t="shared" si="0"/>
        <v>6.0327217846755106E-2</v>
      </c>
      <c r="I30">
        <f t="shared" si="1"/>
        <v>3</v>
      </c>
      <c r="J30">
        <f t="shared" si="2"/>
        <v>0</v>
      </c>
      <c r="K30" s="5">
        <f t="shared" si="3"/>
        <v>0</v>
      </c>
      <c r="L30">
        <f t="shared" si="4"/>
        <v>85</v>
      </c>
      <c r="M30">
        <f t="shared" si="5"/>
        <v>0</v>
      </c>
      <c r="N30">
        <f t="shared" si="6"/>
        <v>1</v>
      </c>
    </row>
    <row r="31" spans="1:14" x14ac:dyDescent="0.2">
      <c r="D31">
        <f t="shared" si="8"/>
        <v>8</v>
      </c>
      <c r="E31" s="1">
        <f t="shared" si="9"/>
        <v>1.3935481343114613</v>
      </c>
      <c r="F31" s="1">
        <f t="shared" si="10"/>
        <v>-0.60848467488759739</v>
      </c>
      <c r="G31" s="1">
        <f t="shared" si="7"/>
        <v>0.54417484643037506</v>
      </c>
      <c r="H31" s="1">
        <f t="shared" si="0"/>
        <v>5.3414724135147772E-2</v>
      </c>
      <c r="I31">
        <f t="shared" si="1"/>
        <v>4</v>
      </c>
      <c r="J31">
        <f t="shared" si="2"/>
        <v>0</v>
      </c>
      <c r="K31" s="5">
        <f t="shared" si="3"/>
        <v>0</v>
      </c>
      <c r="L31">
        <f t="shared" si="4"/>
        <v>85</v>
      </c>
      <c r="M31">
        <f t="shared" si="5"/>
        <v>0</v>
      </c>
      <c r="N31">
        <f t="shared" si="6"/>
        <v>1</v>
      </c>
    </row>
    <row r="32" spans="1:14" x14ac:dyDescent="0.2">
      <c r="D32">
        <f t="shared" si="8"/>
        <v>9</v>
      </c>
      <c r="E32" s="1">
        <f t="shared" si="9"/>
        <v>1.2718511993339419</v>
      </c>
      <c r="F32" s="1">
        <f t="shared" si="10"/>
        <v>-0.73018160986511682</v>
      </c>
      <c r="G32" s="1">
        <f t="shared" si="7"/>
        <v>0.48182147861022812</v>
      </c>
      <c r="H32" s="1">
        <f t="shared" si="0"/>
        <v>4.7294286994662108E-2</v>
      </c>
      <c r="I32">
        <f t="shared" si="1"/>
        <v>5</v>
      </c>
      <c r="J32">
        <f t="shared" si="2"/>
        <v>0</v>
      </c>
      <c r="K32" s="5">
        <f t="shared" si="3"/>
        <v>0</v>
      </c>
      <c r="L32">
        <f t="shared" si="4"/>
        <v>85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1.1501542643564224</v>
      </c>
      <c r="F33" s="1">
        <f t="shared" si="10"/>
        <v>-0.85187854484263625</v>
      </c>
      <c r="G33" s="1">
        <f t="shared" si="7"/>
        <v>0.42661276751947297</v>
      </c>
      <c r="H33" s="1">
        <f t="shared" si="0"/>
        <v>4.1875149943190422E-2</v>
      </c>
      <c r="I33">
        <f t="shared" si="1"/>
        <v>6</v>
      </c>
      <c r="J33">
        <f t="shared" si="2"/>
        <v>0</v>
      </c>
      <c r="K33" s="5">
        <f t="shared" si="3"/>
        <v>0</v>
      </c>
      <c r="L33">
        <f t="shared" si="4"/>
        <v>85</v>
      </c>
      <c r="M33">
        <f t="shared" si="5"/>
        <v>0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1.028457329378903</v>
      </c>
      <c r="F34" s="1">
        <f t="shared" si="10"/>
        <v>-0.97357547982015569</v>
      </c>
      <c r="G34" s="1">
        <f t="shared" si="7"/>
        <v>0.37773005457453351</v>
      </c>
      <c r="H34" s="1">
        <f t="shared" si="0"/>
        <v>3.7076955678866534E-2</v>
      </c>
      <c r="I34">
        <f t="shared" si="1"/>
        <v>7</v>
      </c>
      <c r="J34">
        <f t="shared" si="2"/>
        <v>0</v>
      </c>
      <c r="K34" s="5">
        <f t="shared" si="3"/>
        <v>0</v>
      </c>
      <c r="L34">
        <f t="shared" si="4"/>
        <v>85</v>
      </c>
      <c r="M34">
        <f t="shared" si="5"/>
        <v>0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0.90676039440138356</v>
      </c>
      <c r="F35" s="1">
        <f t="shared" si="10"/>
        <v>-1.0952724147976751</v>
      </c>
      <c r="G35" s="1">
        <f t="shared" si="7"/>
        <v>0.33444848582120162</v>
      </c>
      <c r="H35" s="1">
        <f t="shared" si="0"/>
        <v>3.2828554507329751E-2</v>
      </c>
      <c r="I35">
        <f t="shared" si="1"/>
        <v>8</v>
      </c>
      <c r="J35">
        <f t="shared" si="2"/>
        <v>0</v>
      </c>
      <c r="K35" s="5">
        <f t="shared" si="3"/>
        <v>0</v>
      </c>
      <c r="L35">
        <f t="shared" si="4"/>
        <v>85</v>
      </c>
      <c r="M35">
        <f t="shared" si="5"/>
        <v>0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0.78506345942386413</v>
      </c>
      <c r="F36" s="1">
        <f t="shared" si="10"/>
        <v>-1.2169693497751946</v>
      </c>
      <c r="G36" s="1">
        <f t="shared" si="7"/>
        <v>0.29612626348752241</v>
      </c>
      <c r="H36" s="1">
        <f t="shared" si="0"/>
        <v>2.9066949303364897E-2</v>
      </c>
      <c r="I36">
        <f t="shared" si="1"/>
        <v>9</v>
      </c>
      <c r="J36">
        <f t="shared" si="2"/>
        <v>0</v>
      </c>
      <c r="K36" s="5">
        <f t="shared" si="3"/>
        <v>0</v>
      </c>
      <c r="L36">
        <f t="shared" si="4"/>
        <v>85</v>
      </c>
      <c r="M36">
        <f t="shared" si="5"/>
        <v>0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0.6633665244463447</v>
      </c>
      <c r="F37" s="1">
        <f t="shared" si="10"/>
        <v>-1.338666284752714</v>
      </c>
      <c r="G37" s="1">
        <f t="shared" si="7"/>
        <v>0.26219512912957721</v>
      </c>
      <c r="H37" s="1">
        <f t="shared" si="0"/>
        <v>2.5736361362354344E-2</v>
      </c>
      <c r="I37">
        <f t="shared" si="1"/>
        <v>10</v>
      </c>
      <c r="J37">
        <f t="shared" si="2"/>
        <v>0</v>
      </c>
      <c r="K37" s="5">
        <f t="shared" si="3"/>
        <v>0</v>
      </c>
      <c r="L37">
        <f t="shared" si="4"/>
        <v>85</v>
      </c>
      <c r="M37">
        <f t="shared" si="5"/>
        <v>0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0.54166958946882526</v>
      </c>
      <c r="F38" s="1">
        <f t="shared" si="10"/>
        <v>-1.4603632197302334</v>
      </c>
      <c r="G38" s="1">
        <f t="shared" si="7"/>
        <v>0.23215193725014657</v>
      </c>
      <c r="H38" s="1">
        <f t="shared" si="0"/>
        <v>2.2787403289584583E-2</v>
      </c>
      <c r="I38">
        <f t="shared" si="1"/>
        <v>11</v>
      </c>
      <c r="J38">
        <f t="shared" si="2"/>
        <v>0</v>
      </c>
      <c r="K38" s="5">
        <f t="shared" si="3"/>
        <v>0</v>
      </c>
      <c r="L38">
        <f t="shared" si="4"/>
        <v>85</v>
      </c>
      <c r="M38">
        <f t="shared" si="5"/>
        <v>0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0.41997265449130583</v>
      </c>
      <c r="F39" s="1">
        <f t="shared" si="10"/>
        <v>-1.5820601547077529</v>
      </c>
      <c r="G39" s="1">
        <f t="shared" si="7"/>
        <v>0.20555119444023401</v>
      </c>
      <c r="H39" s="1">
        <f t="shared" si="0"/>
        <v>2.0176346662653024E-2</v>
      </c>
      <c r="I39">
        <f t="shared" si="1"/>
        <v>12</v>
      </c>
      <c r="J39">
        <f t="shared" si="2"/>
        <v>0</v>
      </c>
      <c r="K39" s="5">
        <f t="shared" si="3"/>
        <v>0</v>
      </c>
      <c r="L39">
        <f t="shared" si="4"/>
        <v>85</v>
      </c>
      <c r="M39">
        <f t="shared" si="5"/>
        <v>0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0.2982757195137864</v>
      </c>
      <c r="F40" s="1">
        <f t="shared" si="10"/>
        <v>-1.7037570896852723</v>
      </c>
      <c r="G40" s="1">
        <f t="shared" si="7"/>
        <v>0.18199845341062393</v>
      </c>
      <c r="H40" s="1">
        <f t="shared" si="0"/>
        <v>1.7864473607557371E-2</v>
      </c>
      <c r="I40">
        <f t="shared" si="1"/>
        <v>13</v>
      </c>
      <c r="J40">
        <f t="shared" si="2"/>
        <v>0</v>
      </c>
      <c r="K40" s="5">
        <f t="shared" si="3"/>
        <v>0</v>
      </c>
      <c r="L40">
        <f t="shared" si="4"/>
        <v>85</v>
      </c>
      <c r="M40">
        <f t="shared" si="5"/>
        <v>0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0.17657878453626696</v>
      </c>
      <c r="F41" s="1">
        <f t="shared" si="10"/>
        <v>-1.8254540246627917</v>
      </c>
      <c r="G41" s="1">
        <f t="shared" si="7"/>
        <v>0.16114446395732332</v>
      </c>
      <c r="H41" s="1">
        <f t="shared" si="0"/>
        <v>1.5817502673358092E-2</v>
      </c>
      <c r="I41">
        <f t="shared" si="1"/>
        <v>14</v>
      </c>
      <c r="J41">
        <f t="shared" si="2"/>
        <v>0</v>
      </c>
      <c r="K41" s="5">
        <f t="shared" si="3"/>
        <v>0</v>
      </c>
      <c r="L41">
        <f t="shared" si="4"/>
        <v>85</v>
      </c>
      <c r="M41">
        <f t="shared" si="5"/>
        <v>0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5.4881849558747531E-2</v>
      </c>
      <c r="F42" s="1">
        <f t="shared" si="10"/>
        <v>-1.9471509596403112</v>
      </c>
      <c r="G42" s="1">
        <f t="shared" si="7"/>
        <v>0.14267999412888008</v>
      </c>
      <c r="H42" s="1">
        <f t="shared" si="0"/>
        <v>1.4005080492035818E-2</v>
      </c>
      <c r="I42">
        <f t="shared" si="1"/>
        <v>15</v>
      </c>
      <c r="J42">
        <f t="shared" si="2"/>
        <v>0</v>
      </c>
      <c r="K42" s="5">
        <f t="shared" si="3"/>
        <v>0</v>
      </c>
      <c r="L42">
        <f t="shared" si="4"/>
        <v>85</v>
      </c>
      <c r="M42">
        <f t="shared" si="5"/>
        <v>0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-6.6815085418771902E-2</v>
      </c>
      <c r="F43" s="1">
        <f t="shared" si="10"/>
        <v>-2.0688478946178304</v>
      </c>
      <c r="G43" s="1">
        <f t="shared" si="7"/>
        <v>0.12633124480161265</v>
      </c>
      <c r="H43" s="1">
        <f t="shared" si="0"/>
        <v>1.2400331685656721E-2</v>
      </c>
      <c r="I43">
        <f t="shared" si="1"/>
        <v>16</v>
      </c>
      <c r="J43">
        <f t="shared" si="2"/>
        <v>0</v>
      </c>
      <c r="K43" s="5">
        <f t="shared" si="3"/>
        <v>0</v>
      </c>
      <c r="L43">
        <f t="shared" si="4"/>
        <v>85</v>
      </c>
      <c r="M43">
        <f t="shared" si="5"/>
        <v>0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-0.18851202039629134</v>
      </c>
      <c r="F44" s="1">
        <f t="shared" si="10"/>
        <v>-2.1905448295953498</v>
      </c>
      <c r="G44" s="1">
        <f t="shared" si="7"/>
        <v>0.11185578966809456</v>
      </c>
      <c r="H44" s="1">
        <f t="shared" si="0"/>
        <v>1.0979460346675225E-2</v>
      </c>
      <c r="I44">
        <f t="shared" si="1"/>
        <v>17</v>
      </c>
      <c r="J44">
        <f t="shared" si="2"/>
        <v>0</v>
      </c>
      <c r="K44" s="5">
        <f t="shared" si="3"/>
        <v>0</v>
      </c>
      <c r="L44">
        <f t="shared" si="4"/>
        <v>85</v>
      </c>
      <c r="M44">
        <f t="shared" si="5"/>
        <v>0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-0.31020895537381077</v>
      </c>
      <c r="F45" s="1">
        <f t="shared" si="10"/>
        <v>-2.3122417645728692</v>
      </c>
      <c r="G45" s="1">
        <f t="shared" si="7"/>
        <v>9.9038980435292107E-2</v>
      </c>
      <c r="H45" s="1">
        <f t="shared" si="0"/>
        <v>9.721397181952026E-3</v>
      </c>
      <c r="I45">
        <f t="shared" si="1"/>
        <v>18</v>
      </c>
      <c r="J45">
        <f t="shared" si="2"/>
        <v>0</v>
      </c>
      <c r="K45" s="5">
        <f t="shared" si="3"/>
        <v>0</v>
      </c>
      <c r="L45">
        <f t="shared" si="4"/>
        <v>85</v>
      </c>
      <c r="M45">
        <f t="shared" si="5"/>
        <v>0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-0.4319058903513302</v>
      </c>
      <c r="F46" s="1">
        <f t="shared" si="10"/>
        <v>-2.4339386995503887</v>
      </c>
      <c r="G46" s="1">
        <f t="shared" si="7"/>
        <v>8.7690763927081583E-2</v>
      </c>
      <c r="H46" s="1">
        <f t="shared" si="0"/>
        <v>8.6074870881866928E-3</v>
      </c>
      <c r="I46">
        <f t="shared" si="1"/>
        <v>19</v>
      </c>
      <c r="J46">
        <f t="shared" si="2"/>
        <v>0</v>
      </c>
      <c r="K46" s="5">
        <f t="shared" si="3"/>
        <v>0</v>
      </c>
      <c r="L46">
        <f t="shared" si="4"/>
        <v>85</v>
      </c>
      <c r="M46">
        <f t="shared" si="5"/>
        <v>0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-0.55360282532884963</v>
      </c>
      <c r="F47" s="1">
        <f t="shared" si="10"/>
        <v>-2.5556356345279081</v>
      </c>
      <c r="G47" s="1">
        <f t="shared" si="7"/>
        <v>7.7642863893770175E-2</v>
      </c>
      <c r="H47" s="1">
        <f t="shared" si="0"/>
        <v>7.6212125259986366E-3</v>
      </c>
      <c r="I47">
        <f t="shared" si="1"/>
        <v>20</v>
      </c>
      <c r="J47">
        <f t="shared" si="2"/>
        <v>0</v>
      </c>
      <c r="K47" s="5">
        <f t="shared" si="3"/>
        <v>0</v>
      </c>
      <c r="L47">
        <f t="shared" si="4"/>
        <v>85</v>
      </c>
      <c r="M47">
        <f t="shared" si="5"/>
        <v>0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-0.67529976030636907</v>
      </c>
      <c r="F48" s="1">
        <f t="shared" si="10"/>
        <v>-2.6773325695054275</v>
      </c>
      <c r="G48" s="1">
        <f t="shared" si="7"/>
        <v>6.87462857392757E-2</v>
      </c>
      <c r="H48" s="1">
        <f t="shared" si="0"/>
        <v>6.7479485907279623E-3</v>
      </c>
      <c r="I48">
        <f t="shared" si="1"/>
        <v>21</v>
      </c>
      <c r="J48">
        <f t="shared" si="2"/>
        <v>0</v>
      </c>
      <c r="K48" s="5">
        <f t="shared" si="3"/>
        <v>0</v>
      </c>
      <c r="L48">
        <f t="shared" si="4"/>
        <v>85</v>
      </c>
      <c r="M48">
        <f t="shared" si="5"/>
        <v>0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-0.7969966952838885</v>
      </c>
      <c r="F49" s="1">
        <f t="shared" si="10"/>
        <v>-2.799029504482947</v>
      </c>
      <c r="G49" s="1">
        <f t="shared" si="7"/>
        <v>6.0869107164983713E-2</v>
      </c>
      <c r="H49" s="1">
        <f t="shared" si="0"/>
        <v>5.974746148040385E-3</v>
      </c>
      <c r="I49">
        <f t="shared" si="1"/>
        <v>22</v>
      </c>
      <c r="J49">
        <f t="shared" si="2"/>
        <v>0</v>
      </c>
      <c r="K49" s="5">
        <f t="shared" si="3"/>
        <v>0</v>
      </c>
      <c r="L49">
        <f t="shared" si="4"/>
        <v>85</v>
      </c>
      <c r="M49">
        <f t="shared" si="5"/>
        <v>0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-0.91869363026140793</v>
      </c>
      <c r="F50" s="1">
        <f t="shared" si="10"/>
        <v>-2.9207264394604664</v>
      </c>
      <c r="G50" s="1">
        <f t="shared" si="7"/>
        <v>5.3894521968996016E-2</v>
      </c>
      <c r="H50" s="1">
        <f t="shared" si="0"/>
        <v>5.2901398185774265E-3</v>
      </c>
      <c r="I50">
        <f t="shared" si="1"/>
        <v>23</v>
      </c>
      <c r="J50">
        <f t="shared" si="2"/>
        <v>0</v>
      </c>
      <c r="K50" s="5">
        <f t="shared" si="3"/>
        <v>0</v>
      </c>
      <c r="L50">
        <f t="shared" si="4"/>
        <v>85</v>
      </c>
      <c r="M50">
        <f t="shared" si="5"/>
        <v>0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-1.0403905652389274</v>
      </c>
      <c r="F51" s="1">
        <f t="shared" si="10"/>
        <v>-3.0424233744379858</v>
      </c>
      <c r="G51" s="1">
        <f t="shared" si="7"/>
        <v>4.7719107993381908E-2</v>
      </c>
      <c r="H51" s="1">
        <f t="shared" si="0"/>
        <v>4.683977964365431E-3</v>
      </c>
      <c r="I51">
        <f t="shared" si="1"/>
        <v>24</v>
      </c>
      <c r="J51">
        <f t="shared" si="2"/>
        <v>0</v>
      </c>
      <c r="K51" s="5">
        <f t="shared" si="3"/>
        <v>0</v>
      </c>
      <c r="L51">
        <f t="shared" si="4"/>
        <v>85</v>
      </c>
      <c r="M51">
        <f t="shared" si="5"/>
        <v>0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-1.1620875002164468</v>
      </c>
      <c r="F52" s="1">
        <f t="shared" si="10"/>
        <v>-3.1641203094155053</v>
      </c>
      <c r="G52" s="1">
        <f t="shared" si="7"/>
        <v>4.2251293535806908E-2</v>
      </c>
      <c r="H52" s="1">
        <f t="shared" si="0"/>
        <v>4.1472721559485601E-3</v>
      </c>
      <c r="I52">
        <f t="shared" si="1"/>
        <v>25</v>
      </c>
      <c r="J52">
        <f t="shared" si="2"/>
        <v>0</v>
      </c>
      <c r="K52" s="5">
        <f t="shared" si="3"/>
        <v>0</v>
      </c>
      <c r="L52">
        <f t="shared" si="4"/>
        <v>85</v>
      </c>
      <c r="M52">
        <f t="shared" si="5"/>
        <v>0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-1.2837844351939662</v>
      </c>
      <c r="F53" s="1">
        <f t="shared" si="10"/>
        <v>-3.2858172443930247</v>
      </c>
      <c r="G53" s="1">
        <f t="shared" si="7"/>
        <v>3.7409999484829044E-2</v>
      </c>
      <c r="H53" s="1">
        <f t="shared" si="0"/>
        <v>3.6720638880794552E-3</v>
      </c>
      <c r="I53">
        <f t="shared" si="1"/>
        <v>26</v>
      </c>
      <c r="J53">
        <f t="shared" si="2"/>
        <v>0</v>
      </c>
      <c r="K53" s="5">
        <f t="shared" si="3"/>
        <v>0</v>
      </c>
      <c r="L53">
        <f t="shared" si="4"/>
        <v>85</v>
      </c>
      <c r="M53">
        <f t="shared" si="5"/>
        <v>0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-1.4054813701714857</v>
      </c>
      <c r="F54" s="1">
        <f t="shared" si="10"/>
        <v>-3.4075141793705441</v>
      </c>
      <c r="G54" s="1">
        <f t="shared" si="7"/>
        <v>3.3123437043859061E-2</v>
      </c>
      <c r="H54" s="1">
        <f t="shared" si="0"/>
        <v>3.2513065675703521E-3</v>
      </c>
      <c r="I54">
        <f t="shared" si="1"/>
        <v>27</v>
      </c>
      <c r="J54">
        <f t="shared" si="2"/>
        <v>0</v>
      </c>
      <c r="K54" s="5">
        <f t="shared" si="3"/>
        <v>0</v>
      </c>
      <c r="L54">
        <f t="shared" si="4"/>
        <v>85</v>
      </c>
      <c r="M54">
        <f t="shared" si="5"/>
        <v>0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-1.5271783051490051</v>
      </c>
      <c r="F55" s="1">
        <f t="shared" si="10"/>
        <v>-3.5292111143480636</v>
      </c>
      <c r="G55" s="1">
        <f t="shared" si="7"/>
        <v>2.932804321591689E-2</v>
      </c>
      <c r="H55" s="1">
        <f t="shared" si="0"/>
        <v>2.8787610233695841E-3</v>
      </c>
      <c r="I55">
        <f t="shared" si="1"/>
        <v>28</v>
      </c>
      <c r="J55">
        <f t="shared" si="2"/>
        <v>0</v>
      </c>
      <c r="K55" s="5">
        <f t="shared" si="3"/>
        <v>0</v>
      </c>
      <c r="L55">
        <f t="shared" si="4"/>
        <v>85</v>
      </c>
      <c r="M55">
        <f t="shared" si="5"/>
        <v>0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-1.6488752401265245</v>
      </c>
      <c r="F56" s="1">
        <f t="shared" si="10"/>
        <v>-3.650908049325583</v>
      </c>
      <c r="G56" s="1">
        <f t="shared" si="7"/>
        <v>2.5967538264093089E-2</v>
      </c>
      <c r="H56" s="1">
        <f t="shared" si="0"/>
        <v>2.5489029894418202E-3</v>
      </c>
      <c r="I56">
        <f t="shared" si="1"/>
        <v>29</v>
      </c>
      <c r="J56">
        <f t="shared" si="2"/>
        <v>0</v>
      </c>
      <c r="K56" s="5">
        <f t="shared" si="3"/>
        <v>0</v>
      </c>
      <c r="L56">
        <f t="shared" si="4"/>
        <v>85</v>
      </c>
      <c r="M56">
        <f t="shared" si="5"/>
        <v>0</v>
      </c>
      <c r="N56">
        <f t="shared" si="6"/>
        <v>1</v>
      </c>
    </row>
    <row r="57" spans="4:14" x14ac:dyDescent="0.2">
      <c r="D57">
        <f t="shared" si="8"/>
        <v>34</v>
      </c>
      <c r="E57" s="1">
        <f t="shared" si="9"/>
        <v>-1.770572175104044</v>
      </c>
      <c r="F57" s="1">
        <f t="shared" si="10"/>
        <v>-3.7726049843031024</v>
      </c>
      <c r="G57" s="1">
        <f t="shared" si="7"/>
        <v>2.299209117133243E-2</v>
      </c>
      <c r="H57" s="1">
        <f t="shared" si="0"/>
        <v>2.2568411885682789E-3</v>
      </c>
      <c r="I57">
        <f t="shared" si="1"/>
        <v>30</v>
      </c>
      <c r="J57">
        <f t="shared" si="2"/>
        <v>0</v>
      </c>
      <c r="K57" s="5">
        <f t="shared" si="3"/>
        <v>0</v>
      </c>
      <c r="L57">
        <f t="shared" si="4"/>
        <v>85</v>
      </c>
      <c r="M57">
        <f t="shared" si="5"/>
        <v>0</v>
      </c>
      <c r="N57">
        <f t="shared" si="6"/>
        <v>1</v>
      </c>
    </row>
    <row r="58" spans="4:14" x14ac:dyDescent="0.2">
      <c r="D58">
        <f t="shared" si="8"/>
        <v>35</v>
      </c>
      <c r="E58" s="1">
        <f t="shared" si="9"/>
        <v>-1.8922691100815634</v>
      </c>
      <c r="F58" s="1">
        <f t="shared" si="10"/>
        <v>-3.8943019192806219</v>
      </c>
      <c r="G58" s="1">
        <f t="shared" si="7"/>
        <v>2.0357580724617262E-2</v>
      </c>
      <c r="H58" s="1">
        <f t="shared" si="0"/>
        <v>1.9982448023781641E-3</v>
      </c>
      <c r="I58">
        <f t="shared" si="1"/>
        <v>31</v>
      </c>
      <c r="J58">
        <f t="shared" si="2"/>
        <v>0</v>
      </c>
      <c r="K58" s="5">
        <f t="shared" si="3"/>
        <v>0</v>
      </c>
      <c r="L58">
        <f t="shared" si="4"/>
        <v>85</v>
      </c>
      <c r="M58">
        <f t="shared" si="5"/>
        <v>0</v>
      </c>
      <c r="N58">
        <f t="shared" si="6"/>
        <v>1</v>
      </c>
    </row>
    <row r="59" spans="4:14" x14ac:dyDescent="0.2">
      <c r="D59">
        <f t="shared" si="8"/>
        <v>36</v>
      </c>
      <c r="E59" s="1">
        <f t="shared" si="9"/>
        <v>-2.0139660450590826</v>
      </c>
      <c r="F59" s="1">
        <f t="shared" si="10"/>
        <v>-4.0159988542581413</v>
      </c>
      <c r="G59" s="1">
        <f t="shared" si="7"/>
        <v>1.8024941266588209E-2</v>
      </c>
      <c r="H59" s="1">
        <f t="shared" si="0"/>
        <v>1.769279252105667E-3</v>
      </c>
      <c r="I59">
        <f t="shared" si="1"/>
        <v>32</v>
      </c>
      <c r="J59">
        <f t="shared" si="2"/>
        <v>0</v>
      </c>
      <c r="K59" s="5">
        <f t="shared" si="3"/>
        <v>0</v>
      </c>
      <c r="L59">
        <f t="shared" si="4"/>
        <v>85</v>
      </c>
      <c r="M59">
        <f t="shared" si="5"/>
        <v>0</v>
      </c>
      <c r="N59">
        <f t="shared" si="6"/>
        <v>1</v>
      </c>
    </row>
    <row r="60" spans="4:14" x14ac:dyDescent="0.2">
      <c r="D60">
        <f t="shared" si="8"/>
        <v>37</v>
      </c>
      <c r="E60" s="1">
        <f t="shared" si="9"/>
        <v>-2.135662980036602</v>
      </c>
      <c r="F60" s="1">
        <f t="shared" si="10"/>
        <v>-4.1376957892356607</v>
      </c>
      <c r="G60" s="1">
        <f t="shared" si="7"/>
        <v>1.5959583413124982E-2</v>
      </c>
      <c r="H60" s="1">
        <f t="shared" si="0"/>
        <v>1.5665493378018932E-3</v>
      </c>
      <c r="I60">
        <f t="shared" si="1"/>
        <v>33</v>
      </c>
      <c r="J60">
        <f t="shared" si="2"/>
        <v>0</v>
      </c>
      <c r="K60" s="5">
        <f t="shared" si="3"/>
        <v>0</v>
      </c>
      <c r="L60">
        <f t="shared" si="4"/>
        <v>85</v>
      </c>
      <c r="M60">
        <f t="shared" si="5"/>
        <v>0</v>
      </c>
      <c r="N60">
        <f t="shared" si="6"/>
        <v>1</v>
      </c>
    </row>
    <row r="61" spans="4:14" x14ac:dyDescent="0.2">
      <c r="D61">
        <f t="shared" si="8"/>
        <v>38</v>
      </c>
      <c r="E61" s="1">
        <f t="shared" si="9"/>
        <v>-2.2573599150141215</v>
      </c>
      <c r="F61" s="1">
        <f t="shared" si="10"/>
        <v>-4.2593927242131802</v>
      </c>
      <c r="G61" s="1">
        <f t="shared" si="7"/>
        <v>1.413088114703775E-2</v>
      </c>
      <c r="H61" s="1">
        <f t="shared" si="0"/>
        <v>1.3870488928454268E-3</v>
      </c>
      <c r="I61">
        <f t="shared" si="1"/>
        <v>34</v>
      </c>
      <c r="J61">
        <f t="shared" si="2"/>
        <v>0</v>
      </c>
      <c r="K61" s="5">
        <f t="shared" si="3"/>
        <v>0</v>
      </c>
      <c r="L61">
        <f t="shared" si="4"/>
        <v>85</v>
      </c>
      <c r="M61">
        <f t="shared" si="5"/>
        <v>0</v>
      </c>
      <c r="N61">
        <f t="shared" si="6"/>
        <v>1</v>
      </c>
    </row>
    <row r="62" spans="4:14" x14ac:dyDescent="0.2">
      <c r="D62">
        <f t="shared" si="8"/>
        <v>39</v>
      </c>
      <c r="E62" s="1">
        <f t="shared" si="9"/>
        <v>-2.3790568499916409</v>
      </c>
      <c r="F62" s="1">
        <f t="shared" si="10"/>
        <v>-4.3810896591906996</v>
      </c>
      <c r="G62" s="1">
        <f t="shared" si="7"/>
        <v>1.2511717682273011E-2</v>
      </c>
      <c r="H62" s="1">
        <f t="shared" si="0"/>
        <v>1.2281162072068886E-3</v>
      </c>
      <c r="I62">
        <f t="shared" si="1"/>
        <v>35</v>
      </c>
      <c r="J62">
        <f t="shared" si="2"/>
        <v>0</v>
      </c>
      <c r="K62" s="5">
        <f t="shared" si="3"/>
        <v>0</v>
      </c>
      <c r="L62">
        <f t="shared" si="4"/>
        <v>85</v>
      </c>
      <c r="M62">
        <f t="shared" si="5"/>
        <v>0</v>
      </c>
      <c r="N62">
        <f t="shared" si="6"/>
        <v>1</v>
      </c>
    </row>
    <row r="63" spans="4:14" x14ac:dyDescent="0.2">
      <c r="D63">
        <f t="shared" si="8"/>
        <v>40</v>
      </c>
      <c r="E63" s="1">
        <f t="shared" si="9"/>
        <v>-2.5007537849691603</v>
      </c>
      <c r="F63" s="1">
        <f t="shared" si="10"/>
        <v>-4.502786594168219</v>
      </c>
      <c r="G63" s="1">
        <f t="shared" si="7"/>
        <v>1.1078083364512567E-2</v>
      </c>
      <c r="H63" s="1">
        <f t="shared" si="0"/>
        <v>1.0873945584644331E-3</v>
      </c>
      <c r="I63">
        <f t="shared" si="1"/>
        <v>36</v>
      </c>
      <c r="J63">
        <f t="shared" si="2"/>
        <v>0</v>
      </c>
      <c r="K63" s="5">
        <f t="shared" si="3"/>
        <v>0</v>
      </c>
      <c r="L63">
        <f t="shared" si="4"/>
        <v>85</v>
      </c>
      <c r="M63">
        <f t="shared" si="5"/>
        <v>0</v>
      </c>
      <c r="N63">
        <f t="shared" si="6"/>
        <v>1</v>
      </c>
    </row>
    <row r="64" spans="4:14" x14ac:dyDescent="0.2">
      <c r="D64">
        <f t="shared" si="8"/>
        <v>41</v>
      </c>
      <c r="E64" s="1">
        <f t="shared" si="9"/>
        <v>-2.6224507199466798</v>
      </c>
      <c r="F64" s="1">
        <f t="shared" si="10"/>
        <v>-4.6244835291457385</v>
      </c>
      <c r="G64" s="1">
        <f t="shared" si="7"/>
        <v>9.8087196456621718E-3</v>
      </c>
      <c r="H64" s="1">
        <f t="shared" si="0"/>
        <v>9.6279726530705046E-4</v>
      </c>
      <c r="I64">
        <f t="shared" si="1"/>
        <v>37</v>
      </c>
      <c r="J64">
        <f t="shared" si="2"/>
        <v>0</v>
      </c>
      <c r="K64" s="5">
        <f t="shared" si="3"/>
        <v>0</v>
      </c>
      <c r="L64">
        <f t="shared" si="4"/>
        <v>85</v>
      </c>
      <c r="M64">
        <f t="shared" si="5"/>
        <v>0</v>
      </c>
      <c r="N64">
        <f t="shared" si="6"/>
        <v>1</v>
      </c>
    </row>
    <row r="65" spans="4:14" x14ac:dyDescent="0.2">
      <c r="D65">
        <f t="shared" si="8"/>
        <v>42</v>
      </c>
      <c r="E65" s="1">
        <f t="shared" si="9"/>
        <v>-2.7441476549241992</v>
      </c>
      <c r="F65" s="1">
        <f t="shared" si="10"/>
        <v>-4.7461804641232579</v>
      </c>
      <c r="G65" s="1">
        <f t="shared" si="7"/>
        <v>8.6848038529300509E-3</v>
      </c>
      <c r="H65" s="1">
        <f t="shared" si="0"/>
        <v>8.5247674532395123E-4</v>
      </c>
      <c r="I65">
        <f t="shared" si="1"/>
        <v>38</v>
      </c>
      <c r="J65">
        <f t="shared" si="2"/>
        <v>0</v>
      </c>
      <c r="K65" s="5">
        <f t="shared" si="3"/>
        <v>0</v>
      </c>
      <c r="L65">
        <f t="shared" si="4"/>
        <v>85</v>
      </c>
      <c r="M65">
        <f t="shared" si="5"/>
        <v>0</v>
      </c>
      <c r="N65">
        <f t="shared" si="6"/>
        <v>1</v>
      </c>
    </row>
    <row r="66" spans="4:14" x14ac:dyDescent="0.2">
      <c r="D66">
        <f t="shared" si="8"/>
        <v>43</v>
      </c>
      <c r="E66" s="1">
        <f t="shared" si="9"/>
        <v>-2.8658445899017186</v>
      </c>
      <c r="F66" s="1">
        <f t="shared" si="10"/>
        <v>-4.8678773991007773</v>
      </c>
      <c r="G66" s="1">
        <f t="shared" si="7"/>
        <v>7.6896700781151515E-3</v>
      </c>
      <c r="H66" s="1">
        <f t="shared" si="0"/>
        <v>7.5479711825558206E-4</v>
      </c>
      <c r="I66">
        <f t="shared" si="1"/>
        <v>39</v>
      </c>
      <c r="J66">
        <f t="shared" si="2"/>
        <v>0</v>
      </c>
      <c r="K66" s="5">
        <f t="shared" si="3"/>
        <v>0</v>
      </c>
      <c r="L66">
        <f t="shared" si="4"/>
        <v>85</v>
      </c>
      <c r="M66">
        <f t="shared" si="5"/>
        <v>0</v>
      </c>
      <c r="N66">
        <f t="shared" si="6"/>
        <v>1</v>
      </c>
    </row>
    <row r="67" spans="4:14" x14ac:dyDescent="0.2">
      <c r="D67">
        <f t="shared" si="8"/>
        <v>44</v>
      </c>
      <c r="E67" s="1">
        <f t="shared" si="9"/>
        <v>-2.9875415248792381</v>
      </c>
      <c r="F67" s="1">
        <f t="shared" si="10"/>
        <v>-4.9895743340782968</v>
      </c>
      <c r="G67" s="1">
        <f t="shared" si="7"/>
        <v>6.8085620483311262E-3</v>
      </c>
      <c r="H67" s="1">
        <f t="shared" si="0"/>
        <v>6.6830994845546354E-4</v>
      </c>
      <c r="I67">
        <f t="shared" si="1"/>
        <v>40</v>
      </c>
      <c r="J67">
        <f t="shared" si="2"/>
        <v>0</v>
      </c>
      <c r="K67" s="5">
        <f t="shared" si="3"/>
        <v>0</v>
      </c>
      <c r="L67">
        <f t="shared" si="4"/>
        <v>85</v>
      </c>
      <c r="M67">
        <f t="shared" si="5"/>
        <v>0</v>
      </c>
      <c r="N67">
        <f t="shared" si="6"/>
        <v>1</v>
      </c>
    </row>
    <row r="68" spans="4:14" x14ac:dyDescent="0.2">
      <c r="D68">
        <f t="shared" si="8"/>
        <v>45</v>
      </c>
      <c r="E68" s="1">
        <f t="shared" si="9"/>
        <v>-3.1092384598567575</v>
      </c>
      <c r="F68" s="1">
        <f t="shared" si="10"/>
        <v>-5.1112712690558162</v>
      </c>
      <c r="G68" s="1">
        <f t="shared" si="7"/>
        <v>6.0284143136265199E-3</v>
      </c>
      <c r="H68" s="1">
        <f t="shared" si="0"/>
        <v>5.9173276686160848E-4</v>
      </c>
      <c r="I68">
        <f t="shared" si="1"/>
        <v>41</v>
      </c>
      <c r="J68">
        <f t="shared" si="2"/>
        <v>0</v>
      </c>
      <c r="K68" s="5">
        <f t="shared" si="3"/>
        <v>0</v>
      </c>
      <c r="L68">
        <f t="shared" si="4"/>
        <v>85</v>
      </c>
      <c r="M68">
        <f t="shared" si="5"/>
        <v>0</v>
      </c>
      <c r="N68">
        <f t="shared" si="6"/>
        <v>1</v>
      </c>
    </row>
    <row r="69" spans="4:14" x14ac:dyDescent="0.2">
      <c r="D69">
        <f t="shared" si="8"/>
        <v>46</v>
      </c>
      <c r="E69" s="1">
        <f t="shared" si="9"/>
        <v>-3.2309353948342769</v>
      </c>
      <c r="F69" s="1">
        <f t="shared" si="10"/>
        <v>-5.2329682040333356</v>
      </c>
      <c r="G69" s="1">
        <f t="shared" si="7"/>
        <v>5.3376585068568164E-3</v>
      </c>
      <c r="H69" s="1">
        <f t="shared" si="0"/>
        <v>5.2393005399204936E-4</v>
      </c>
      <c r="I69">
        <f t="shared" si="1"/>
        <v>42</v>
      </c>
      <c r="J69">
        <f t="shared" si="2"/>
        <v>0</v>
      </c>
      <c r="K69" s="5">
        <f t="shared" si="3"/>
        <v>0</v>
      </c>
      <c r="L69">
        <f t="shared" si="4"/>
        <v>85</v>
      </c>
      <c r="M69">
        <f t="shared" si="5"/>
        <v>0</v>
      </c>
      <c r="N69">
        <f t="shared" si="6"/>
        <v>1</v>
      </c>
    </row>
    <row r="70" spans="4:14" x14ac:dyDescent="0.2">
      <c r="D70">
        <f t="shared" si="8"/>
        <v>47</v>
      </c>
      <c r="E70" s="1">
        <f t="shared" si="9"/>
        <v>-3.3526323298117964</v>
      </c>
      <c r="F70" s="1">
        <f t="shared" si="10"/>
        <v>-5.3546651390108551</v>
      </c>
      <c r="G70" s="1">
        <f t="shared" si="7"/>
        <v>4.7260518029461412E-3</v>
      </c>
      <c r="H70" s="1">
        <f t="shared" si="0"/>
        <v>4.6389640197212723E-4</v>
      </c>
      <c r="I70">
        <f t="shared" si="1"/>
        <v>43</v>
      </c>
      <c r="J70">
        <f t="shared" si="2"/>
        <v>0</v>
      </c>
      <c r="K70" s="5">
        <f t="shared" si="3"/>
        <v>0</v>
      </c>
      <c r="L70">
        <f t="shared" si="4"/>
        <v>85</v>
      </c>
      <c r="M70">
        <f t="shared" si="5"/>
        <v>0</v>
      </c>
      <c r="N70">
        <f t="shared" si="6"/>
        <v>1</v>
      </c>
    </row>
    <row r="71" spans="4:14" x14ac:dyDescent="0.2">
      <c r="D71">
        <f t="shared" si="8"/>
        <v>48</v>
      </c>
      <c r="E71" s="1">
        <f t="shared" si="9"/>
        <v>-3.4743292647893158</v>
      </c>
      <c r="F71" s="1">
        <f t="shared" si="10"/>
        <v>-5.4763620739883745</v>
      </c>
      <c r="G71" s="1">
        <f t="shared" si="7"/>
        <v>4.1845250338585641E-3</v>
      </c>
      <c r="H71" s="1">
        <f t="shared" si="0"/>
        <v>4.1074160591282117E-4</v>
      </c>
      <c r="I71">
        <f t="shared" si="1"/>
        <v>44</v>
      </c>
      <c r="J71">
        <f t="shared" si="2"/>
        <v>0</v>
      </c>
      <c r="K71" s="5">
        <f t="shared" si="3"/>
        <v>0</v>
      </c>
      <c r="L71">
        <f t="shared" si="4"/>
        <v>85</v>
      </c>
      <c r="M71">
        <f t="shared" si="5"/>
        <v>0</v>
      </c>
      <c r="N71">
        <f t="shared" si="6"/>
        <v>1</v>
      </c>
    </row>
    <row r="72" spans="4:14" x14ac:dyDescent="0.2">
      <c r="D72">
        <f t="shared" si="8"/>
        <v>49</v>
      </c>
      <c r="E72" s="1">
        <f t="shared" si="9"/>
        <v>-3.5960261997668352</v>
      </c>
      <c r="F72" s="1">
        <f t="shared" si="10"/>
        <v>-5.5980590089658939</v>
      </c>
      <c r="G72" s="1">
        <f t="shared" si="7"/>
        <v>3.7050482070622717E-3</v>
      </c>
      <c r="H72" s="1">
        <f t="shared" si="0"/>
        <v>3.6367746356864383E-4</v>
      </c>
      <c r="I72">
        <f t="shared" si="1"/>
        <v>45</v>
      </c>
      <c r="J72">
        <f t="shared" si="2"/>
        <v>0</v>
      </c>
      <c r="K72" s="5">
        <f t="shared" si="3"/>
        <v>0</v>
      </c>
      <c r="L72">
        <f t="shared" si="4"/>
        <v>85</v>
      </c>
      <c r="M72">
        <f t="shared" si="5"/>
        <v>0</v>
      </c>
      <c r="N72">
        <f t="shared" si="6"/>
        <v>1</v>
      </c>
    </row>
    <row r="73" spans="4:14" x14ac:dyDescent="0.2">
      <c r="D73">
        <f t="shared" si="8"/>
        <v>50</v>
      </c>
      <c r="E73" s="1">
        <f t="shared" si="9"/>
        <v>-3.7177231347443547</v>
      </c>
      <c r="F73" s="1">
        <f t="shared" si="10"/>
        <v>-5.7197559439434134</v>
      </c>
      <c r="G73" s="1">
        <f t="shared" si="7"/>
        <v>3.2805114333363875E-3</v>
      </c>
      <c r="H73" s="1">
        <f t="shared" si="0"/>
        <v>3.2200608753473684E-4</v>
      </c>
      <c r="I73">
        <f t="shared" si="1"/>
        <v>46</v>
      </c>
      <c r="J73">
        <f t="shared" si="2"/>
        <v>0</v>
      </c>
      <c r="K73" s="5">
        <f t="shared" si="3"/>
        <v>0</v>
      </c>
      <c r="L73">
        <f t="shared" si="4"/>
        <v>85</v>
      </c>
      <c r="M73">
        <f t="shared" si="5"/>
        <v>0</v>
      </c>
      <c r="N73">
        <f t="shared" si="6"/>
        <v>1</v>
      </c>
    </row>
    <row r="74" spans="4:14" x14ac:dyDescent="0.2">
      <c r="D74">
        <f t="shared" si="8"/>
        <v>51</v>
      </c>
      <c r="E74" s="1">
        <f t="shared" si="9"/>
        <v>-3.8394200697218741</v>
      </c>
      <c r="F74" s="1">
        <f t="shared" si="10"/>
        <v>-5.8414528789209328</v>
      </c>
      <c r="G74" s="1">
        <f t="shared" si="7"/>
        <v>2.904619498266594E-3</v>
      </c>
      <c r="H74" s="1">
        <f t="shared" si="0"/>
        <v>2.851095566713817E-4</v>
      </c>
      <c r="I74">
        <f t="shared" si="1"/>
        <v>47</v>
      </c>
      <c r="J74">
        <f t="shared" si="2"/>
        <v>0</v>
      </c>
      <c r="K74" s="5">
        <f t="shared" si="3"/>
        <v>0</v>
      </c>
      <c r="L74">
        <f t="shared" si="4"/>
        <v>85</v>
      </c>
      <c r="M74">
        <f t="shared" si="5"/>
        <v>0</v>
      </c>
      <c r="N74">
        <f t="shared" si="6"/>
        <v>1</v>
      </c>
    </row>
    <row r="75" spans="4:14" x14ac:dyDescent="0.2">
      <c r="D75">
        <f t="shared" si="8"/>
        <v>52</v>
      </c>
      <c r="E75" s="1">
        <f t="shared" si="9"/>
        <v>-3.9611170046993935</v>
      </c>
      <c r="F75" s="1">
        <f t="shared" si="10"/>
        <v>-5.9631498138984522</v>
      </c>
      <c r="G75" s="1">
        <f t="shared" si="7"/>
        <v>2.5717985140902145E-3</v>
      </c>
      <c r="H75" s="1">
        <f t="shared" si="0"/>
        <v>2.5244075330278597E-4</v>
      </c>
      <c r="I75">
        <f t="shared" si="1"/>
        <v>48</v>
      </c>
      <c r="J75">
        <f t="shared" si="2"/>
        <v>0</v>
      </c>
      <c r="K75" s="5">
        <f t="shared" si="3"/>
        <v>0</v>
      </c>
      <c r="L75">
        <f t="shared" si="4"/>
        <v>85</v>
      </c>
      <c r="M75">
        <f t="shared" si="5"/>
        <v>0</v>
      </c>
      <c r="N75">
        <f t="shared" si="6"/>
        <v>1</v>
      </c>
    </row>
    <row r="76" spans="4:14" x14ac:dyDescent="0.2">
      <c r="D76">
        <f t="shared" si="8"/>
        <v>53</v>
      </c>
      <c r="E76" s="1">
        <f t="shared" si="9"/>
        <v>-4.082813939676913</v>
      </c>
      <c r="F76" s="1">
        <f t="shared" si="10"/>
        <v>-6.0848467488759717</v>
      </c>
      <c r="G76" s="1">
        <f t="shared" si="7"/>
        <v>2.2771132676840449E-3</v>
      </c>
      <c r="H76" s="1">
        <f t="shared" si="0"/>
        <v>2.2351525032017516E-4</v>
      </c>
      <c r="I76">
        <f t="shared" si="1"/>
        <v>49</v>
      </c>
      <c r="J76">
        <f t="shared" si="2"/>
        <v>0</v>
      </c>
      <c r="K76" s="5">
        <f t="shared" si="3"/>
        <v>0</v>
      </c>
      <c r="L76">
        <f t="shared" si="4"/>
        <v>85</v>
      </c>
      <c r="M76">
        <f t="shared" si="5"/>
        <v>0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-4.2045108746544324</v>
      </c>
      <c r="F77" s="1">
        <f t="shared" si="10"/>
        <v>-6.2065436838534911</v>
      </c>
      <c r="G77" s="1">
        <f t="shared" si="7"/>
        <v>2.0161940390952485E-3</v>
      </c>
      <c r="H77" s="1">
        <f t="shared" si="0"/>
        <v>1.9790412788765513E-4</v>
      </c>
      <c r="I77">
        <f t="shared" si="1"/>
        <v>50</v>
      </c>
      <c r="J77">
        <f t="shared" si="2"/>
        <v>0</v>
      </c>
      <c r="K77" s="5">
        <f t="shared" si="3"/>
        <v>0</v>
      </c>
      <c r="L77">
        <f t="shared" si="4"/>
        <v>85</v>
      </c>
      <c r="M77">
        <f t="shared" si="5"/>
        <v>0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-4.3262078096319518</v>
      </c>
      <c r="F78" s="1">
        <f t="shared" si="10"/>
        <v>-6.3282406188310105</v>
      </c>
      <c r="G78" s="1">
        <f t="shared" si="7"/>
        <v>1.7851718054489188E-3</v>
      </c>
      <c r="H78" s="1">
        <f t="shared" si="0"/>
        <v>1.7522761323386139E-4</v>
      </c>
      <c r="I78">
        <f t="shared" si="1"/>
        <v>51</v>
      </c>
      <c r="J78">
        <f t="shared" si="2"/>
        <v>0</v>
      </c>
      <c r="K78" s="5">
        <f t="shared" si="3"/>
        <v>0</v>
      </c>
      <c r="L78">
        <f t="shared" si="4"/>
        <v>85</v>
      </c>
      <c r="M78">
        <f t="shared" si="5"/>
        <v>0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-4.4479047446094713</v>
      </c>
      <c r="F79" s="1">
        <f t="shared" si="10"/>
        <v>-6.44993755380853</v>
      </c>
      <c r="G79" s="1">
        <f t="shared" si="7"/>
        <v>1.5806208694078973E-3</v>
      </c>
      <c r="H79" s="1">
        <f t="shared" si="0"/>
        <v>1.5514944921748148E-4</v>
      </c>
      <c r="I79">
        <f t="shared" si="1"/>
        <v>52</v>
      </c>
      <c r="J79">
        <f t="shared" si="2"/>
        <v>0</v>
      </c>
      <c r="K79" s="5">
        <f t="shared" si="3"/>
        <v>0</v>
      </c>
      <c r="L79">
        <f t="shared" si="4"/>
        <v>85</v>
      </c>
      <c r="M79">
        <f t="shared" si="5"/>
        <v>0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-4.5696016795869907</v>
      </c>
      <c r="F80" s="1">
        <f t="shared" si="10"/>
        <v>-6.5716344887860494</v>
      </c>
      <c r="G80" s="1">
        <f t="shared" si="7"/>
        <v>1.3995080614549096E-3</v>
      </c>
      <c r="H80" s="1">
        <f t="shared" si="0"/>
        <v>1.3737190816131179E-4</v>
      </c>
      <c r="I80">
        <f t="shared" si="1"/>
        <v>53</v>
      </c>
      <c r="J80">
        <f t="shared" si="2"/>
        <v>0</v>
      </c>
      <c r="K80" s="5">
        <f t="shared" si="3"/>
        <v>0</v>
      </c>
      <c r="L80">
        <f t="shared" si="4"/>
        <v>85</v>
      </c>
      <c r="M80">
        <f t="shared" si="5"/>
        <v>0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-4.6912986145645101</v>
      </c>
      <c r="F81" s="1">
        <f t="shared" si="10"/>
        <v>-6.6933314237635688</v>
      </c>
      <c r="G81" s="1">
        <f t="shared" si="7"/>
        <v>1.2391477627465349E-3</v>
      </c>
      <c r="H81" s="1">
        <f t="shared" si="0"/>
        <v>1.2163137701782817E-4</v>
      </c>
      <c r="I81">
        <f t="shared" si="1"/>
        <v>54</v>
      </c>
      <c r="J81">
        <f t="shared" si="2"/>
        <v>0</v>
      </c>
      <c r="K81" s="5">
        <f t="shared" si="3"/>
        <v>0</v>
      </c>
      <c r="L81">
        <f t="shared" si="4"/>
        <v>85</v>
      </c>
      <c r="M81">
        <f t="shared" si="5"/>
        <v>0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-4.8129955495420296</v>
      </c>
      <c r="F82" s="1">
        <f t="shared" si="10"/>
        <v>-6.8150283587410883</v>
      </c>
      <c r="G82" s="1">
        <f t="shared" si="7"/>
        <v>1.0971620815984949E-3</v>
      </c>
      <c r="H82" s="1">
        <f t="shared" si="0"/>
        <v>1.0769444840120208E-4</v>
      </c>
      <c r="I82">
        <f t="shared" si="1"/>
        <v>55</v>
      </c>
      <c r="J82">
        <f t="shared" si="2"/>
        <v>0</v>
      </c>
      <c r="K82" s="5">
        <f t="shared" si="3"/>
        <v>0</v>
      </c>
      <c r="L82">
        <f t="shared" si="4"/>
        <v>85</v>
      </c>
      <c r="M82">
        <f t="shared" si="5"/>
        <v>0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-4.934692484519549</v>
      </c>
      <c r="F83" s="1">
        <f t="shared" si="10"/>
        <v>-6.9367252937186077</v>
      </c>
      <c r="G83" s="1">
        <f t="shared" si="7"/>
        <v>9.7144559308200108E-4</v>
      </c>
      <c r="H83" s="1">
        <f t="shared" si="0"/>
        <v>9.5354459521897715E-5</v>
      </c>
      <c r="I83">
        <f t="shared" si="1"/>
        <v>56</v>
      </c>
      <c r="J83">
        <f t="shared" si="2"/>
        <v>0</v>
      </c>
      <c r="K83" s="5">
        <f t="shared" si="3"/>
        <v>0</v>
      </c>
      <c r="L83">
        <f t="shared" si="4"/>
        <v>85</v>
      </c>
      <c r="M83">
        <f t="shared" si="5"/>
        <v>0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-5.0563894194970684</v>
      </c>
      <c r="F84" s="1">
        <f t="shared" si="10"/>
        <v>-7.0584222286961271</v>
      </c>
      <c r="G84" s="1">
        <f t="shared" si="7"/>
        <v>8.6013411887468877E-4</v>
      </c>
      <c r="H84" s="1">
        <f t="shared" si="0"/>
        <v>8.4428427701680291E-5</v>
      </c>
      <c r="I84">
        <f t="shared" si="1"/>
        <v>57</v>
      </c>
      <c r="J84">
        <f t="shared" si="2"/>
        <v>0</v>
      </c>
      <c r="K84" s="5">
        <f t="shared" si="3"/>
        <v>0</v>
      </c>
      <c r="L84">
        <f t="shared" si="4"/>
        <v>85</v>
      </c>
      <c r="M84">
        <f t="shared" si="5"/>
        <v>0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-5.1780863544745879</v>
      </c>
      <c r="F85" s="1">
        <f t="shared" si="10"/>
        <v>-7.1801191636736466</v>
      </c>
      <c r="G85" s="1">
        <f t="shared" si="7"/>
        <v>7.6157708442029762E-4</v>
      </c>
      <c r="H85" s="1">
        <f t="shared" si="0"/>
        <v>7.4754337027529456E-5</v>
      </c>
      <c r="I85">
        <f t="shared" si="1"/>
        <v>58</v>
      </c>
      <c r="J85">
        <f t="shared" si="2"/>
        <v>0</v>
      </c>
      <c r="K85" s="5">
        <f t="shared" si="3"/>
        <v>0</v>
      </c>
      <c r="L85">
        <f t="shared" si="4"/>
        <v>85</v>
      </c>
      <c r="M85">
        <f t="shared" si="5"/>
        <v>0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-5.2997832894521073</v>
      </c>
      <c r="F86" s="1">
        <f t="shared" si="10"/>
        <v>-7.301816098651166</v>
      </c>
      <c r="G86" s="1">
        <f t="shared" si="7"/>
        <v>6.7431304349713868E-4</v>
      </c>
      <c r="H86" s="1">
        <f t="shared" si="0"/>
        <v>6.618873590979172E-5</v>
      </c>
      <c r="I86">
        <f t="shared" si="1"/>
        <v>59</v>
      </c>
      <c r="J86">
        <f t="shared" si="2"/>
        <v>0</v>
      </c>
      <c r="K86" s="5">
        <f t="shared" si="3"/>
        <v>0</v>
      </c>
      <c r="L86">
        <f t="shared" si="4"/>
        <v>85</v>
      </c>
      <c r="M86">
        <f t="shared" si="5"/>
        <v>0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-5.4214802244296276</v>
      </c>
      <c r="F87" s="1">
        <f t="shared" si="10"/>
        <v>-7.4235130336286863</v>
      </c>
      <c r="G87" s="1">
        <f t="shared" si="7"/>
        <v>5.9704800726309126E-4</v>
      </c>
      <c r="H87" s="1">
        <f t="shared" ref="H87:H150" si="11">G87/$G$21</f>
        <v>5.8604609920128058E-5</v>
      </c>
      <c r="I87">
        <f t="shared" ref="I87:I150" si="12">IF($F$11&lt;=D87, IF(D87&lt;=$A$15,D87-$F$11,$C$11),0)</f>
        <v>60</v>
      </c>
      <c r="J87">
        <f t="shared" ref="J87:J150" si="13">IF(D87&lt;=$A$15,0,D87-$A$15)</f>
        <v>0</v>
      </c>
      <c r="K87" s="5">
        <f t="shared" ref="K87:K150" si="14">IF(D87&lt;$F$11,H87,0)</f>
        <v>0</v>
      </c>
      <c r="L87">
        <f t="shared" ref="L87:L150" si="15">IF(D87&lt;$A$15,$D$11,$D$11*(1-$H$11))</f>
        <v>85</v>
      </c>
      <c r="M87">
        <f t="shared" ref="M87:M150" si="16">IF(D87&lt;$A$15,0,1)</f>
        <v>1</v>
      </c>
      <c r="N87">
        <f t="shared" ref="N87:N150" si="17">IF(SUM(I87:J87)&lt;=($G$11/60*$F$11/($E$11/60)),1,0)</f>
        <v>0</v>
      </c>
    </row>
    <row r="88" spans="4:14" x14ac:dyDescent="0.2">
      <c r="D88">
        <f t="shared" si="8"/>
        <v>65</v>
      </c>
      <c r="E88" s="1">
        <f t="shared" si="9"/>
        <v>-5.5431771594071471</v>
      </c>
      <c r="F88" s="1">
        <f t="shared" si="10"/>
        <v>-7.5452099686062057</v>
      </c>
      <c r="G88" s="1">
        <f t="shared" ref="G88:G151" si="18">EXP(F88)</f>
        <v>5.2863625643086219E-4</v>
      </c>
      <c r="H88" s="1">
        <f t="shared" si="11"/>
        <v>5.1889498366780065E-5</v>
      </c>
      <c r="I88">
        <f t="shared" si="12"/>
        <v>60</v>
      </c>
      <c r="J88">
        <f t="shared" si="13"/>
        <v>1</v>
      </c>
      <c r="K88" s="5">
        <f t="shared" si="14"/>
        <v>0</v>
      </c>
      <c r="L88">
        <f t="shared" si="15"/>
        <v>85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IF($H$11=1,IF(D89&lt;=$A$15, E88+LN($D$11)-LN(60/$E$11)-LN(MIN(D89,$F$11)), E88-LN(60/$E$11)-LN(MIN(D89,$F$11))), IF(D89&lt;=$A$15, E88+LN($D$11)-LN(60/$E$11)-LN(MIN(D89,$F$11)), E88+LN($D$11)+LN(1-$H$11)-LN(60/$E$11)-LN(MIN(D89,$F$11))))</f>
        <v>-5.6648740943846665</v>
      </c>
      <c r="F89" s="1">
        <f t="shared" ref="F89:F152" si="21">E89-$E$21</f>
        <v>-7.6669069035837252</v>
      </c>
      <c r="G89" s="1">
        <f t="shared" si="18"/>
        <v>4.680633520481594E-4</v>
      </c>
      <c r="H89" s="1">
        <f t="shared" si="11"/>
        <v>4.5943826678919869E-5</v>
      </c>
      <c r="I89">
        <f t="shared" si="12"/>
        <v>60</v>
      </c>
      <c r="J89">
        <f t="shared" si="13"/>
        <v>2</v>
      </c>
      <c r="K89" s="5">
        <f t="shared" si="14"/>
        <v>0</v>
      </c>
      <c r="L89">
        <f t="shared" si="15"/>
        <v>85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-5.7865710293621859</v>
      </c>
      <c r="F90" s="1">
        <f t="shared" si="21"/>
        <v>-7.7886038385612446</v>
      </c>
      <c r="G90" s="1">
        <f t="shared" si="18"/>
        <v>4.1443109295930799E-4</v>
      </c>
      <c r="H90" s="1">
        <f t="shared" si="11"/>
        <v>4.0679429871960315E-5</v>
      </c>
      <c r="I90">
        <f t="shared" si="12"/>
        <v>60</v>
      </c>
      <c r="J90">
        <f t="shared" si="13"/>
        <v>3</v>
      </c>
      <c r="K90" s="5">
        <f t="shared" si="14"/>
        <v>0</v>
      </c>
      <c r="L90">
        <f t="shared" si="15"/>
        <v>85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-5.9082679643397054</v>
      </c>
      <c r="F91" s="1">
        <f t="shared" si="21"/>
        <v>-7.910300773538764</v>
      </c>
      <c r="G91" s="1">
        <f t="shared" si="18"/>
        <v>3.6694419689105404E-4</v>
      </c>
      <c r="H91" s="1">
        <f t="shared" si="11"/>
        <v>3.601824519913154E-5</v>
      </c>
      <c r="I91">
        <f t="shared" si="12"/>
        <v>60</v>
      </c>
      <c r="J91">
        <f t="shared" si="13"/>
        <v>4</v>
      </c>
      <c r="K91" s="5">
        <f t="shared" si="14"/>
        <v>0</v>
      </c>
      <c r="L91">
        <f t="shared" si="15"/>
        <v>85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-6.0299648993172248</v>
      </c>
      <c r="F92" s="1">
        <f t="shared" si="21"/>
        <v>-8.0319977085162826</v>
      </c>
      <c r="G92" s="1">
        <f t="shared" si="18"/>
        <v>3.248985076639545E-4</v>
      </c>
      <c r="H92" s="1">
        <f t="shared" si="11"/>
        <v>3.1891154603397755E-5</v>
      </c>
      <c r="I92">
        <f t="shared" si="12"/>
        <v>60</v>
      </c>
      <c r="J92">
        <f t="shared" si="13"/>
        <v>5</v>
      </c>
      <c r="K92" s="5">
        <f t="shared" si="14"/>
        <v>0</v>
      </c>
      <c r="L92">
        <f t="shared" si="15"/>
        <v>85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-6.1516618342947442</v>
      </c>
      <c r="F93" s="1">
        <f t="shared" si="21"/>
        <v>-8.1536946434938038</v>
      </c>
      <c r="G93" s="1">
        <f t="shared" si="18"/>
        <v>2.8767055366079263E-4</v>
      </c>
      <c r="H93" s="1">
        <f t="shared" si="11"/>
        <v>2.8236959805091723E-5</v>
      </c>
      <c r="I93">
        <f t="shared" si="12"/>
        <v>60</v>
      </c>
      <c r="J93">
        <f t="shared" si="13"/>
        <v>6</v>
      </c>
      <c r="K93" s="5">
        <f t="shared" si="14"/>
        <v>0</v>
      </c>
      <c r="L93">
        <f t="shared" si="15"/>
        <v>85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-6.2733587692722637</v>
      </c>
      <c r="F94" s="1">
        <f t="shared" si="21"/>
        <v>-8.2753915784713215</v>
      </c>
      <c r="G94" s="1">
        <f t="shared" si="18"/>
        <v>2.5470830272049405E-4</v>
      </c>
      <c r="H94" s="1">
        <f t="shared" si="11"/>
        <v>2.5001474827425019E-5</v>
      </c>
      <c r="I94">
        <f t="shared" si="12"/>
        <v>60</v>
      </c>
      <c r="J94">
        <f t="shared" si="13"/>
        <v>7</v>
      </c>
      <c r="K94" s="5">
        <f t="shared" si="14"/>
        <v>0</v>
      </c>
      <c r="L94">
        <f t="shared" si="15"/>
        <v>85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-6.3950557042497831</v>
      </c>
      <c r="F95" s="1">
        <f t="shared" si="21"/>
        <v>-8.3970885134488427</v>
      </c>
      <c r="G95" s="1">
        <f t="shared" si="18"/>
        <v>2.2552297636710378E-4</v>
      </c>
      <c r="H95" s="1">
        <f t="shared" si="11"/>
        <v>2.2136722503449205E-5</v>
      </c>
      <c r="I95">
        <f t="shared" si="12"/>
        <v>60</v>
      </c>
      <c r="J95">
        <f t="shared" si="13"/>
        <v>8</v>
      </c>
      <c r="K95" s="5">
        <f t="shared" si="14"/>
        <v>0</v>
      </c>
      <c r="L95">
        <f t="shared" si="15"/>
        <v>85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-6.5167526392273025</v>
      </c>
      <c r="F96" s="1">
        <f t="shared" si="21"/>
        <v>-8.5187854484263603</v>
      </c>
      <c r="G96" s="1">
        <f t="shared" si="18"/>
        <v>1.9968180199170688E-4</v>
      </c>
      <c r="H96" s="1">
        <f t="shared" si="11"/>
        <v>1.9600223049929023E-5</v>
      </c>
      <c r="I96">
        <f t="shared" si="12"/>
        <v>60</v>
      </c>
      <c r="J96">
        <f t="shared" si="13"/>
        <v>9</v>
      </c>
      <c r="K96" s="5">
        <f t="shared" si="14"/>
        <v>0</v>
      </c>
      <c r="L96">
        <f t="shared" si="15"/>
        <v>85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-6.638449574204822</v>
      </c>
      <c r="F97" s="1">
        <f t="shared" si="21"/>
        <v>-8.6404823834038815</v>
      </c>
      <c r="G97" s="1">
        <f t="shared" si="18"/>
        <v>1.7680159551349022E-4</v>
      </c>
      <c r="H97" s="1">
        <f t="shared" si="11"/>
        <v>1.7354364158791297E-5</v>
      </c>
      <c r="I97">
        <f t="shared" si="12"/>
        <v>60</v>
      </c>
      <c r="J97">
        <f t="shared" si="13"/>
        <v>10</v>
      </c>
      <c r="K97" s="5">
        <f t="shared" si="14"/>
        <v>0</v>
      </c>
      <c r="L97">
        <f t="shared" si="15"/>
        <v>85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-6.7601465091823414</v>
      </c>
      <c r="F98" s="1">
        <f t="shared" si="21"/>
        <v>-8.7621793183813992</v>
      </c>
      <c r="G98" s="1">
        <f t="shared" si="18"/>
        <v>1.5654307936090314E-4</v>
      </c>
      <c r="H98" s="1">
        <f t="shared" si="11"/>
        <v>1.5365843265596493E-5</v>
      </c>
      <c r="I98">
        <f t="shared" si="12"/>
        <v>60</v>
      </c>
      <c r="J98">
        <f t="shared" si="13"/>
        <v>11</v>
      </c>
      <c r="K98" s="5">
        <f t="shared" si="14"/>
        <v>0</v>
      </c>
      <c r="L98">
        <f t="shared" si="15"/>
        <v>85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-6.8818434441598608</v>
      </c>
      <c r="F99" s="1">
        <f t="shared" si="21"/>
        <v>-8.8838762533589204</v>
      </c>
      <c r="G99" s="1">
        <f t="shared" si="18"/>
        <v>1.3860585151746611E-4</v>
      </c>
      <c r="H99" s="1">
        <f t="shared" si="11"/>
        <v>1.3605173724746876E-5</v>
      </c>
      <c r="I99">
        <f t="shared" si="12"/>
        <v>60</v>
      </c>
      <c r="J99">
        <f t="shared" si="13"/>
        <v>12</v>
      </c>
      <c r="K99" s="5">
        <f t="shared" si="14"/>
        <v>0</v>
      </c>
      <c r="L99">
        <f t="shared" si="15"/>
        <v>85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-7.0035403791373803</v>
      </c>
      <c r="F100" s="1">
        <f t="shared" si="21"/>
        <v>-9.0055731883364381</v>
      </c>
      <c r="G100" s="1">
        <f t="shared" si="18"/>
        <v>1.2272393103109004E-4</v>
      </c>
      <c r="H100" s="1">
        <f t="shared" si="11"/>
        <v>1.2046247568786322E-5</v>
      </c>
      <c r="I100">
        <f t="shared" si="12"/>
        <v>60</v>
      </c>
      <c r="J100">
        <f t="shared" si="13"/>
        <v>13</v>
      </c>
      <c r="K100" s="5">
        <f t="shared" si="14"/>
        <v>0</v>
      </c>
      <c r="L100">
        <f t="shared" si="15"/>
        <v>85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-7.1252373141148997</v>
      </c>
      <c r="F101" s="1">
        <f t="shared" si="21"/>
        <v>-9.1272701233139593</v>
      </c>
      <c r="G101" s="1">
        <f t="shared" si="18"/>
        <v>1.086618139337775E-4</v>
      </c>
      <c r="H101" s="1">
        <f t="shared" si="11"/>
        <v>1.0665948368196208E-5</v>
      </c>
      <c r="I101">
        <f t="shared" si="12"/>
        <v>60</v>
      </c>
      <c r="J101">
        <f t="shared" si="13"/>
        <v>14</v>
      </c>
      <c r="K101" s="5">
        <f t="shared" si="14"/>
        <v>0</v>
      </c>
      <c r="L101">
        <f t="shared" si="15"/>
        <v>85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-7.2469342490924191</v>
      </c>
      <c r="F102" s="1">
        <f t="shared" si="21"/>
        <v>-9.2489670582914769</v>
      </c>
      <c r="G102" s="1">
        <f t="shared" si="18"/>
        <v>9.6210981087199032E-5</v>
      </c>
      <c r="H102" s="1">
        <f t="shared" si="11"/>
        <v>9.4438084510070799E-6</v>
      </c>
      <c r="I102">
        <f t="shared" si="12"/>
        <v>60</v>
      </c>
      <c r="J102">
        <f t="shared" si="13"/>
        <v>15</v>
      </c>
      <c r="K102" s="5">
        <f t="shared" si="14"/>
        <v>0</v>
      </c>
      <c r="L102">
        <f t="shared" si="15"/>
        <v>85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-7.3686311840699386</v>
      </c>
      <c r="F103" s="1">
        <f t="shared" si="21"/>
        <v>-9.3706639932689981</v>
      </c>
      <c r="G103" s="1">
        <f t="shared" si="18"/>
        <v>8.518680617095735E-5</v>
      </c>
      <c r="H103" s="1">
        <f t="shared" si="11"/>
        <v>8.361705399329172E-6</v>
      </c>
      <c r="I103">
        <f t="shared" si="12"/>
        <v>60</v>
      </c>
      <c r="J103">
        <f t="shared" si="13"/>
        <v>16</v>
      </c>
      <c r="K103" s="5">
        <f t="shared" si="14"/>
        <v>0</v>
      </c>
      <c r="L103">
        <f t="shared" si="15"/>
        <v>85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-7.490328119047458</v>
      </c>
      <c r="F104" s="1">
        <f t="shared" si="21"/>
        <v>-9.4923609282465158</v>
      </c>
      <c r="G104" s="1">
        <f t="shared" si="18"/>
        <v>7.5425817963868652E-5</v>
      </c>
      <c r="H104" s="1">
        <f t="shared" si="11"/>
        <v>7.4035933223227211E-6</v>
      </c>
      <c r="I104">
        <f t="shared" si="12"/>
        <v>60</v>
      </c>
      <c r="J104">
        <f t="shared" si="13"/>
        <v>17</v>
      </c>
      <c r="K104" s="5">
        <f t="shared" si="14"/>
        <v>0</v>
      </c>
      <c r="L104">
        <f t="shared" si="15"/>
        <v>85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-7.6120250540249774</v>
      </c>
      <c r="F105" s="1">
        <f t="shared" si="21"/>
        <v>-9.614057863224037</v>
      </c>
      <c r="G105" s="1">
        <f t="shared" si="18"/>
        <v>6.6783276322175279E-5</v>
      </c>
      <c r="H105" s="1">
        <f t="shared" si="11"/>
        <v>6.5552649208065672E-6</v>
      </c>
      <c r="I105">
        <f t="shared" si="12"/>
        <v>60</v>
      </c>
      <c r="J105">
        <f t="shared" si="13"/>
        <v>18</v>
      </c>
      <c r="K105" s="5">
        <f t="shared" si="14"/>
        <v>0</v>
      </c>
      <c r="L105">
        <f t="shared" si="15"/>
        <v>85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-7.7337219890024969</v>
      </c>
      <c r="F106" s="1">
        <f t="shared" si="21"/>
        <v>-9.7357547982015546</v>
      </c>
      <c r="G106" s="1">
        <f t="shared" si="18"/>
        <v>5.913102591025948E-5</v>
      </c>
      <c r="H106" s="1">
        <f t="shared" si="11"/>
        <v>5.8041408152974928E-6</v>
      </c>
      <c r="I106">
        <f t="shared" si="12"/>
        <v>60</v>
      </c>
      <c r="J106">
        <f t="shared" si="13"/>
        <v>19</v>
      </c>
      <c r="K106" s="5">
        <f t="shared" si="14"/>
        <v>0</v>
      </c>
      <c r="L106">
        <f t="shared" si="15"/>
        <v>85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-7.8554189239800163</v>
      </c>
      <c r="F107" s="1">
        <f t="shared" si="21"/>
        <v>-9.8574517331790759</v>
      </c>
      <c r="G107" s="1">
        <f t="shared" si="18"/>
        <v>5.2355595858042177E-5</v>
      </c>
      <c r="H107" s="1">
        <f t="shared" si="11"/>
        <v>5.1390830135446479E-6</v>
      </c>
      <c r="I107">
        <f t="shared" si="12"/>
        <v>60</v>
      </c>
      <c r="J107">
        <f t="shared" si="13"/>
        <v>20</v>
      </c>
      <c r="K107" s="5">
        <f t="shared" si="14"/>
        <v>0</v>
      </c>
      <c r="L107">
        <f t="shared" si="15"/>
        <v>85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-7.9771158589575357</v>
      </c>
      <c r="F108" s="1">
        <f t="shared" si="21"/>
        <v>-9.9791486681565935</v>
      </c>
      <c r="G108" s="1">
        <f t="shared" si="18"/>
        <v>4.6356517165974943E-5</v>
      </c>
      <c r="H108" s="1">
        <f t="shared" si="11"/>
        <v>4.5502297515760003E-6</v>
      </c>
      <c r="I108">
        <f t="shared" si="12"/>
        <v>60</v>
      </c>
      <c r="J108">
        <f t="shared" si="13"/>
        <v>21</v>
      </c>
      <c r="K108" s="5">
        <f t="shared" si="14"/>
        <v>0</v>
      </c>
      <c r="L108">
        <f t="shared" si="15"/>
        <v>85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-8.0988127939350552</v>
      </c>
      <c r="F109" s="1">
        <f t="shared" si="21"/>
        <v>-10.100845603134115</v>
      </c>
      <c r="G109" s="1">
        <f t="shared" si="18"/>
        <v>4.1044832907373587E-5</v>
      </c>
      <c r="H109" s="1">
        <f t="shared" si="11"/>
        <v>4.0288492592079114E-6</v>
      </c>
      <c r="I109">
        <f t="shared" si="12"/>
        <v>60</v>
      </c>
      <c r="J109">
        <f t="shared" si="13"/>
        <v>22</v>
      </c>
      <c r="K109" s="5">
        <f t="shared" si="14"/>
        <v>0</v>
      </c>
      <c r="L109">
        <f t="shared" si="15"/>
        <v>85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-8.2205097289125746</v>
      </c>
      <c r="F110" s="1">
        <f t="shared" si="21"/>
        <v>-10.222542538111632</v>
      </c>
      <c r="G110" s="1">
        <f t="shared" si="18"/>
        <v>3.6341779136737105E-5</v>
      </c>
      <c r="H110" s="1">
        <f t="shared" si="11"/>
        <v>3.5672102815903454E-6</v>
      </c>
      <c r="I110">
        <f t="shared" si="12"/>
        <v>60</v>
      </c>
      <c r="J110">
        <f t="shared" si="13"/>
        <v>23</v>
      </c>
      <c r="K110" s="5">
        <f t="shared" si="14"/>
        <v>0</v>
      </c>
      <c r="L110">
        <f t="shared" si="15"/>
        <v>85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-8.342206663890094</v>
      </c>
      <c r="F111" s="1">
        <f t="shared" si="21"/>
        <v>-10.344239473089154</v>
      </c>
      <c r="G111" s="1">
        <f t="shared" si="18"/>
        <v>3.2177616943985936E-5</v>
      </c>
      <c r="H111" s="1">
        <f t="shared" si="11"/>
        <v>3.1584674368247809E-6</v>
      </c>
      <c r="I111">
        <f t="shared" si="12"/>
        <v>60</v>
      </c>
      <c r="J111">
        <f t="shared" si="13"/>
        <v>24</v>
      </c>
      <c r="K111" s="5">
        <f t="shared" si="14"/>
        <v>0</v>
      </c>
      <c r="L111">
        <f t="shared" si="15"/>
        <v>85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-8.4639035988676135</v>
      </c>
      <c r="F112" s="1">
        <f t="shared" si="21"/>
        <v>-10.465936408066671</v>
      </c>
      <c r="G112" s="1">
        <f t="shared" si="18"/>
        <v>2.8490598335820939E-5</v>
      </c>
      <c r="H112" s="1">
        <f t="shared" si="11"/>
        <v>2.7965597096886135E-6</v>
      </c>
      <c r="I112">
        <f t="shared" si="12"/>
        <v>60</v>
      </c>
      <c r="J112">
        <f t="shared" si="13"/>
        <v>25</v>
      </c>
      <c r="K112" s="5">
        <f t="shared" si="14"/>
        <v>0</v>
      </c>
      <c r="L112">
        <f t="shared" si="15"/>
        <v>85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-8.5856005338451329</v>
      </c>
      <c r="F113" s="1">
        <f t="shared" si="21"/>
        <v>-10.587633343044192</v>
      </c>
      <c r="G113" s="1">
        <f t="shared" si="18"/>
        <v>2.522605060984142E-5</v>
      </c>
      <c r="H113" s="1">
        <f t="shared" si="11"/>
        <v>2.4761205762867897E-6</v>
      </c>
      <c r="I113">
        <f t="shared" si="12"/>
        <v>60</v>
      </c>
      <c r="J113">
        <f t="shared" si="13"/>
        <v>26</v>
      </c>
      <c r="K113" s="5">
        <f t="shared" si="14"/>
        <v>0</v>
      </c>
      <c r="L113">
        <f t="shared" si="15"/>
        <v>85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-8.7072974688226523</v>
      </c>
      <c r="F114" s="1">
        <f t="shared" si="21"/>
        <v>-10.70933027802171</v>
      </c>
      <c r="G114" s="1">
        <f t="shared" si="18"/>
        <v>2.2335565644130471E-5</v>
      </c>
      <c r="H114" s="1">
        <f t="shared" si="11"/>
        <v>2.1923984269205998E-6</v>
      </c>
      <c r="I114">
        <f t="shared" si="12"/>
        <v>60</v>
      </c>
      <c r="J114">
        <f t="shared" si="13"/>
        <v>27</v>
      </c>
      <c r="K114" s="5">
        <f t="shared" si="14"/>
        <v>0</v>
      </c>
      <c r="L114">
        <f t="shared" si="15"/>
        <v>85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-8.8289944038001718</v>
      </c>
      <c r="F115" s="1">
        <f t="shared" si="21"/>
        <v>-10.831027212999231</v>
      </c>
      <c r="G115" s="1">
        <f t="shared" si="18"/>
        <v>1.9776282080740495E-5</v>
      </c>
      <c r="H115" s="1">
        <f t="shared" si="11"/>
        <v>1.9411861071692785E-6</v>
      </c>
      <c r="I115">
        <f t="shared" si="12"/>
        <v>60</v>
      </c>
      <c r="J115">
        <f t="shared" si="13"/>
        <v>28</v>
      </c>
      <c r="K115" s="5">
        <f t="shared" si="14"/>
        <v>0</v>
      </c>
      <c r="L115">
        <f t="shared" si="15"/>
        <v>85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-8.9506913387776912</v>
      </c>
      <c r="F116" s="1">
        <f t="shared" si="21"/>
        <v>-10.952724147976749</v>
      </c>
      <c r="G116" s="1">
        <f t="shared" si="18"/>
        <v>1.7510249758989017E-5</v>
      </c>
      <c r="H116" s="1">
        <f t="shared" si="11"/>
        <v>1.7187585323894688E-6</v>
      </c>
      <c r="I116">
        <f t="shared" si="12"/>
        <v>60</v>
      </c>
      <c r="J116">
        <f t="shared" si="13"/>
        <v>29</v>
      </c>
      <c r="K116" s="5">
        <f t="shared" si="14"/>
        <v>0</v>
      </c>
      <c r="L116">
        <f t="shared" si="15"/>
        <v>85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-9.0723882737552106</v>
      </c>
      <c r="F117" s="1">
        <f t="shared" si="21"/>
        <v>-11.07442108295427</v>
      </c>
      <c r="G117" s="1">
        <f t="shared" si="18"/>
        <v>1.5503866974104836E-5</v>
      </c>
      <c r="H117" s="1">
        <f t="shared" si="11"/>
        <v>1.5218174505531733E-6</v>
      </c>
      <c r="I117">
        <f t="shared" si="12"/>
        <v>60</v>
      </c>
      <c r="J117">
        <f t="shared" si="13"/>
        <v>30</v>
      </c>
      <c r="K117" s="5">
        <f t="shared" si="14"/>
        <v>0</v>
      </c>
      <c r="L117">
        <f t="shared" si="15"/>
        <v>85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-9.1940852087327301</v>
      </c>
      <c r="F118" s="1">
        <f t="shared" si="21"/>
        <v>-11.196118017931788</v>
      </c>
      <c r="G118" s="1">
        <f t="shared" si="18"/>
        <v>1.3727382216655354E-5</v>
      </c>
      <c r="H118" s="1">
        <f t="shared" si="11"/>
        <v>1.3474425343439584E-6</v>
      </c>
      <c r="I118">
        <f t="shared" si="12"/>
        <v>60</v>
      </c>
      <c r="J118">
        <f t="shared" si="13"/>
        <v>31</v>
      </c>
      <c r="K118" s="5">
        <f t="shared" si="14"/>
        <v>0</v>
      </c>
      <c r="L118">
        <f t="shared" si="15"/>
        <v>85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-9.3157821437102495</v>
      </c>
      <c r="F119" s="1">
        <f t="shared" si="21"/>
        <v>-11.317814952909309</v>
      </c>
      <c r="G119" s="1">
        <f t="shared" si="18"/>
        <v>1.2154453004330244E-5</v>
      </c>
      <c r="H119" s="1">
        <f t="shared" si="11"/>
        <v>1.1930480772837116E-6</v>
      </c>
      <c r="I119">
        <f t="shared" si="12"/>
        <v>60</v>
      </c>
      <c r="J119">
        <f t="shared" si="13"/>
        <v>32</v>
      </c>
      <c r="K119" s="5">
        <f t="shared" si="14"/>
        <v>0</v>
      </c>
      <c r="L119">
        <f t="shared" si="15"/>
        <v>85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-9.4374790786877689</v>
      </c>
      <c r="F120" s="1">
        <f t="shared" si="21"/>
        <v>-11.439511887886827</v>
      </c>
      <c r="G120" s="1">
        <f t="shared" si="18"/>
        <v>1.0761755264250759E-5</v>
      </c>
      <c r="H120" s="1">
        <f t="shared" si="11"/>
        <v>1.0563446517616218E-6</v>
      </c>
      <c r="I120">
        <f t="shared" si="12"/>
        <v>60</v>
      </c>
      <c r="J120">
        <f t="shared" si="13"/>
        <v>33</v>
      </c>
      <c r="K120" s="5">
        <f t="shared" si="14"/>
        <v>0</v>
      </c>
      <c r="L120">
        <f t="shared" si="15"/>
        <v>85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-9.5591760136652884</v>
      </c>
      <c r="F121" s="1">
        <f t="shared" si="21"/>
        <v>-11.561208822864348</v>
      </c>
      <c r="G121" s="1">
        <f t="shared" si="18"/>
        <v>9.5286374735553466E-6</v>
      </c>
      <c r="H121" s="1">
        <f t="shared" si="11"/>
        <v>9.3530516041393467E-7</v>
      </c>
      <c r="I121">
        <f t="shared" si="12"/>
        <v>60</v>
      </c>
      <c r="J121">
        <f t="shared" si="13"/>
        <v>34</v>
      </c>
      <c r="K121" s="5">
        <f t="shared" si="14"/>
        <v>0</v>
      </c>
      <c r="L121">
        <f t="shared" si="15"/>
        <v>85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-9.6808729486428078</v>
      </c>
      <c r="F122" s="1">
        <f t="shared" si="21"/>
        <v>-11.682905757841866</v>
      </c>
      <c r="G122" s="1">
        <f t="shared" si="18"/>
        <v>8.4368144297104802E-6</v>
      </c>
      <c r="H122" s="1">
        <f t="shared" si="11"/>
        <v>8.2813477744983973E-7</v>
      </c>
      <c r="I122">
        <f t="shared" si="12"/>
        <v>60</v>
      </c>
      <c r="J122">
        <f t="shared" si="13"/>
        <v>35</v>
      </c>
      <c r="K122" s="5">
        <f t="shared" si="14"/>
        <v>0</v>
      </c>
      <c r="L122">
        <f t="shared" si="15"/>
        <v>85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-9.8025698836203272</v>
      </c>
      <c r="F123" s="1">
        <f t="shared" si="21"/>
        <v>-11.804602692819387</v>
      </c>
      <c r="G123" s="1">
        <f t="shared" si="18"/>
        <v>7.4700961096394777E-6</v>
      </c>
      <c r="H123" s="1">
        <f t="shared" si="11"/>
        <v>7.3324433420037794E-7</v>
      </c>
      <c r="I123">
        <f t="shared" si="12"/>
        <v>60</v>
      </c>
      <c r="J123">
        <f t="shared" si="13"/>
        <v>36</v>
      </c>
      <c r="K123" s="5">
        <f t="shared" si="14"/>
        <v>0</v>
      </c>
      <c r="L123">
        <f t="shared" si="15"/>
        <v>85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-9.9242668185978467</v>
      </c>
      <c r="F124" s="1">
        <f t="shared" si="21"/>
        <v>-11.926299627796904</v>
      </c>
      <c r="G124" s="1">
        <f t="shared" si="18"/>
        <v>6.614147597076635E-6</v>
      </c>
      <c r="H124" s="1">
        <f t="shared" si="11"/>
        <v>6.4922675423991936E-7</v>
      </c>
      <c r="I124">
        <f t="shared" si="12"/>
        <v>60</v>
      </c>
      <c r="J124">
        <f t="shared" si="13"/>
        <v>37</v>
      </c>
      <c r="K124" s="5">
        <f t="shared" si="14"/>
        <v>0</v>
      </c>
      <c r="L124">
        <f t="shared" si="15"/>
        <v>85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-10.045963753575366</v>
      </c>
      <c r="F125" s="1">
        <f t="shared" si="21"/>
        <v>-12.047996562774426</v>
      </c>
      <c r="G125" s="1">
        <f t="shared" si="18"/>
        <v>5.8562765182449288E-6</v>
      </c>
      <c r="H125" s="1">
        <f t="shared" si="11"/>
        <v>5.7483618864992771E-7</v>
      </c>
      <c r="I125">
        <f t="shared" si="12"/>
        <v>60</v>
      </c>
      <c r="J125">
        <f t="shared" si="13"/>
        <v>38</v>
      </c>
      <c r="K125" s="5">
        <f t="shared" si="14"/>
        <v>0</v>
      </c>
      <c r="L125">
        <f t="shared" si="15"/>
        <v>85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-10.167660688552886</v>
      </c>
      <c r="F126" s="1">
        <f t="shared" si="21"/>
        <v>-12.169693497751943</v>
      </c>
      <c r="G126" s="1">
        <f t="shared" si="18"/>
        <v>5.1852448338627084E-6</v>
      </c>
      <c r="H126" s="1">
        <f t="shared" si="11"/>
        <v>5.0896954203379128E-7</v>
      </c>
      <c r="I126">
        <f t="shared" si="12"/>
        <v>60</v>
      </c>
      <c r="J126">
        <f t="shared" si="13"/>
        <v>39</v>
      </c>
      <c r="K126" s="5">
        <f t="shared" si="14"/>
        <v>0</v>
      </c>
      <c r="L126">
        <f t="shared" si="15"/>
        <v>85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-10.289357623530405</v>
      </c>
      <c r="F127" s="1">
        <f t="shared" si="21"/>
        <v>-12.291390432729465</v>
      </c>
      <c r="G127" s="1">
        <f t="shared" si="18"/>
        <v>4.5911021966492667E-6</v>
      </c>
      <c r="H127" s="1">
        <f t="shared" si="11"/>
        <v>4.5065011534241876E-7</v>
      </c>
      <c r="I127">
        <f t="shared" si="12"/>
        <v>60</v>
      </c>
      <c r="J127">
        <f t="shared" si="13"/>
        <v>40</v>
      </c>
      <c r="K127" s="5">
        <f t="shared" si="14"/>
        <v>0</v>
      </c>
      <c r="L127">
        <f t="shared" si="15"/>
        <v>85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-10.411054558507924</v>
      </c>
      <c r="F128" s="1">
        <f t="shared" si="21"/>
        <v>-12.413087367706982</v>
      </c>
      <c r="G128" s="1">
        <f t="shared" si="18"/>
        <v>4.0650384032832136E-6</v>
      </c>
      <c r="H128" s="1">
        <f t="shared" si="11"/>
        <v>3.9901312295943413E-7</v>
      </c>
      <c r="I128">
        <f t="shared" si="12"/>
        <v>60</v>
      </c>
      <c r="J128">
        <f t="shared" si="13"/>
        <v>41</v>
      </c>
      <c r="K128" s="5">
        <f t="shared" si="14"/>
        <v>0</v>
      </c>
      <c r="L128">
        <f t="shared" si="15"/>
        <v>85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-10.532751493485444</v>
      </c>
      <c r="F129" s="1">
        <f t="shared" si="21"/>
        <v>-12.534784302684503</v>
      </c>
      <c r="G129" s="1">
        <f t="shared" si="18"/>
        <v>3.5992527529070068E-6</v>
      </c>
      <c r="H129" s="1">
        <f t="shared" si="11"/>
        <v>3.5329286928699841E-7</v>
      </c>
      <c r="I129">
        <f t="shared" si="12"/>
        <v>60</v>
      </c>
      <c r="J129">
        <f t="shared" si="13"/>
        <v>42</v>
      </c>
      <c r="K129" s="5">
        <f t="shared" si="14"/>
        <v>0</v>
      </c>
      <c r="L129">
        <f t="shared" si="15"/>
        <v>85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-10.654448428462963</v>
      </c>
      <c r="F130" s="1">
        <f t="shared" si="21"/>
        <v>-12.656481237662021</v>
      </c>
      <c r="G130" s="1">
        <f t="shared" si="18"/>
        <v>3.1868383749697521E-6</v>
      </c>
      <c r="H130" s="1">
        <f t="shared" si="11"/>
        <v>3.1281139468119717E-7</v>
      </c>
      <c r="I130">
        <f t="shared" si="12"/>
        <v>60</v>
      </c>
      <c r="J130">
        <f t="shared" si="13"/>
        <v>43</v>
      </c>
      <c r="K130" s="5">
        <f t="shared" si="14"/>
        <v>0</v>
      </c>
      <c r="L130">
        <f t="shared" si="15"/>
        <v>85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-10.776145363440483</v>
      </c>
      <c r="F131" s="1">
        <f t="shared" si="21"/>
        <v>-12.778178172639542</v>
      </c>
      <c r="G131" s="1">
        <f t="shared" si="18"/>
        <v>2.8216798111711309E-6</v>
      </c>
      <c r="H131" s="1">
        <f t="shared" si="11"/>
        <v>2.7696842237397629E-7</v>
      </c>
      <c r="I131">
        <f t="shared" si="12"/>
        <v>60</v>
      </c>
      <c r="J131">
        <f t="shared" si="13"/>
        <v>44</v>
      </c>
      <c r="K131" s="5">
        <f t="shared" si="14"/>
        <v>0</v>
      </c>
      <c r="L131">
        <f t="shared" si="15"/>
        <v>85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-10.897842298418002</v>
      </c>
      <c r="F132" s="1">
        <f t="shared" si="21"/>
        <v>-12.89987510761706</v>
      </c>
      <c r="G132" s="1">
        <f t="shared" si="18"/>
        <v>2.4983623328077774E-6</v>
      </c>
      <c r="H132" s="1">
        <f t="shared" si="11"/>
        <v>2.4523245731029204E-7</v>
      </c>
      <c r="I132">
        <f t="shared" si="12"/>
        <v>60</v>
      </c>
      <c r="J132">
        <f t="shared" si="13"/>
        <v>45</v>
      </c>
      <c r="K132" s="5">
        <f t="shared" si="14"/>
        <v>0</v>
      </c>
      <c r="L132">
        <f t="shared" si="15"/>
        <v>85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-11.019539233395522</v>
      </c>
      <c r="F133" s="1">
        <f t="shared" si="21"/>
        <v>-13.021572042594581</v>
      </c>
      <c r="G133" s="1">
        <f t="shared" si="18"/>
        <v>2.2120916488402162E-6</v>
      </c>
      <c r="H133" s="1">
        <f t="shared" si="11"/>
        <v>2.1713290491015407E-7</v>
      </c>
      <c r="I133">
        <f t="shared" si="12"/>
        <v>60</v>
      </c>
      <c r="J133">
        <f t="shared" si="13"/>
        <v>46</v>
      </c>
      <c r="K133" s="5">
        <f t="shared" si="14"/>
        <v>0</v>
      </c>
      <c r="L133">
        <f t="shared" si="15"/>
        <v>85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-11.141236168373041</v>
      </c>
      <c r="F134" s="1">
        <f t="shared" si="21"/>
        <v>-13.143268977572099</v>
      </c>
      <c r="G134" s="1">
        <f t="shared" si="18"/>
        <v>1.9586228140772792E-6</v>
      </c>
      <c r="H134" s="1">
        <f t="shared" si="11"/>
        <v>1.9225309288919934E-7</v>
      </c>
      <c r="I134">
        <f t="shared" si="12"/>
        <v>60</v>
      </c>
      <c r="J134">
        <f t="shared" si="13"/>
        <v>47</v>
      </c>
      <c r="K134" s="5">
        <f t="shared" si="14"/>
        <v>0</v>
      </c>
      <c r="L134">
        <f t="shared" si="15"/>
        <v>85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-11.26293310335056</v>
      </c>
      <c r="F135" s="1">
        <f t="shared" si="21"/>
        <v>-13.26496591254962</v>
      </c>
      <c r="G135" s="1">
        <f t="shared" si="18"/>
        <v>1.7341972832975883E-6</v>
      </c>
      <c r="H135" s="1">
        <f t="shared" si="11"/>
        <v>1.7022409266231168E-7</v>
      </c>
      <c r="I135">
        <f t="shared" si="12"/>
        <v>60</v>
      </c>
      <c r="J135">
        <f t="shared" si="13"/>
        <v>48</v>
      </c>
      <c r="K135" s="5">
        <f t="shared" si="14"/>
        <v>0</v>
      </c>
      <c r="L135">
        <f t="shared" si="15"/>
        <v>85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-11.38463003832808</v>
      </c>
      <c r="F136" s="1">
        <f t="shared" si="21"/>
        <v>-13.386662847527138</v>
      </c>
      <c r="G136" s="1">
        <f t="shared" si="18"/>
        <v>1.535487177919743E-6</v>
      </c>
      <c r="H136" s="1">
        <f t="shared" si="11"/>
        <v>1.5071924871142211E-7</v>
      </c>
      <c r="I136">
        <f t="shared" si="12"/>
        <v>60</v>
      </c>
      <c r="J136">
        <f t="shared" si="13"/>
        <v>49</v>
      </c>
      <c r="K136" s="5">
        <f t="shared" si="14"/>
        <v>0</v>
      </c>
      <c r="L136">
        <f t="shared" si="15"/>
        <v>85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-11.506326973305599</v>
      </c>
      <c r="F137" s="1">
        <f t="shared" si="21"/>
        <v>-13.508359782504659</v>
      </c>
      <c r="G137" s="1">
        <f t="shared" si="18"/>
        <v>1.3595459387831038E-6</v>
      </c>
      <c r="H137" s="1">
        <f t="shared" si="11"/>
        <v>1.3344933479657148E-7</v>
      </c>
      <c r="I137">
        <f t="shared" si="12"/>
        <v>60</v>
      </c>
      <c r="J137">
        <f t="shared" si="13"/>
        <v>50</v>
      </c>
      <c r="K137" s="5">
        <f t="shared" si="14"/>
        <v>0</v>
      </c>
      <c r="L137">
        <f t="shared" si="15"/>
        <v>85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-11.628023908283119</v>
      </c>
      <c r="F138" s="1">
        <f t="shared" si="21"/>
        <v>-13.630056717482177</v>
      </c>
      <c r="G138" s="1">
        <f t="shared" si="18"/>
        <v>1.2037646332975425E-6</v>
      </c>
      <c r="H138" s="1">
        <f t="shared" si="11"/>
        <v>1.1815826518446459E-7</v>
      </c>
      <c r="I138">
        <f t="shared" si="12"/>
        <v>60</v>
      </c>
      <c r="J138">
        <f t="shared" si="13"/>
        <v>51</v>
      </c>
      <c r="K138" s="5">
        <f t="shared" si="14"/>
        <v>0</v>
      </c>
      <c r="L138">
        <f t="shared" si="15"/>
        <v>85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-11.749720843260638</v>
      </c>
      <c r="F139" s="1">
        <f t="shared" si="21"/>
        <v>-13.751753652459698</v>
      </c>
      <c r="G139" s="1">
        <f t="shared" si="18"/>
        <v>1.0658332690655308E-6</v>
      </c>
      <c r="H139" s="1">
        <f t="shared" si="11"/>
        <v>1.0461929729874452E-7</v>
      </c>
      <c r="I139">
        <f t="shared" si="12"/>
        <v>60</v>
      </c>
      <c r="J139">
        <f t="shared" si="13"/>
        <v>52</v>
      </c>
      <c r="K139" s="5">
        <f t="shared" si="14"/>
        <v>0</v>
      </c>
      <c r="L139">
        <f t="shared" si="15"/>
        <v>85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-11.871417778238158</v>
      </c>
      <c r="F140" s="1">
        <f t="shared" si="21"/>
        <v>-13.873450587437215</v>
      </c>
      <c r="G140" s="1">
        <f t="shared" si="18"/>
        <v>9.4370654031844073E-7</v>
      </c>
      <c r="H140" s="1">
        <f t="shared" si="11"/>
        <v>9.2631669483263579E-8</v>
      </c>
      <c r="I140">
        <f t="shared" si="12"/>
        <v>60</v>
      </c>
      <c r="J140">
        <f t="shared" si="13"/>
        <v>53</v>
      </c>
      <c r="K140" s="5">
        <f t="shared" si="14"/>
        <v>0</v>
      </c>
      <c r="L140">
        <f t="shared" si="15"/>
        <v>85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-11.993114713215677</v>
      </c>
      <c r="F141" s="1">
        <f t="shared" si="21"/>
        <v>-13.995147522414737</v>
      </c>
      <c r="G141" s="1">
        <f t="shared" si="18"/>
        <v>8.3557349924028493E-7</v>
      </c>
      <c r="H141" s="1">
        <f t="shared" si="11"/>
        <v>8.2017624021639508E-8</v>
      </c>
      <c r="I141">
        <f t="shared" si="12"/>
        <v>60</v>
      </c>
      <c r="J141">
        <f t="shared" si="13"/>
        <v>54</v>
      </c>
      <c r="K141" s="5">
        <f t="shared" si="14"/>
        <v>0</v>
      </c>
      <c r="L141">
        <f t="shared" si="15"/>
        <v>85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-12.114811648193196</v>
      </c>
      <c r="F142" s="1">
        <f t="shared" si="21"/>
        <v>-14.116844457392254</v>
      </c>
      <c r="G142" s="1">
        <f t="shared" si="18"/>
        <v>7.3983070245233717E-7</v>
      </c>
      <c r="H142" s="1">
        <f t="shared" si="11"/>
        <v>7.2619771269160139E-8</v>
      </c>
      <c r="I142">
        <f t="shared" si="12"/>
        <v>60</v>
      </c>
      <c r="J142">
        <f t="shared" si="13"/>
        <v>55</v>
      </c>
      <c r="K142" s="5">
        <f t="shared" si="14"/>
        <v>0</v>
      </c>
      <c r="L142">
        <f t="shared" si="15"/>
        <v>85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-12.236508583170716</v>
      </c>
      <c r="F143" s="1">
        <f t="shared" si="21"/>
        <v>-14.238541392369775</v>
      </c>
      <c r="G143" s="1">
        <f t="shared" si="18"/>
        <v>6.5505843446300597E-7</v>
      </c>
      <c r="H143" s="1">
        <f t="shared" si="11"/>
        <v>6.4298755811235452E-8</v>
      </c>
      <c r="I143">
        <f t="shared" si="12"/>
        <v>60</v>
      </c>
      <c r="J143">
        <f t="shared" si="13"/>
        <v>56</v>
      </c>
      <c r="K143" s="5">
        <f t="shared" si="14"/>
        <v>0</v>
      </c>
      <c r="L143">
        <f t="shared" si="15"/>
        <v>85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-12.358205518148235</v>
      </c>
      <c r="F144" s="1">
        <f t="shared" si="21"/>
        <v>-14.360238327347293</v>
      </c>
      <c r="G144" s="1">
        <f t="shared" si="18"/>
        <v>5.7999965551412102E-7</v>
      </c>
      <c r="H144" s="1">
        <f t="shared" si="11"/>
        <v>5.693119004119817E-8</v>
      </c>
      <c r="I144">
        <f t="shared" si="12"/>
        <v>60</v>
      </c>
      <c r="J144">
        <f t="shared" si="13"/>
        <v>57</v>
      </c>
      <c r="K144" s="5">
        <f t="shared" si="14"/>
        <v>0</v>
      </c>
      <c r="L144">
        <f t="shared" si="15"/>
        <v>85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-12.479902453125755</v>
      </c>
      <c r="F145" s="1">
        <f t="shared" si="21"/>
        <v>-14.481935262324814</v>
      </c>
      <c r="G145" s="1">
        <f t="shared" si="18"/>
        <v>5.1354136165312725E-7</v>
      </c>
      <c r="H145" s="1">
        <f t="shared" si="11"/>
        <v>5.0407824515644138E-8</v>
      </c>
      <c r="I145">
        <f t="shared" si="12"/>
        <v>60</v>
      </c>
      <c r="J145">
        <f t="shared" si="13"/>
        <v>58</v>
      </c>
      <c r="K145" s="5">
        <f t="shared" si="14"/>
        <v>0</v>
      </c>
      <c r="L145">
        <f t="shared" si="15"/>
        <v>85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-12.601599388103274</v>
      </c>
      <c r="F146" s="1">
        <f t="shared" si="21"/>
        <v>-14.603632197302332</v>
      </c>
      <c r="G146" s="1">
        <f t="shared" si="18"/>
        <v>4.5469808063037408E-7</v>
      </c>
      <c r="H146" s="1">
        <f t="shared" si="11"/>
        <v>4.463192795656001E-8</v>
      </c>
      <c r="I146">
        <f t="shared" si="12"/>
        <v>60</v>
      </c>
      <c r="J146">
        <f t="shared" si="13"/>
        <v>59</v>
      </c>
      <c r="K146" s="5">
        <f t="shared" si="14"/>
        <v>0</v>
      </c>
      <c r="L146">
        <f t="shared" si="15"/>
        <v>85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-12.723296323080794</v>
      </c>
      <c r="F147" s="1">
        <f t="shared" si="21"/>
        <v>-14.725329132279853</v>
      </c>
      <c r="G147" s="1">
        <f t="shared" si="18"/>
        <v>4.0259725889147647E-7</v>
      </c>
      <c r="H147" s="1">
        <f t="shared" si="11"/>
        <v>3.951785287820412E-8</v>
      </c>
      <c r="I147">
        <f t="shared" si="12"/>
        <v>60</v>
      </c>
      <c r="J147">
        <f t="shared" si="13"/>
        <v>60</v>
      </c>
      <c r="K147" s="5">
        <f t="shared" si="14"/>
        <v>0</v>
      </c>
      <c r="L147">
        <f t="shared" si="15"/>
        <v>85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-12.844993258058313</v>
      </c>
      <c r="F148" s="1">
        <f t="shared" si="21"/>
        <v>-14.847026067257371</v>
      </c>
      <c r="G148" s="1">
        <f t="shared" si="18"/>
        <v>3.564663229768289E-7</v>
      </c>
      <c r="H148" s="1">
        <f t="shared" si="11"/>
        <v>3.498976556924331E-8</v>
      </c>
      <c r="I148">
        <f t="shared" si="12"/>
        <v>60</v>
      </c>
      <c r="J148">
        <f t="shared" si="13"/>
        <v>61</v>
      </c>
      <c r="K148" s="5">
        <f t="shared" si="14"/>
        <v>0</v>
      </c>
      <c r="L148">
        <f t="shared" si="15"/>
        <v>85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-12.966690193035832</v>
      </c>
      <c r="F149" s="1">
        <f t="shared" si="21"/>
        <v>-14.968723002234892</v>
      </c>
      <c r="G149" s="1">
        <f t="shared" si="18"/>
        <v>3.1562122346906679E-7</v>
      </c>
      <c r="H149" s="1">
        <f t="shared" si="11"/>
        <v>3.0980521597767464E-8</v>
      </c>
      <c r="I149">
        <f t="shared" si="12"/>
        <v>60</v>
      </c>
      <c r="J149">
        <f t="shared" si="13"/>
        <v>62</v>
      </c>
      <c r="K149" s="5">
        <f t="shared" si="14"/>
        <v>0</v>
      </c>
      <c r="L149">
        <f t="shared" si="15"/>
        <v>85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-13.088387128013352</v>
      </c>
      <c r="F150" s="1">
        <f t="shared" si="21"/>
        <v>-15.09041993721241</v>
      </c>
      <c r="G150" s="1">
        <f t="shared" si="18"/>
        <v>2.794562916132368E-7</v>
      </c>
      <c r="H150" s="1">
        <f t="shared" si="11"/>
        <v>2.7430670164690002E-8</v>
      </c>
      <c r="I150">
        <f t="shared" si="12"/>
        <v>60</v>
      </c>
      <c r="J150">
        <f t="shared" si="13"/>
        <v>63</v>
      </c>
      <c r="K150" s="5">
        <f t="shared" si="14"/>
        <v>0</v>
      </c>
      <c r="L150">
        <f t="shared" si="15"/>
        <v>85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-13.210084062990871</v>
      </c>
      <c r="F151" s="1">
        <f t="shared" si="21"/>
        <v>-15.212116872189931</v>
      </c>
      <c r="G151" s="1">
        <f t="shared" si="18"/>
        <v>2.4743525819921977E-7</v>
      </c>
      <c r="H151" s="1">
        <f t="shared" ref="H151:H214" si="22">G151/$G$21</f>
        <v>2.4287572541652574E-8</v>
      </c>
      <c r="I151">
        <f t="shared" ref="I151:I214" si="23">IF($F$11&lt;=D151, IF(D151&lt;=$A$15,D151-$F$11,$C$11),0)</f>
        <v>60</v>
      </c>
      <c r="J151">
        <f t="shared" ref="J151:J214" si="24">IF(D151&lt;=$A$15,0,D151-$A$15)</f>
        <v>64</v>
      </c>
      <c r="K151" s="5">
        <f t="shared" ref="K151:K214" si="25">IF(D151&lt;$F$11,H151,0)</f>
        <v>0</v>
      </c>
      <c r="L151">
        <f t="shared" ref="L151:L214" si="26">IF(D151&lt;$A$15,$D$11,$D$11*(1-$H$11))</f>
        <v>85</v>
      </c>
      <c r="M151">
        <f t="shared" ref="M151:M214" si="27">IF(D151&lt;$A$15,0,1)</f>
        <v>1</v>
      </c>
      <c r="N151">
        <f t="shared" ref="N151:N214" si="28">IF(SUM(I151:J151)&lt;=($G$11/60*$F$11/($E$11/60)),1,0)</f>
        <v>0</v>
      </c>
    </row>
    <row r="152" spans="4:14" x14ac:dyDescent="0.2">
      <c r="D152">
        <f t="shared" si="19"/>
        <v>129</v>
      </c>
      <c r="E152" s="1">
        <f t="shared" si="20"/>
        <v>-13.331780997968391</v>
      </c>
      <c r="F152" s="1">
        <f t="shared" si="21"/>
        <v>-15.333813807167449</v>
      </c>
      <c r="G152" s="1">
        <f t="shared" ref="G152:G215" si="29">EXP(F152)</f>
        <v>2.1908330153055961E-7</v>
      </c>
      <c r="H152" s="1">
        <f t="shared" si="22"/>
        <v>2.1504621521254928E-8</v>
      </c>
      <c r="I152">
        <f t="shared" si="23"/>
        <v>60</v>
      </c>
      <c r="J152">
        <f t="shared" si="24"/>
        <v>65</v>
      </c>
      <c r="K152" s="5">
        <f t="shared" si="25"/>
        <v>0</v>
      </c>
      <c r="L152">
        <f t="shared" si="26"/>
        <v>85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IF($H$11=1,IF(D153&lt;=$A$15, E152+LN($D$11)-LN(60/$E$11)-LN(MIN(D153,$F$11)), E152-LN(60/$E$11)-LN(MIN(D153,$F$11))), IF(D153&lt;=$A$15, E152+LN($D$11)-LN(60/$E$11)-LN(MIN(D153,$F$11)), E152+LN($D$11)+LN(1-$H$11)-LN(60/$E$11)-LN(MIN(D153,$F$11))))</f>
        <v>-13.45347793294591</v>
      </c>
      <c r="F153" s="1">
        <f t="shared" ref="F153:F216" si="32">E153-$E$21</f>
        <v>-15.45551074214497</v>
      </c>
      <c r="G153" s="1">
        <f t="shared" si="29"/>
        <v>1.9398000656351605E-7</v>
      </c>
      <c r="H153" s="1">
        <f t="shared" si="22"/>
        <v>1.9040550305277775E-8</v>
      </c>
      <c r="I153">
        <f t="shared" si="23"/>
        <v>60</v>
      </c>
      <c r="J153">
        <f t="shared" si="24"/>
        <v>66</v>
      </c>
      <c r="K153" s="5">
        <f t="shared" si="25"/>
        <v>0</v>
      </c>
      <c r="L153">
        <f t="shared" si="26"/>
        <v>85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-13.57517486792343</v>
      </c>
      <c r="F154" s="1">
        <f t="shared" si="32"/>
        <v>-15.577207677122487</v>
      </c>
      <c r="G154" s="1">
        <f t="shared" si="29"/>
        <v>1.7175313081144688E-7</v>
      </c>
      <c r="H154" s="1">
        <f t="shared" si="22"/>
        <v>1.6858820582798066E-8</v>
      </c>
      <c r="I154">
        <f t="shared" si="23"/>
        <v>60</v>
      </c>
      <c r="J154">
        <f t="shared" si="24"/>
        <v>67</v>
      </c>
      <c r="K154" s="5">
        <f t="shared" si="25"/>
        <v>0</v>
      </c>
      <c r="L154">
        <f t="shared" si="26"/>
        <v>85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-13.696871802900949</v>
      </c>
      <c r="F155" s="1">
        <f t="shared" si="32"/>
        <v>-15.698904612100009</v>
      </c>
      <c r="G155" s="1">
        <f t="shared" si="29"/>
        <v>1.5207308457263504E-7</v>
      </c>
      <c r="H155" s="1">
        <f t="shared" si="22"/>
        <v>1.4927080724352432E-8</v>
      </c>
      <c r="I155">
        <f t="shared" si="23"/>
        <v>60</v>
      </c>
      <c r="J155">
        <f t="shared" si="24"/>
        <v>68</v>
      </c>
      <c r="K155" s="5">
        <f t="shared" si="25"/>
        <v>0</v>
      </c>
      <c r="L155">
        <f t="shared" si="26"/>
        <v>85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-13.818568737878469</v>
      </c>
      <c r="F156" s="1">
        <f t="shared" si="32"/>
        <v>-15.820601547077526</v>
      </c>
      <c r="G156" s="1">
        <f t="shared" si="29"/>
        <v>1.3464804363202089E-7</v>
      </c>
      <c r="H156" s="1">
        <f t="shared" si="22"/>
        <v>1.321668605802041E-8</v>
      </c>
      <c r="I156">
        <f t="shared" si="23"/>
        <v>60</v>
      </c>
      <c r="J156">
        <f t="shared" si="24"/>
        <v>69</v>
      </c>
      <c r="K156" s="5">
        <f t="shared" si="25"/>
        <v>0</v>
      </c>
      <c r="L156">
        <f t="shared" si="26"/>
        <v>85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-13.940265672855988</v>
      </c>
      <c r="F157" s="1">
        <f t="shared" si="32"/>
        <v>-15.942298482055048</v>
      </c>
      <c r="G157" s="1">
        <f t="shared" si="29"/>
        <v>1.1921962196585166E-7</v>
      </c>
      <c r="H157" s="1">
        <f t="shared" si="22"/>
        <v>1.1702274113872222E-8</v>
      </c>
      <c r="I157">
        <f t="shared" si="23"/>
        <v>60</v>
      </c>
      <c r="J157">
        <f t="shared" si="24"/>
        <v>70</v>
      </c>
      <c r="K157" s="5">
        <f t="shared" si="25"/>
        <v>0</v>
      </c>
      <c r="L157">
        <f t="shared" si="26"/>
        <v>85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-14.061962607833507</v>
      </c>
      <c r="F158" s="1">
        <f t="shared" si="32"/>
        <v>-16.063995417032565</v>
      </c>
      <c r="G158" s="1">
        <f t="shared" si="29"/>
        <v>1.0555904028226472E-7</v>
      </c>
      <c r="H158" s="1">
        <f t="shared" si="22"/>
        <v>1.0361388538324385E-8</v>
      </c>
      <c r="I158">
        <f t="shared" si="23"/>
        <v>60</v>
      </c>
      <c r="J158">
        <f t="shared" si="24"/>
        <v>71</v>
      </c>
      <c r="K158" s="5">
        <f t="shared" si="25"/>
        <v>0</v>
      </c>
      <c r="L158">
        <f t="shared" si="26"/>
        <v>85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-14.183659542811027</v>
      </c>
      <c r="F159" s="1">
        <f t="shared" si="32"/>
        <v>-16.185692352010086</v>
      </c>
      <c r="G159" s="1">
        <f t="shared" si="29"/>
        <v>9.3463733583255089E-8</v>
      </c>
      <c r="H159" s="1">
        <f t="shared" si="22"/>
        <v>9.1741461016413697E-9</v>
      </c>
      <c r="I159">
        <f t="shared" si="23"/>
        <v>60</v>
      </c>
      <c r="J159">
        <f t="shared" si="24"/>
        <v>72</v>
      </c>
      <c r="K159" s="5">
        <f t="shared" si="25"/>
        <v>0</v>
      </c>
      <c r="L159">
        <f t="shared" si="26"/>
        <v>85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-14.305356477788546</v>
      </c>
      <c r="F160" s="1">
        <f t="shared" si="32"/>
        <v>-16.307389286987604</v>
      </c>
      <c r="G160" s="1">
        <f t="shared" si="29"/>
        <v>8.2754347443507274E-8</v>
      </c>
      <c r="H160" s="1">
        <f t="shared" si="22"/>
        <v>8.1229418608283119E-9</v>
      </c>
      <c r="I160">
        <f t="shared" si="23"/>
        <v>60</v>
      </c>
      <c r="J160">
        <f t="shared" si="24"/>
        <v>73</v>
      </c>
      <c r="K160" s="5">
        <f t="shared" si="25"/>
        <v>0</v>
      </c>
      <c r="L160">
        <f t="shared" si="26"/>
        <v>85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-14.427053412766066</v>
      </c>
      <c r="F161" s="1">
        <f t="shared" si="32"/>
        <v>-16.429086221965125</v>
      </c>
      <c r="G161" s="1">
        <f t="shared" si="29"/>
        <v>7.3272078465605304E-8</v>
      </c>
      <c r="H161" s="1">
        <f t="shared" si="22"/>
        <v>7.1921881059417256E-9</v>
      </c>
      <c r="I161">
        <f t="shared" si="23"/>
        <v>60</v>
      </c>
      <c r="J161">
        <f t="shared" si="24"/>
        <v>74</v>
      </c>
      <c r="K161" s="5">
        <f t="shared" si="25"/>
        <v>0</v>
      </c>
      <c r="L161">
        <f t="shared" si="26"/>
        <v>85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-14.548750347743585</v>
      </c>
      <c r="F162" s="1">
        <f t="shared" si="32"/>
        <v>-16.550783156942643</v>
      </c>
      <c r="G162" s="1">
        <f t="shared" si="29"/>
        <v>6.4876319474754831E-8</v>
      </c>
      <c r="H162" s="1">
        <f t="shared" si="22"/>
        <v>6.3680832188025825E-9</v>
      </c>
      <c r="I162">
        <f t="shared" si="23"/>
        <v>60</v>
      </c>
      <c r="J162">
        <f t="shared" si="24"/>
        <v>75</v>
      </c>
      <c r="K162" s="5">
        <f t="shared" si="25"/>
        <v>0</v>
      </c>
      <c r="L162">
        <f t="shared" si="26"/>
        <v>85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-14.670447282721105</v>
      </c>
      <c r="F163" s="1">
        <f t="shared" si="32"/>
        <v>-16.672480091920164</v>
      </c>
      <c r="G163" s="1">
        <f t="shared" si="29"/>
        <v>5.7442574534939089E-8</v>
      </c>
      <c r="H163" s="1">
        <f t="shared" si="22"/>
        <v>5.6384070166481121E-9</v>
      </c>
      <c r="I163">
        <f t="shared" si="23"/>
        <v>60</v>
      </c>
      <c r="J163">
        <f t="shared" si="24"/>
        <v>76</v>
      </c>
      <c r="K163" s="5">
        <f t="shared" si="25"/>
        <v>0</v>
      </c>
      <c r="L163">
        <f t="shared" si="26"/>
        <v>85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-14.792144217698624</v>
      </c>
      <c r="F164" s="1">
        <f t="shared" si="32"/>
        <v>-16.794177026897682</v>
      </c>
      <c r="G164" s="1">
        <f t="shared" si="29"/>
        <v>5.0860612869477431E-8</v>
      </c>
      <c r="H164" s="1">
        <f t="shared" si="22"/>
        <v>4.9923395459905265E-9</v>
      </c>
      <c r="I164">
        <f t="shared" si="23"/>
        <v>60</v>
      </c>
      <c r="J164">
        <f t="shared" si="24"/>
        <v>77</v>
      </c>
      <c r="K164" s="5">
        <f t="shared" si="25"/>
        <v>0</v>
      </c>
      <c r="L164">
        <f t="shared" si="26"/>
        <v>85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-14.913841152676143</v>
      </c>
      <c r="F165" s="1">
        <f t="shared" si="32"/>
        <v>-16.915873961875203</v>
      </c>
      <c r="G165" s="1">
        <f t="shared" si="29"/>
        <v>4.5032834311516408E-8</v>
      </c>
      <c r="H165" s="1">
        <f t="shared" si="22"/>
        <v>4.4203006396791061E-9</v>
      </c>
      <c r="I165">
        <f t="shared" si="23"/>
        <v>60</v>
      </c>
      <c r="J165">
        <f t="shared" si="24"/>
        <v>78</v>
      </c>
      <c r="K165" s="5">
        <f t="shared" si="25"/>
        <v>0</v>
      </c>
      <c r="L165">
        <f t="shared" si="26"/>
        <v>85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-15.035538087653663</v>
      </c>
      <c r="F166" s="1">
        <f t="shared" si="32"/>
        <v>-17.037570896852721</v>
      </c>
      <c r="G166" s="1">
        <f t="shared" si="29"/>
        <v>3.9872822046655242E-8</v>
      </c>
      <c r="H166" s="1">
        <f t="shared" si="22"/>
        <v>3.9138078580492171E-9</v>
      </c>
      <c r="I166">
        <f t="shared" si="23"/>
        <v>60</v>
      </c>
      <c r="J166">
        <f t="shared" si="24"/>
        <v>79</v>
      </c>
      <c r="K166" s="5">
        <f t="shared" si="25"/>
        <v>0</v>
      </c>
      <c r="L166">
        <f t="shared" si="26"/>
        <v>85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-15.157235022631182</v>
      </c>
      <c r="F167" s="1">
        <f t="shared" si="32"/>
        <v>-17.159267831830242</v>
      </c>
      <c r="G167" s="1">
        <f t="shared" si="29"/>
        <v>3.5304061187142612E-8</v>
      </c>
      <c r="H167" s="1">
        <f t="shared" si="22"/>
        <v>3.4653507076477393E-9</v>
      </c>
      <c r="I167">
        <f t="shared" si="23"/>
        <v>60</v>
      </c>
      <c r="J167">
        <f t="shared" si="24"/>
        <v>80</v>
      </c>
      <c r="K167" s="5">
        <f t="shared" si="25"/>
        <v>0</v>
      </c>
      <c r="L167">
        <f t="shared" si="26"/>
        <v>85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-15.278931957608702</v>
      </c>
      <c r="F168" s="1">
        <f t="shared" si="32"/>
        <v>-17.28096476680776</v>
      </c>
      <c r="G168" s="1">
        <f t="shared" si="29"/>
        <v>3.1258804176115917E-8</v>
      </c>
      <c r="H168" s="1">
        <f t="shared" si="22"/>
        <v>3.0682792723964418E-9</v>
      </c>
      <c r="I168">
        <f t="shared" si="23"/>
        <v>60</v>
      </c>
      <c r="J168">
        <f t="shared" si="24"/>
        <v>81</v>
      </c>
      <c r="K168" s="5">
        <f t="shared" si="25"/>
        <v>0</v>
      </c>
      <c r="L168">
        <f t="shared" si="26"/>
        <v>85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-15.400628892586221</v>
      </c>
      <c r="F169" s="1">
        <f t="shared" si="32"/>
        <v>-17.402661701785281</v>
      </c>
      <c r="G169" s="1">
        <f t="shared" si="29"/>
        <v>2.7677066197602597E-8</v>
      </c>
      <c r="H169" s="1">
        <f t="shared" si="22"/>
        <v>2.7167056057676794E-9</v>
      </c>
      <c r="I169">
        <f t="shared" si="23"/>
        <v>60</v>
      </c>
      <c r="J169">
        <f t="shared" si="24"/>
        <v>82</v>
      </c>
      <c r="K169" s="5">
        <f t="shared" si="25"/>
        <v>0</v>
      </c>
      <c r="L169">
        <f t="shared" si="26"/>
        <v>85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-15.522325827563741</v>
      </c>
      <c r="F170" s="1">
        <f t="shared" si="32"/>
        <v>-17.524358636762798</v>
      </c>
      <c r="G170" s="1">
        <f t="shared" si="29"/>
        <v>2.4505735695794016E-8</v>
      </c>
      <c r="H170" s="1">
        <f t="shared" si="22"/>
        <v>2.405416421773471E-9</v>
      </c>
      <c r="I170">
        <f t="shared" si="23"/>
        <v>60</v>
      </c>
      <c r="J170">
        <f t="shared" si="24"/>
        <v>83</v>
      </c>
      <c r="K170" s="5">
        <f t="shared" si="25"/>
        <v>0</v>
      </c>
      <c r="L170">
        <f t="shared" si="26"/>
        <v>85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-15.64402276254126</v>
      </c>
      <c r="F171" s="1">
        <f t="shared" si="32"/>
        <v>-17.64605557174032</v>
      </c>
      <c r="G171" s="1">
        <f t="shared" si="29"/>
        <v>2.1697786813984254E-8</v>
      </c>
      <c r="H171" s="1">
        <f t="shared" si="22"/>
        <v>2.1297957901119245E-9</v>
      </c>
      <c r="I171">
        <f t="shared" si="23"/>
        <v>60</v>
      </c>
      <c r="J171">
        <f t="shared" si="24"/>
        <v>84</v>
      </c>
      <c r="K171" s="5">
        <f t="shared" si="25"/>
        <v>0</v>
      </c>
      <c r="L171">
        <f t="shared" si="26"/>
        <v>85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-15.765719697518779</v>
      </c>
      <c r="F172" s="1">
        <f t="shared" si="32"/>
        <v>-17.767752506717837</v>
      </c>
      <c r="G172" s="1">
        <f t="shared" si="29"/>
        <v>1.9211582074881934E-8</v>
      </c>
      <c r="H172" s="1">
        <f t="shared" si="22"/>
        <v>1.8857566891616039E-9</v>
      </c>
      <c r="I172">
        <f t="shared" si="23"/>
        <v>60</v>
      </c>
      <c r="J172">
        <f t="shared" si="24"/>
        <v>85</v>
      </c>
      <c r="K172" s="5">
        <f t="shared" si="25"/>
        <v>0</v>
      </c>
      <c r="L172">
        <f t="shared" si="26"/>
        <v>85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-15.887416632496299</v>
      </c>
      <c r="F173" s="1">
        <f t="shared" si="32"/>
        <v>-17.889449441695358</v>
      </c>
      <c r="G173" s="1">
        <f t="shared" si="29"/>
        <v>1.701025496213502E-8</v>
      </c>
      <c r="H173" s="1">
        <f t="shared" si="22"/>
        <v>1.6696804018618341E-9</v>
      </c>
      <c r="I173">
        <f t="shared" si="23"/>
        <v>60</v>
      </c>
      <c r="J173">
        <f t="shared" si="24"/>
        <v>86</v>
      </c>
      <c r="K173" s="5">
        <f t="shared" si="25"/>
        <v>0</v>
      </c>
      <c r="L173">
        <f t="shared" si="26"/>
        <v>85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-16.009113567473818</v>
      </c>
      <c r="F174" s="1">
        <f t="shared" si="32"/>
        <v>-18.011146376672876</v>
      </c>
      <c r="G174" s="1">
        <f t="shared" si="29"/>
        <v>1.5061163247723749E-8</v>
      </c>
      <c r="H174" s="1">
        <f t="shared" si="22"/>
        <v>1.478362855815169E-9</v>
      </c>
      <c r="I174">
        <f t="shared" si="23"/>
        <v>60</v>
      </c>
      <c r="J174">
        <f t="shared" si="24"/>
        <v>87</v>
      </c>
      <c r="K174" s="5">
        <f t="shared" si="25"/>
        <v>0</v>
      </c>
      <c r="L174">
        <f t="shared" si="26"/>
        <v>85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-16.130810502451336</v>
      </c>
      <c r="F175" s="1">
        <f t="shared" si="32"/>
        <v>-18.132843311650394</v>
      </c>
      <c r="G175" s="1">
        <f t="shared" si="29"/>
        <v>1.3335404958922098E-8</v>
      </c>
      <c r="H175" s="1">
        <f t="shared" si="22"/>
        <v>1.3089671119196838E-9</v>
      </c>
      <c r="I175">
        <f t="shared" si="23"/>
        <v>60</v>
      </c>
      <c r="J175">
        <f t="shared" si="24"/>
        <v>88</v>
      </c>
      <c r="K175" s="5">
        <f t="shared" si="25"/>
        <v>0</v>
      </c>
      <c r="L175">
        <f t="shared" si="26"/>
        <v>85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-16.252507437428854</v>
      </c>
      <c r="F176" s="1">
        <f t="shared" si="32"/>
        <v>-18.254540246627911</v>
      </c>
      <c r="G176" s="1">
        <f t="shared" si="29"/>
        <v>1.1807389807378965E-8</v>
      </c>
      <c r="H176" s="1">
        <f t="shared" si="22"/>
        <v>1.1589812970122222E-9</v>
      </c>
      <c r="I176">
        <f t="shared" si="23"/>
        <v>60</v>
      </c>
      <c r="J176">
        <f t="shared" si="24"/>
        <v>89</v>
      </c>
      <c r="K176" s="5">
        <f t="shared" si="25"/>
        <v>0</v>
      </c>
      <c r="L176">
        <f t="shared" si="26"/>
        <v>85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-16.374204372406371</v>
      </c>
      <c r="F177" s="1">
        <f t="shared" si="32"/>
        <v>-18.376237181605429</v>
      </c>
      <c r="G177" s="1">
        <f t="shared" si="29"/>
        <v>1.0454459725283482E-8</v>
      </c>
      <c r="H177" s="1">
        <f t="shared" si="22"/>
        <v>1.0261813567295741E-9</v>
      </c>
      <c r="I177">
        <f t="shared" si="23"/>
        <v>60</v>
      </c>
      <c r="J177">
        <f t="shared" si="24"/>
        <v>90</v>
      </c>
      <c r="K177" s="5">
        <f t="shared" si="25"/>
        <v>0</v>
      </c>
      <c r="L177">
        <f t="shared" si="26"/>
        <v>85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-16.495901307383889</v>
      </c>
      <c r="F178" s="1">
        <f t="shared" si="32"/>
        <v>-18.497934116582947</v>
      </c>
      <c r="G178" s="1">
        <f t="shared" si="29"/>
        <v>9.2565528817614363E-9</v>
      </c>
      <c r="H178" s="1">
        <f t="shared" si="22"/>
        <v>9.0859807627097899E-10</v>
      </c>
      <c r="I178">
        <f t="shared" si="23"/>
        <v>60</v>
      </c>
      <c r="J178">
        <f t="shared" si="24"/>
        <v>91</v>
      </c>
      <c r="K178" s="5">
        <f t="shared" si="25"/>
        <v>0</v>
      </c>
      <c r="L178">
        <f t="shared" si="26"/>
        <v>85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-16.617598242361407</v>
      </c>
      <c r="F179" s="1">
        <f t="shared" si="32"/>
        <v>-18.619631051560464</v>
      </c>
      <c r="G179" s="1">
        <f t="shared" si="29"/>
        <v>8.1959061973929543E-9</v>
      </c>
      <c r="H179" s="1">
        <f t="shared" si="22"/>
        <v>8.0448788003159762E-10</v>
      </c>
      <c r="I179">
        <f t="shared" si="23"/>
        <v>60</v>
      </c>
      <c r="J179">
        <f t="shared" si="24"/>
        <v>92</v>
      </c>
      <c r="K179" s="5">
        <f t="shared" si="25"/>
        <v>0</v>
      </c>
      <c r="L179">
        <f t="shared" si="26"/>
        <v>85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-16.739295177338924</v>
      </c>
      <c r="F180" s="1">
        <f t="shared" si="32"/>
        <v>-18.741327986537982</v>
      </c>
      <c r="G180" s="1">
        <f t="shared" si="29"/>
        <v>7.2567919456083607E-9</v>
      </c>
      <c r="H180" s="1">
        <f t="shared" si="22"/>
        <v>7.1230697711131189E-10</v>
      </c>
      <c r="I180">
        <f t="shared" si="23"/>
        <v>60</v>
      </c>
      <c r="J180">
        <f t="shared" si="24"/>
        <v>93</v>
      </c>
      <c r="K180" s="5">
        <f t="shared" si="25"/>
        <v>0</v>
      </c>
      <c r="L180">
        <f t="shared" si="26"/>
        <v>85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-16.860992112316442</v>
      </c>
      <c r="F181" s="1">
        <f t="shared" si="32"/>
        <v>-18.8630249215155</v>
      </c>
      <c r="G181" s="1">
        <f t="shared" si="29"/>
        <v>6.4252845351740831E-9</v>
      </c>
      <c r="H181" s="1">
        <f t="shared" si="22"/>
        <v>6.3068846931730874E-10</v>
      </c>
      <c r="I181">
        <f t="shared" si="23"/>
        <v>60</v>
      </c>
      <c r="J181">
        <f t="shared" si="24"/>
        <v>94</v>
      </c>
      <c r="K181" s="5">
        <f t="shared" si="25"/>
        <v>0</v>
      </c>
      <c r="L181">
        <f t="shared" si="26"/>
        <v>85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-16.98268904729396</v>
      </c>
      <c r="F182" s="1">
        <f t="shared" si="32"/>
        <v>-18.984721856493017</v>
      </c>
      <c r="G182" s="1">
        <f t="shared" si="29"/>
        <v>5.6890540155187317E-9</v>
      </c>
      <c r="H182" s="1">
        <f t="shared" si="22"/>
        <v>5.5842208220803496E-10</v>
      </c>
      <c r="I182">
        <f t="shared" si="23"/>
        <v>60</v>
      </c>
      <c r="J182">
        <f t="shared" si="24"/>
        <v>95</v>
      </c>
      <c r="K182" s="5">
        <f t="shared" si="25"/>
        <v>0</v>
      </c>
      <c r="L182">
        <f t="shared" si="26"/>
        <v>85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-17.104385982271477</v>
      </c>
      <c r="F183" s="1">
        <f t="shared" si="32"/>
        <v>-19.106418791470535</v>
      </c>
      <c r="G183" s="1">
        <f t="shared" si="29"/>
        <v>5.0371832429072211E-9</v>
      </c>
      <c r="H183" s="1">
        <f t="shared" si="22"/>
        <v>4.9443621862169874E-10</v>
      </c>
      <c r="I183">
        <f t="shared" si="23"/>
        <v>60</v>
      </c>
      <c r="J183">
        <f t="shared" si="24"/>
        <v>96</v>
      </c>
      <c r="K183" s="5">
        <f t="shared" si="25"/>
        <v>0</v>
      </c>
      <c r="L183">
        <f t="shared" si="26"/>
        <v>85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-17.226082917248995</v>
      </c>
      <c r="F184" s="1">
        <f t="shared" si="32"/>
        <v>-19.228115726448053</v>
      </c>
      <c r="G184" s="1">
        <f t="shared" si="29"/>
        <v>4.4600059963241113E-9</v>
      </c>
      <c r="H184" s="1">
        <f t="shared" si="22"/>
        <v>4.3778206857129662E-10</v>
      </c>
      <c r="I184">
        <f t="shared" si="23"/>
        <v>60</v>
      </c>
      <c r="J184">
        <f t="shared" si="24"/>
        <v>97</v>
      </c>
      <c r="K184" s="5">
        <f t="shared" si="25"/>
        <v>0</v>
      </c>
      <c r="L184">
        <f t="shared" si="26"/>
        <v>85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-17.347779852226513</v>
      </c>
      <c r="F185" s="1">
        <f t="shared" si="32"/>
        <v>-19.34981266142557</v>
      </c>
      <c r="G185" s="1">
        <f t="shared" si="29"/>
        <v>3.9489636425786492E-9</v>
      </c>
      <c r="H185" s="1">
        <f t="shared" si="22"/>
        <v>3.8761953988083643E-10</v>
      </c>
      <c r="I185">
        <f t="shared" si="23"/>
        <v>60</v>
      </c>
      <c r="J185">
        <f t="shared" si="24"/>
        <v>98</v>
      </c>
      <c r="K185" s="5">
        <f t="shared" si="25"/>
        <v>0</v>
      </c>
      <c r="L185">
        <f t="shared" si="26"/>
        <v>85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-17.469476787204034</v>
      </c>
      <c r="F186" s="1">
        <f t="shared" si="32"/>
        <v>-19.471509596403092</v>
      </c>
      <c r="G186" s="1">
        <f t="shared" si="29"/>
        <v>3.4964782251998404E-9</v>
      </c>
      <c r="H186" s="1">
        <f t="shared" si="22"/>
        <v>3.4320480093615674E-10</v>
      </c>
      <c r="I186">
        <f t="shared" si="23"/>
        <v>60</v>
      </c>
      <c r="J186">
        <f t="shared" si="24"/>
        <v>99</v>
      </c>
      <c r="K186" s="5">
        <f t="shared" si="25"/>
        <v>0</v>
      </c>
      <c r="L186">
        <f t="shared" si="26"/>
        <v>85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-17.591173722181555</v>
      </c>
      <c r="F187" s="1">
        <f t="shared" si="32"/>
        <v>-19.593206531380613</v>
      </c>
      <c r="G187" s="1">
        <f t="shared" si="29"/>
        <v>3.0958400952290207E-9</v>
      </c>
      <c r="H187" s="1">
        <f t="shared" si="22"/>
        <v>3.0387925082888834E-10</v>
      </c>
      <c r="I187">
        <f t="shared" si="23"/>
        <v>60</v>
      </c>
      <c r="J187">
        <f t="shared" si="24"/>
        <v>100</v>
      </c>
      <c r="K187" s="5">
        <f t="shared" si="25"/>
        <v>0</v>
      </c>
      <c r="L187">
        <f t="shared" si="26"/>
        <v>85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-17.712870657159076</v>
      </c>
      <c r="F188" s="1">
        <f t="shared" si="32"/>
        <v>-19.714903466358134</v>
      </c>
      <c r="G188" s="1">
        <f t="shared" si="29"/>
        <v>2.7411084176506915E-9</v>
      </c>
      <c r="H188" s="1">
        <f t="shared" si="22"/>
        <v>2.6905975333807782E-10</v>
      </c>
      <c r="I188">
        <f t="shared" si="23"/>
        <v>60</v>
      </c>
      <c r="J188">
        <f t="shared" si="24"/>
        <v>101</v>
      </c>
      <c r="K188" s="5">
        <f t="shared" si="25"/>
        <v>0</v>
      </c>
      <c r="L188">
        <f t="shared" si="26"/>
        <v>85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-17.834567592136597</v>
      </c>
      <c r="F189" s="1">
        <f t="shared" si="32"/>
        <v>-19.836600401335655</v>
      </c>
      <c r="G189" s="1">
        <f t="shared" si="29"/>
        <v>2.4270230781282129E-9</v>
      </c>
      <c r="H189" s="1">
        <f t="shared" si="22"/>
        <v>2.382299899347561E-10</v>
      </c>
      <c r="I189">
        <f t="shared" si="23"/>
        <v>60</v>
      </c>
      <c r="J189">
        <f t="shared" si="24"/>
        <v>102</v>
      </c>
      <c r="K189" s="5">
        <f t="shared" si="25"/>
        <v>0</v>
      </c>
      <c r="L189">
        <f t="shared" si="26"/>
        <v>85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-17.956264527114119</v>
      </c>
      <c r="F190" s="1">
        <f t="shared" si="32"/>
        <v>-19.958297336313176</v>
      </c>
      <c r="G190" s="1">
        <f t="shared" si="29"/>
        <v>2.1489266837593523E-9</v>
      </c>
      <c r="H190" s="1">
        <f t="shared" si="22"/>
        <v>2.1093280358806499E-10</v>
      </c>
      <c r="I190">
        <f t="shared" si="23"/>
        <v>60</v>
      </c>
      <c r="J190">
        <f t="shared" si="24"/>
        <v>103</v>
      </c>
      <c r="K190" s="5">
        <f t="shared" si="25"/>
        <v>0</v>
      </c>
      <c r="L190">
        <f t="shared" si="26"/>
        <v>85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-18.07796146209164</v>
      </c>
      <c r="F191" s="1">
        <f t="shared" si="32"/>
        <v>-20.079994271290698</v>
      </c>
      <c r="G191" s="1">
        <f t="shared" si="29"/>
        <v>1.902695501245257E-9</v>
      </c>
      <c r="H191" s="1">
        <f t="shared" si="22"/>
        <v>1.8676341984359893E-10</v>
      </c>
      <c r="I191">
        <f t="shared" si="23"/>
        <v>60</v>
      </c>
      <c r="J191">
        <f t="shared" si="24"/>
        <v>104</v>
      </c>
      <c r="K191" s="5">
        <f t="shared" si="25"/>
        <v>0</v>
      </c>
      <c r="L191">
        <f t="shared" si="26"/>
        <v>85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-18.199658397069161</v>
      </c>
      <c r="F192" s="1">
        <f t="shared" si="32"/>
        <v>-20.201691206268219</v>
      </c>
      <c r="G192" s="1">
        <f t="shared" si="29"/>
        <v>1.6846783083942358E-9</v>
      </c>
      <c r="H192" s="1">
        <f t="shared" si="22"/>
        <v>1.6536344465318633E-10</v>
      </c>
      <c r="I192">
        <f t="shared" si="23"/>
        <v>60</v>
      </c>
      <c r="J192">
        <f t="shared" si="24"/>
        <v>105</v>
      </c>
      <c r="K192" s="5">
        <f t="shared" si="25"/>
        <v>0</v>
      </c>
      <c r="L192">
        <f t="shared" si="26"/>
        <v>85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-18.321355332046682</v>
      </c>
      <c r="F193" s="1">
        <f t="shared" si="32"/>
        <v>-20.32338814124574</v>
      </c>
      <c r="G193" s="1">
        <f t="shared" si="29"/>
        <v>1.4916422522240607E-9</v>
      </c>
      <c r="H193" s="1">
        <f t="shared" si="22"/>
        <v>1.4641554995334184E-10</v>
      </c>
      <c r="I193">
        <f t="shared" si="23"/>
        <v>60</v>
      </c>
      <c r="J193">
        <f t="shared" si="24"/>
        <v>106</v>
      </c>
      <c r="K193" s="5">
        <f t="shared" si="25"/>
        <v>0</v>
      </c>
      <c r="L193">
        <f t="shared" si="26"/>
        <v>85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-18.443052267024203</v>
      </c>
      <c r="F194" s="1">
        <f t="shared" si="32"/>
        <v>-20.445085076223261</v>
      </c>
      <c r="G194" s="1">
        <f t="shared" si="29"/>
        <v>1.3207249108233852E-9</v>
      </c>
      <c r="H194" s="1">
        <f t="shared" si="22"/>
        <v>1.2963876818785457E-10</v>
      </c>
      <c r="I194">
        <f t="shared" si="23"/>
        <v>60</v>
      </c>
      <c r="J194">
        <f t="shared" si="24"/>
        <v>107</v>
      </c>
      <c r="K194" s="5">
        <f t="shared" si="25"/>
        <v>0</v>
      </c>
      <c r="L194">
        <f t="shared" si="26"/>
        <v>85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-18.564749202001725</v>
      </c>
      <c r="F195" s="1">
        <f t="shared" si="32"/>
        <v>-20.566782011200782</v>
      </c>
      <c r="G195" s="1">
        <f t="shared" si="29"/>
        <v>1.1693918481248707E-9</v>
      </c>
      <c r="H195" s="1">
        <f t="shared" si="22"/>
        <v>1.1478432599966275E-10</v>
      </c>
      <c r="I195">
        <f t="shared" si="23"/>
        <v>60</v>
      </c>
      <c r="J195">
        <f t="shared" si="24"/>
        <v>108</v>
      </c>
      <c r="K195" s="5">
        <f t="shared" si="25"/>
        <v>0</v>
      </c>
      <c r="L195">
        <f t="shared" si="26"/>
        <v>85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-18.686446136979246</v>
      </c>
      <c r="F196" s="1">
        <f t="shared" si="32"/>
        <v>-20.688478946178304</v>
      </c>
      <c r="G196" s="1">
        <f t="shared" si="29"/>
        <v>1.0353990321938943E-9</v>
      </c>
      <c r="H196" s="1">
        <f t="shared" si="22"/>
        <v>1.0163195531220124E-10</v>
      </c>
      <c r="I196">
        <f t="shared" si="23"/>
        <v>60</v>
      </c>
      <c r="J196">
        <f t="shared" si="24"/>
        <v>109</v>
      </c>
      <c r="K196" s="5">
        <f t="shared" si="25"/>
        <v>0</v>
      </c>
      <c r="L196">
        <f t="shared" si="26"/>
        <v>85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-18.808143071956767</v>
      </c>
      <c r="F197" s="1">
        <f t="shared" si="32"/>
        <v>-20.810175881155825</v>
      </c>
      <c r="G197" s="1">
        <f t="shared" si="29"/>
        <v>9.1675955975500942E-10</v>
      </c>
      <c r="H197" s="1">
        <f t="shared" si="22"/>
        <v>8.998662709934473E-11</v>
      </c>
      <c r="I197">
        <f t="shared" si="23"/>
        <v>60</v>
      </c>
      <c r="J197">
        <f t="shared" si="24"/>
        <v>110</v>
      </c>
      <c r="K197" s="5">
        <f t="shared" si="25"/>
        <v>0</v>
      </c>
      <c r="L197">
        <f t="shared" si="26"/>
        <v>85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-18.929840006934288</v>
      </c>
      <c r="F198" s="1">
        <f t="shared" si="32"/>
        <v>-20.931872816133346</v>
      </c>
      <c r="G198" s="1">
        <f t="shared" si="29"/>
        <v>8.1171419353308003E-10</v>
      </c>
      <c r="H198" s="1">
        <f t="shared" si="22"/>
        <v>7.9675659410878031E-11</v>
      </c>
      <c r="I198">
        <f t="shared" si="23"/>
        <v>60</v>
      </c>
      <c r="J198">
        <f t="shared" si="24"/>
        <v>111</v>
      </c>
      <c r="K198" s="5">
        <f t="shared" si="25"/>
        <v>0</v>
      </c>
      <c r="L198">
        <f t="shared" si="26"/>
        <v>85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-19.051536941911809</v>
      </c>
      <c r="F199" s="1">
        <f t="shared" si="32"/>
        <v>-21.053569751110867</v>
      </c>
      <c r="G199" s="1">
        <f t="shared" si="29"/>
        <v>7.1870527552408027E-10</v>
      </c>
      <c r="H199" s="1">
        <f t="shared" si="22"/>
        <v>7.0546156770048148E-11</v>
      </c>
      <c r="I199">
        <f t="shared" si="23"/>
        <v>60</v>
      </c>
      <c r="J199">
        <f t="shared" si="24"/>
        <v>112</v>
      </c>
      <c r="K199" s="5">
        <f t="shared" si="25"/>
        <v>0</v>
      </c>
      <c r="L199">
        <f t="shared" si="26"/>
        <v>85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-19.173233876889331</v>
      </c>
      <c r="F200" s="1">
        <f t="shared" si="32"/>
        <v>-21.175266686088388</v>
      </c>
      <c r="G200" s="1">
        <f t="shared" si="29"/>
        <v>6.3635362937027848E-10</v>
      </c>
      <c r="H200" s="1">
        <f t="shared" si="22"/>
        <v>6.2462742973480044E-11</v>
      </c>
      <c r="I200">
        <f t="shared" si="23"/>
        <v>60</v>
      </c>
      <c r="J200">
        <f t="shared" si="24"/>
        <v>113</v>
      </c>
      <c r="K200" s="5">
        <f t="shared" si="25"/>
        <v>0</v>
      </c>
      <c r="L200">
        <f t="shared" si="26"/>
        <v>85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-19.294930811866852</v>
      </c>
      <c r="F201" s="1">
        <f t="shared" si="32"/>
        <v>-21.29696362106591</v>
      </c>
      <c r="G201" s="1">
        <f t="shared" si="29"/>
        <v>5.634381093382666E-10</v>
      </c>
      <c r="H201" s="1">
        <f t="shared" si="22"/>
        <v>5.5305553674435379E-11</v>
      </c>
      <c r="I201">
        <f t="shared" si="23"/>
        <v>60</v>
      </c>
      <c r="J201">
        <f t="shared" si="24"/>
        <v>114</v>
      </c>
      <c r="K201" s="5">
        <f t="shared" si="25"/>
        <v>0</v>
      </c>
      <c r="L201">
        <f t="shared" si="26"/>
        <v>85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-19.416627746844373</v>
      </c>
      <c r="F202" s="1">
        <f t="shared" si="32"/>
        <v>-21.418660556043431</v>
      </c>
      <c r="G202" s="1">
        <f t="shared" si="29"/>
        <v>4.9887749264325619E-10</v>
      </c>
      <c r="H202" s="1">
        <f t="shared" si="22"/>
        <v>4.8968458982572922E-11</v>
      </c>
      <c r="I202">
        <f t="shared" si="23"/>
        <v>60</v>
      </c>
      <c r="J202">
        <f t="shared" si="24"/>
        <v>115</v>
      </c>
      <c r="K202" s="5">
        <f t="shared" si="25"/>
        <v>0</v>
      </c>
      <c r="L202">
        <f t="shared" si="26"/>
        <v>85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-19.538324681821894</v>
      </c>
      <c r="F203" s="1">
        <f t="shared" si="32"/>
        <v>-21.540357491020952</v>
      </c>
      <c r="G203" s="1">
        <f t="shared" si="29"/>
        <v>4.4171444661121581E-10</v>
      </c>
      <c r="H203" s="1">
        <f t="shared" si="22"/>
        <v>4.3357489724153048E-11</v>
      </c>
      <c r="I203">
        <f t="shared" si="23"/>
        <v>60</v>
      </c>
      <c r="J203">
        <f t="shared" si="24"/>
        <v>116</v>
      </c>
      <c r="K203" s="5">
        <f t="shared" si="25"/>
        <v>0</v>
      </c>
      <c r="L203">
        <f t="shared" si="26"/>
        <v>85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-19.660021616799416</v>
      </c>
      <c r="F204" s="1">
        <f t="shared" si="32"/>
        <v>-21.662054425998473</v>
      </c>
      <c r="G204" s="1">
        <f t="shared" si="29"/>
        <v>3.9110133293701344E-10</v>
      </c>
      <c r="H204" s="1">
        <f t="shared" si="22"/>
        <v>3.838944402659379E-11</v>
      </c>
      <c r="I204">
        <f t="shared" si="23"/>
        <v>60</v>
      </c>
      <c r="J204">
        <f t="shared" si="24"/>
        <v>117</v>
      </c>
      <c r="K204" s="5">
        <f t="shared" si="25"/>
        <v>0</v>
      </c>
      <c r="L204">
        <f t="shared" si="26"/>
        <v>85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-19.781718551776937</v>
      </c>
      <c r="F205" s="1">
        <f t="shared" si="32"/>
        <v>-21.783751360975995</v>
      </c>
      <c r="G205" s="1">
        <f t="shared" si="29"/>
        <v>3.4628763853798012E-10</v>
      </c>
      <c r="H205" s="1">
        <f t="shared" si="22"/>
        <v>3.3990653565213197E-11</v>
      </c>
      <c r="I205">
        <f t="shared" si="23"/>
        <v>60</v>
      </c>
      <c r="J205">
        <f t="shared" si="24"/>
        <v>118</v>
      </c>
      <c r="K205" s="5">
        <f t="shared" si="25"/>
        <v>0</v>
      </c>
      <c r="L205">
        <f t="shared" si="26"/>
        <v>85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-19.903415486754458</v>
      </c>
      <c r="F206" s="1">
        <f t="shared" si="32"/>
        <v>-21.905448295953516</v>
      </c>
      <c r="G206" s="1">
        <f t="shared" si="29"/>
        <v>3.0660884662216949E-10</v>
      </c>
      <c r="H206" s="1">
        <f t="shared" si="22"/>
        <v>3.009589117753248E-11</v>
      </c>
      <c r="I206">
        <f t="shared" si="23"/>
        <v>60</v>
      </c>
      <c r="J206">
        <f t="shared" si="24"/>
        <v>119</v>
      </c>
      <c r="K206" s="5">
        <f t="shared" si="25"/>
        <v>0</v>
      </c>
      <c r="L206">
        <f t="shared" si="26"/>
        <v>85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-20.025112421731979</v>
      </c>
      <c r="F207" s="1">
        <f t="shared" si="32"/>
        <v>-22.027145230931037</v>
      </c>
      <c r="G207" s="1">
        <f t="shared" si="29"/>
        <v>2.7147658294671217E-10</v>
      </c>
      <c r="H207" s="1">
        <f t="shared" si="22"/>
        <v>2.6647403646773513E-11</v>
      </c>
      <c r="I207">
        <f t="shared" si="23"/>
        <v>60</v>
      </c>
      <c r="J207">
        <f t="shared" si="24"/>
        <v>120</v>
      </c>
      <c r="K207" s="5">
        <f t="shared" si="25"/>
        <v>0</v>
      </c>
      <c r="L207">
        <f t="shared" si="26"/>
        <v>85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-20.1468093567095</v>
      </c>
      <c r="F208" s="1">
        <f t="shared" si="32"/>
        <v>-22.148842165908558</v>
      </c>
      <c r="G208" s="1">
        <f t="shared" si="29"/>
        <v>2.4036989115073437E-10</v>
      </c>
      <c r="H208" s="1">
        <f t="shared" si="22"/>
        <v>2.3594055312247344E-11</v>
      </c>
      <c r="I208">
        <f t="shared" si="23"/>
        <v>60</v>
      </c>
      <c r="J208">
        <f t="shared" si="24"/>
        <v>121</v>
      </c>
      <c r="K208" s="5">
        <f t="shared" si="25"/>
        <v>0</v>
      </c>
      <c r="L208">
        <f t="shared" si="26"/>
        <v>85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-20.268506291687022</v>
      </c>
      <c r="F209" s="1">
        <f t="shared" si="32"/>
        <v>-22.270539100886079</v>
      </c>
      <c r="G209" s="1">
        <f t="shared" si="29"/>
        <v>2.1282750778971245E-10</v>
      </c>
      <c r="H209" s="1">
        <f t="shared" si="22"/>
        <v>2.0890569807718976E-11</v>
      </c>
      <c r="I209">
        <f t="shared" si="23"/>
        <v>60</v>
      </c>
      <c r="J209">
        <f t="shared" si="24"/>
        <v>122</v>
      </c>
      <c r="K209" s="5">
        <f t="shared" si="25"/>
        <v>0</v>
      </c>
      <c r="L209">
        <f t="shared" si="26"/>
        <v>85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-20.390203226664543</v>
      </c>
      <c r="F210" s="1">
        <f t="shared" si="32"/>
        <v>-22.392236035863601</v>
      </c>
      <c r="G210" s="1">
        <f t="shared" si="29"/>
        <v>1.8844102252214097E-10</v>
      </c>
      <c r="H210" s="1">
        <f t="shared" si="22"/>
        <v>1.8496858683917816E-11</v>
      </c>
      <c r="I210">
        <f t="shared" si="23"/>
        <v>60</v>
      </c>
      <c r="J210">
        <f t="shared" si="24"/>
        <v>123</v>
      </c>
      <c r="K210" s="5">
        <f t="shared" si="25"/>
        <v>0</v>
      </c>
      <c r="L210">
        <f t="shared" si="26"/>
        <v>85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-20.511900161642064</v>
      </c>
      <c r="F211" s="1">
        <f t="shared" si="32"/>
        <v>-22.513932970841122</v>
      </c>
      <c r="G211" s="1">
        <f t="shared" si="29"/>
        <v>1.6684882202481206E-10</v>
      </c>
      <c r="H211" s="1">
        <f t="shared" si="22"/>
        <v>1.6377426959718876E-11</v>
      </c>
      <c r="I211">
        <f t="shared" si="23"/>
        <v>60</v>
      </c>
      <c r="J211">
        <f t="shared" si="24"/>
        <v>124</v>
      </c>
      <c r="K211" s="5">
        <f t="shared" si="25"/>
        <v>0</v>
      </c>
      <c r="L211">
        <f t="shared" si="26"/>
        <v>85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-20.633597096619582</v>
      </c>
      <c r="F212" s="1">
        <f t="shared" si="32"/>
        <v>-22.635629905818639</v>
      </c>
      <c r="G212" s="1">
        <f t="shared" si="29"/>
        <v>1.4773072783446934E-10</v>
      </c>
      <c r="H212" s="1">
        <f t="shared" si="22"/>
        <v>1.450084678725112E-11</v>
      </c>
      <c r="I212">
        <f t="shared" si="23"/>
        <v>60</v>
      </c>
      <c r="J212">
        <f t="shared" si="24"/>
        <v>125</v>
      </c>
      <c r="K212" s="5">
        <f t="shared" si="25"/>
        <v>0</v>
      </c>
      <c r="L212">
        <f t="shared" si="26"/>
        <v>85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-20.755294031597103</v>
      </c>
      <c r="F213" s="1">
        <f t="shared" si="32"/>
        <v>-22.757326840796161</v>
      </c>
      <c r="G213" s="1">
        <f t="shared" si="29"/>
        <v>1.3080324860343621E-10</v>
      </c>
      <c r="H213" s="1">
        <f t="shared" si="22"/>
        <v>1.2839291426211912E-11</v>
      </c>
      <c r="I213">
        <f t="shared" si="23"/>
        <v>60</v>
      </c>
      <c r="J213">
        <f t="shared" si="24"/>
        <v>126</v>
      </c>
      <c r="K213" s="5">
        <f t="shared" si="25"/>
        <v>0</v>
      </c>
      <c r="L213">
        <f t="shared" si="26"/>
        <v>85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-20.876990966574624</v>
      </c>
      <c r="F214" s="1">
        <f t="shared" si="32"/>
        <v>-22.879023775773682</v>
      </c>
      <c r="G214" s="1">
        <f t="shared" si="29"/>
        <v>1.1581537636762564E-10</v>
      </c>
      <c r="H214" s="1">
        <f t="shared" si="22"/>
        <v>1.1368122616958445E-11</v>
      </c>
      <c r="I214">
        <f t="shared" si="23"/>
        <v>60</v>
      </c>
      <c r="J214">
        <f t="shared" si="24"/>
        <v>127</v>
      </c>
      <c r="K214" s="5">
        <f t="shared" si="25"/>
        <v>0</v>
      </c>
      <c r="L214">
        <f t="shared" si="26"/>
        <v>85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-20.998687901552145</v>
      </c>
      <c r="F215" s="1">
        <f t="shared" si="32"/>
        <v>-23.000720710751203</v>
      </c>
      <c r="G215" s="1">
        <f t="shared" si="29"/>
        <v>1.0254486449216839E-10</v>
      </c>
      <c r="H215" s="1">
        <f t="shared" ref="H215:H278" si="33">G215/$G$21</f>
        <v>1.0065525233765276E-11</v>
      </c>
      <c r="I215">
        <f t="shared" ref="I215:I278" si="34">IF($F$11&lt;=D215, IF(D215&lt;=$A$15,D215-$F$11,$C$11),0)</f>
        <v>60</v>
      </c>
      <c r="J215">
        <f t="shared" ref="J215:J278" si="35">IF(D215&lt;=$A$15,0,D215-$A$15)</f>
        <v>128</v>
      </c>
      <c r="K215" s="5">
        <f t="shared" ref="K215:K278" si="36">IF(D215&lt;$F$11,H215,0)</f>
        <v>0</v>
      </c>
      <c r="L215">
        <f t="shared" ref="L215:L278" si="37">IF(D215&lt;$A$15,$D$11,$D$11*(1-$H$11))</f>
        <v>85</v>
      </c>
      <c r="M215">
        <f t="shared" ref="M215:M278" si="38">IF(D215&lt;$A$15,0,1)</f>
        <v>1</v>
      </c>
      <c r="N215">
        <f t="shared" ref="N215:N278" si="39">IF(SUM(I215:J215)&lt;=($G$11/60*$F$11/($E$11/60)),1,0)</f>
        <v>0</v>
      </c>
    </row>
    <row r="216" spans="4:14" x14ac:dyDescent="0.2">
      <c r="D216">
        <f t="shared" si="30"/>
        <v>193</v>
      </c>
      <c r="E216" s="1">
        <f t="shared" si="31"/>
        <v>-21.120384836529666</v>
      </c>
      <c r="F216" s="1">
        <f t="shared" si="32"/>
        <v>-23.122417645728724</v>
      </c>
      <c r="G216" s="1">
        <f t="shared" ref="G216:G279" si="40">EXP(F216)</f>
        <v>9.0794932102440627E-11</v>
      </c>
      <c r="H216" s="1">
        <f t="shared" si="33"/>
        <v>8.9121838007296592E-12</v>
      </c>
      <c r="I216">
        <f t="shared" si="34"/>
        <v>60</v>
      </c>
      <c r="J216">
        <f t="shared" si="35"/>
        <v>129</v>
      </c>
      <c r="K216" s="5">
        <f t="shared" si="36"/>
        <v>0</v>
      </c>
      <c r="L216">
        <f t="shared" si="37"/>
        <v>85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IF($H$11=1,IF(D217&lt;=$A$15, E216+LN($D$11)-LN(60/$E$11)-LN(MIN(D217,$F$11)), E216-LN(60/$E$11)-LN(MIN(D217,$F$11))), IF(D217&lt;=$A$15, E216+LN($D$11)-LN(60/$E$11)-LN(MIN(D217,$F$11)), E216+LN($D$11)+LN(1-$H$11)-LN(60/$E$11)-LN(MIN(D217,$F$11))))</f>
        <v>-21.242081771507188</v>
      </c>
      <c r="F217" s="1">
        <f t="shared" ref="F217:F280" si="43">E217-$E$21</f>
        <v>-23.244114580706245</v>
      </c>
      <c r="G217" s="1">
        <f t="shared" si="40"/>
        <v>8.0391346132369198E-11</v>
      </c>
      <c r="H217" s="1">
        <f t="shared" si="33"/>
        <v>7.8909960735627078E-12</v>
      </c>
      <c r="I217">
        <f t="shared" si="34"/>
        <v>60</v>
      </c>
      <c r="J217">
        <f t="shared" si="35"/>
        <v>130</v>
      </c>
      <c r="K217" s="5">
        <f t="shared" si="36"/>
        <v>0</v>
      </c>
      <c r="L217">
        <f t="shared" si="37"/>
        <v>85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-21.363778706484709</v>
      </c>
      <c r="F218" s="1">
        <f t="shared" si="43"/>
        <v>-23.365811515683767</v>
      </c>
      <c r="G218" s="1">
        <f t="shared" si="40"/>
        <v>7.1179837721368453E-11</v>
      </c>
      <c r="H218" s="1">
        <f t="shared" si="33"/>
        <v>6.9868194401336368E-12</v>
      </c>
      <c r="I218">
        <f t="shared" si="34"/>
        <v>60</v>
      </c>
      <c r="J218">
        <f t="shared" si="35"/>
        <v>131</v>
      </c>
      <c r="K218" s="5">
        <f t="shared" si="36"/>
        <v>0</v>
      </c>
      <c r="L218">
        <f t="shared" si="37"/>
        <v>85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-21.48547564146223</v>
      </c>
      <c r="F219" s="1">
        <f t="shared" si="43"/>
        <v>-23.487508450661288</v>
      </c>
      <c r="G219" s="1">
        <f t="shared" si="40"/>
        <v>6.3023814649128225E-11</v>
      </c>
      <c r="H219" s="1">
        <f t="shared" si="33"/>
        <v>6.1862463792849819E-12</v>
      </c>
      <c r="I219">
        <f t="shared" si="34"/>
        <v>60</v>
      </c>
      <c r="J219">
        <f t="shared" si="35"/>
        <v>132</v>
      </c>
      <c r="K219" s="5">
        <f t="shared" si="36"/>
        <v>0</v>
      </c>
      <c r="L219">
        <f t="shared" si="37"/>
        <v>85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-21.607172576439751</v>
      </c>
      <c r="F220" s="1">
        <f t="shared" si="43"/>
        <v>-23.609205385638809</v>
      </c>
      <c r="G220" s="1">
        <f t="shared" si="40"/>
        <v>5.5802335887248873E-11</v>
      </c>
      <c r="H220" s="1">
        <f t="shared" si="33"/>
        <v>5.4774056483252372E-12</v>
      </c>
      <c r="I220">
        <f t="shared" si="34"/>
        <v>60</v>
      </c>
      <c r="J220">
        <f t="shared" si="35"/>
        <v>133</v>
      </c>
      <c r="K220" s="5">
        <f t="shared" si="36"/>
        <v>0</v>
      </c>
      <c r="L220">
        <f t="shared" si="37"/>
        <v>85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-21.728869511417273</v>
      </c>
      <c r="F221" s="1">
        <f t="shared" si="43"/>
        <v>-23.73090232061633</v>
      </c>
      <c r="G221" s="1">
        <f t="shared" si="40"/>
        <v>4.9408318233501538E-11</v>
      </c>
      <c r="H221" s="1">
        <f t="shared" si="33"/>
        <v>4.8497862511212966E-12</v>
      </c>
      <c r="I221">
        <f t="shared" si="34"/>
        <v>60</v>
      </c>
      <c r="J221">
        <f t="shared" si="35"/>
        <v>134</v>
      </c>
      <c r="K221" s="5">
        <f t="shared" si="36"/>
        <v>0</v>
      </c>
      <c r="L221">
        <f t="shared" si="37"/>
        <v>85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-21.850566446394794</v>
      </c>
      <c r="F222" s="1">
        <f t="shared" si="43"/>
        <v>-23.852599255593852</v>
      </c>
      <c r="G222" s="1">
        <f t="shared" si="40"/>
        <v>4.3746948435912757E-11</v>
      </c>
      <c r="H222" s="1">
        <f t="shared" si="33"/>
        <v>4.2940815765136423E-12</v>
      </c>
      <c r="I222">
        <f t="shared" si="34"/>
        <v>60</v>
      </c>
      <c r="J222">
        <f t="shared" si="35"/>
        <v>135</v>
      </c>
      <c r="K222" s="5">
        <f t="shared" si="36"/>
        <v>0</v>
      </c>
      <c r="L222">
        <f t="shared" si="37"/>
        <v>85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-21.972263381372315</v>
      </c>
      <c r="F223" s="1">
        <f t="shared" si="43"/>
        <v>-23.974296190571373</v>
      </c>
      <c r="G223" s="1">
        <f t="shared" si="40"/>
        <v>3.8734277260964367E-11</v>
      </c>
      <c r="H223" s="1">
        <f t="shared" si="33"/>
        <v>3.8020513958714486E-12</v>
      </c>
      <c r="I223">
        <f t="shared" si="34"/>
        <v>60</v>
      </c>
      <c r="J223">
        <f t="shared" si="35"/>
        <v>136</v>
      </c>
      <c r="K223" s="5">
        <f t="shared" si="36"/>
        <v>0</v>
      </c>
      <c r="L223">
        <f t="shared" si="37"/>
        <v>85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-22.093960316349836</v>
      </c>
      <c r="F224" s="1">
        <f t="shared" si="43"/>
        <v>-24.095993125548894</v>
      </c>
      <c r="G224" s="1">
        <f t="shared" si="40"/>
        <v>3.4295974658145482E-11</v>
      </c>
      <c r="H224" s="1">
        <f t="shared" si="33"/>
        <v>3.3663996734278403E-12</v>
      </c>
      <c r="I224">
        <f t="shared" si="34"/>
        <v>60</v>
      </c>
      <c r="J224">
        <f t="shared" si="35"/>
        <v>137</v>
      </c>
      <c r="K224" s="5">
        <f t="shared" si="36"/>
        <v>0</v>
      </c>
      <c r="L224">
        <f t="shared" si="37"/>
        <v>85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-22.215657251327357</v>
      </c>
      <c r="F225" s="1">
        <f t="shared" si="43"/>
        <v>-24.217690060526415</v>
      </c>
      <c r="G225" s="1">
        <f t="shared" si="40"/>
        <v>3.0366227561899603E-11</v>
      </c>
      <c r="H225" s="1">
        <f t="shared" si="33"/>
        <v>2.9806663775142296E-12</v>
      </c>
      <c r="I225">
        <f t="shared" si="34"/>
        <v>60</v>
      </c>
      <c r="J225">
        <f t="shared" si="35"/>
        <v>138</v>
      </c>
      <c r="K225" s="5">
        <f t="shared" si="36"/>
        <v>0</v>
      </c>
      <c r="L225">
        <f t="shared" si="37"/>
        <v>85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-22.337354186304879</v>
      </c>
      <c r="F226" s="1">
        <f t="shared" si="43"/>
        <v>-24.339386995503936</v>
      </c>
      <c r="G226" s="1">
        <f t="shared" si="40"/>
        <v>2.6886763987098567E-11</v>
      </c>
      <c r="H226" s="1">
        <f t="shared" si="33"/>
        <v>2.6391316884240533E-12</v>
      </c>
      <c r="I226">
        <f t="shared" si="34"/>
        <v>60</v>
      </c>
      <c r="J226">
        <f t="shared" si="35"/>
        <v>139</v>
      </c>
      <c r="K226" s="5">
        <f t="shared" si="36"/>
        <v>0</v>
      </c>
      <c r="L226">
        <f t="shared" si="37"/>
        <v>85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-22.4590511212824</v>
      </c>
      <c r="F227" s="1">
        <f t="shared" si="43"/>
        <v>-24.461083930481458</v>
      </c>
      <c r="G227" s="1">
        <f t="shared" si="40"/>
        <v>2.3805988946910157E-11</v>
      </c>
      <c r="H227" s="1">
        <f t="shared" si="33"/>
        <v>2.336731182458794E-12</v>
      </c>
      <c r="I227">
        <f t="shared" si="34"/>
        <v>60</v>
      </c>
      <c r="J227">
        <f t="shared" si="35"/>
        <v>140</v>
      </c>
      <c r="K227" s="5">
        <f t="shared" si="36"/>
        <v>0</v>
      </c>
      <c r="L227">
        <f t="shared" si="37"/>
        <v>85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-22.580748056259921</v>
      </c>
      <c r="F228" s="1">
        <f t="shared" si="43"/>
        <v>-24.582780865458979</v>
      </c>
      <c r="G228" s="1">
        <f t="shared" si="40"/>
        <v>2.1078219380076669E-11</v>
      </c>
      <c r="H228" s="1">
        <f t="shared" si="33"/>
        <v>2.0689807344687207E-12</v>
      </c>
      <c r="I228">
        <f t="shared" si="34"/>
        <v>60</v>
      </c>
      <c r="J228">
        <f t="shared" si="35"/>
        <v>141</v>
      </c>
      <c r="K228" s="5">
        <f t="shared" si="36"/>
        <v>0</v>
      </c>
      <c r="L228">
        <f t="shared" si="37"/>
        <v>85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-22.702444991237442</v>
      </c>
      <c r="F229" s="1">
        <f t="shared" si="43"/>
        <v>-24.7044778004365</v>
      </c>
      <c r="G229" s="1">
        <f t="shared" si="40"/>
        <v>1.8663006742776192E-11</v>
      </c>
      <c r="H229" s="1">
        <f t="shared" si="33"/>
        <v>1.8319100253108438E-12</v>
      </c>
      <c r="I229">
        <f t="shared" si="34"/>
        <v>60</v>
      </c>
      <c r="J229">
        <f t="shared" si="35"/>
        <v>142</v>
      </c>
      <c r="K229" s="5">
        <f t="shared" si="36"/>
        <v>0</v>
      </c>
      <c r="L229">
        <f t="shared" si="37"/>
        <v>85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-22.824141926214963</v>
      </c>
      <c r="F230" s="1">
        <f t="shared" si="43"/>
        <v>-24.826174735414021</v>
      </c>
      <c r="G230" s="1">
        <f t="shared" si="40"/>
        <v>1.6524537220166395E-11</v>
      </c>
      <c r="H230" s="1">
        <f t="shared" si="33"/>
        <v>1.6220036682439739E-12</v>
      </c>
      <c r="I230">
        <f t="shared" si="34"/>
        <v>60</v>
      </c>
      <c r="J230">
        <f t="shared" si="35"/>
        <v>143</v>
      </c>
      <c r="K230" s="5">
        <f t="shared" si="36"/>
        <v>0</v>
      </c>
      <c r="L230">
        <f t="shared" si="37"/>
        <v>85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-22.945838861192485</v>
      </c>
      <c r="F231" s="1">
        <f t="shared" si="43"/>
        <v>-24.947871670391542</v>
      </c>
      <c r="G231" s="1">
        <f t="shared" si="40"/>
        <v>1.4631100663688976E-11</v>
      </c>
      <c r="H231" s="1">
        <f t="shared" si="33"/>
        <v>1.4361490812576833E-12</v>
      </c>
      <c r="I231">
        <f t="shared" si="34"/>
        <v>60</v>
      </c>
      <c r="J231">
        <f t="shared" si="35"/>
        <v>144</v>
      </c>
      <c r="K231" s="5">
        <f t="shared" si="36"/>
        <v>0</v>
      </c>
      <c r="L231">
        <f t="shared" si="37"/>
        <v>85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-23.067535796170006</v>
      </c>
      <c r="F232" s="1">
        <f t="shared" si="43"/>
        <v>-25.069568605369064</v>
      </c>
      <c r="G232" s="1">
        <f t="shared" si="40"/>
        <v>1.2954620379307929E-11</v>
      </c>
      <c r="H232" s="1">
        <f t="shared" si="33"/>
        <v>1.2715903323635721E-12</v>
      </c>
      <c r="I232">
        <f t="shared" si="34"/>
        <v>60</v>
      </c>
      <c r="J232">
        <f t="shared" si="35"/>
        <v>145</v>
      </c>
      <c r="K232" s="5">
        <f t="shared" si="36"/>
        <v>0</v>
      </c>
      <c r="L232">
        <f t="shared" si="37"/>
        <v>85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-23.189232731147527</v>
      </c>
      <c r="F233" s="1">
        <f t="shared" si="43"/>
        <v>-25.191265540346585</v>
      </c>
      <c r="G233" s="1">
        <f t="shared" si="40"/>
        <v>1.1470236794178879E-11</v>
      </c>
      <c r="H233" s="1">
        <f t="shared" si="33"/>
        <v>1.1258872734469111E-12</v>
      </c>
      <c r="I233">
        <f t="shared" si="34"/>
        <v>60</v>
      </c>
      <c r="J233">
        <f t="shared" si="35"/>
        <v>146</v>
      </c>
      <c r="K233" s="5">
        <f t="shared" si="36"/>
        <v>0</v>
      </c>
      <c r="L233">
        <f t="shared" si="37"/>
        <v>85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-23.310929666125048</v>
      </c>
      <c r="F234" s="1">
        <f t="shared" si="43"/>
        <v>-25.312962475324106</v>
      </c>
      <c r="G234" s="1">
        <f t="shared" si="40"/>
        <v>1.0155938828179202E-11</v>
      </c>
      <c r="H234" s="1">
        <f t="shared" si="33"/>
        <v>9.9687935669778453E-13</v>
      </c>
      <c r="I234">
        <f t="shared" si="34"/>
        <v>60</v>
      </c>
      <c r="J234">
        <f t="shared" si="35"/>
        <v>147</v>
      </c>
      <c r="K234" s="5">
        <f t="shared" si="36"/>
        <v>0</v>
      </c>
      <c r="L234">
        <f t="shared" si="37"/>
        <v>85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-23.432626601102569</v>
      </c>
      <c r="F235" s="1">
        <f t="shared" si="43"/>
        <v>-25.434659410301627</v>
      </c>
      <c r="G235" s="1">
        <f t="shared" si="40"/>
        <v>8.992237504116988E-12</v>
      </c>
      <c r="H235" s="1">
        <f t="shared" si="33"/>
        <v>8.8265359707616204E-13</v>
      </c>
      <c r="I235">
        <f t="shared" si="34"/>
        <v>60</v>
      </c>
      <c r="J235">
        <f t="shared" si="35"/>
        <v>148</v>
      </c>
      <c r="K235" s="5">
        <f t="shared" si="36"/>
        <v>0</v>
      </c>
      <c r="L235">
        <f t="shared" si="37"/>
        <v>85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-23.554323536080091</v>
      </c>
      <c r="F236" s="1">
        <f t="shared" si="43"/>
        <v>-25.556356345279148</v>
      </c>
      <c r="G236" s="1">
        <f t="shared" si="40"/>
        <v>7.9618769567702393E-12</v>
      </c>
      <c r="H236" s="1">
        <f t="shared" si="33"/>
        <v>7.8151620574451744E-13</v>
      </c>
      <c r="I236">
        <f t="shared" si="34"/>
        <v>60</v>
      </c>
      <c r="J236">
        <f t="shared" si="35"/>
        <v>149</v>
      </c>
      <c r="K236" s="5">
        <f t="shared" si="36"/>
        <v>0</v>
      </c>
      <c r="L236">
        <f t="shared" si="37"/>
        <v>85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-23.676020471057612</v>
      </c>
      <c r="F237" s="1">
        <f t="shared" si="43"/>
        <v>-25.67805328025667</v>
      </c>
      <c r="G237" s="1">
        <f t="shared" si="40"/>
        <v>7.049578555473639E-12</v>
      </c>
      <c r="H237" s="1">
        <f t="shared" si="33"/>
        <v>6.9196747383629045E-13</v>
      </c>
      <c r="I237">
        <f t="shared" si="34"/>
        <v>60</v>
      </c>
      <c r="J237">
        <f t="shared" si="35"/>
        <v>150</v>
      </c>
      <c r="K237" s="5">
        <f t="shared" si="36"/>
        <v>0</v>
      </c>
      <c r="L237">
        <f t="shared" si="37"/>
        <v>85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-23.797717406035133</v>
      </c>
      <c r="F238" s="1">
        <f t="shared" si="43"/>
        <v>-25.799750215234191</v>
      </c>
      <c r="G238" s="1">
        <f t="shared" si="40"/>
        <v>6.2418143459922757E-12</v>
      </c>
      <c r="H238" s="1">
        <f t="shared" si="33"/>
        <v>6.1267953412588132E-13</v>
      </c>
      <c r="I238">
        <f t="shared" si="34"/>
        <v>60</v>
      </c>
      <c r="J238">
        <f t="shared" si="35"/>
        <v>151</v>
      </c>
      <c r="K238" s="5">
        <f t="shared" si="36"/>
        <v>0</v>
      </c>
      <c r="L238">
        <f t="shared" si="37"/>
        <v>85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-23.919414341012654</v>
      </c>
      <c r="F239" s="1">
        <f t="shared" si="43"/>
        <v>-25.921447150211712</v>
      </c>
      <c r="G239" s="1">
        <f t="shared" si="40"/>
        <v>5.5266064521806533E-12</v>
      </c>
      <c r="H239" s="1">
        <f t="shared" si="33"/>
        <v>5.4247667084062329E-13</v>
      </c>
      <c r="I239">
        <f t="shared" si="34"/>
        <v>60</v>
      </c>
      <c r="J239">
        <f t="shared" si="35"/>
        <v>152</v>
      </c>
      <c r="K239" s="5">
        <f t="shared" si="36"/>
        <v>0</v>
      </c>
      <c r="L239">
        <f t="shared" si="37"/>
        <v>85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-24.041111275990175</v>
      </c>
      <c r="F240" s="1">
        <f t="shared" si="43"/>
        <v>-26.043144085189233</v>
      </c>
      <c r="G240" s="1">
        <f t="shared" si="40"/>
        <v>4.8933494628682792E-12</v>
      </c>
      <c r="H240" s="1">
        <f t="shared" si="33"/>
        <v>4.8031788564013449E-13</v>
      </c>
      <c r="I240">
        <f t="shared" si="34"/>
        <v>60</v>
      </c>
      <c r="J240">
        <f t="shared" si="35"/>
        <v>153</v>
      </c>
      <c r="K240" s="5">
        <f t="shared" si="36"/>
        <v>0</v>
      </c>
      <c r="L240">
        <f t="shared" si="37"/>
        <v>85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-24.162808210967697</v>
      </c>
      <c r="F241" s="1">
        <f t="shared" si="43"/>
        <v>-26.164841020166755</v>
      </c>
      <c r="G241" s="1">
        <f t="shared" si="40"/>
        <v>4.3326531702479495E-12</v>
      </c>
      <c r="H241" s="1">
        <f t="shared" si="33"/>
        <v>4.252814612438685E-13</v>
      </c>
      <c r="I241">
        <f t="shared" si="34"/>
        <v>60</v>
      </c>
      <c r="J241">
        <f t="shared" si="35"/>
        <v>154</v>
      </c>
      <c r="K241" s="5">
        <f t="shared" si="36"/>
        <v>0</v>
      </c>
      <c r="L241">
        <f t="shared" si="37"/>
        <v>85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-24.284505145945218</v>
      </c>
      <c r="F242" s="1">
        <f t="shared" si="43"/>
        <v>-26.286537955144276</v>
      </c>
      <c r="G242" s="1">
        <f t="shared" si="40"/>
        <v>3.8362033278237002E-12</v>
      </c>
      <c r="H242" s="1">
        <f t="shared" si="33"/>
        <v>3.7655129380967473E-13</v>
      </c>
      <c r="I242">
        <f t="shared" si="34"/>
        <v>60</v>
      </c>
      <c r="J242">
        <f t="shared" si="35"/>
        <v>155</v>
      </c>
      <c r="K242" s="5">
        <f t="shared" si="36"/>
        <v>0</v>
      </c>
      <c r="L242">
        <f t="shared" si="37"/>
        <v>85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-24.406202080922739</v>
      </c>
      <c r="F243" s="1">
        <f t="shared" si="43"/>
        <v>-26.408234890121797</v>
      </c>
      <c r="G243" s="1">
        <f t="shared" si="40"/>
        <v>3.3966383631772293E-12</v>
      </c>
      <c r="H243" s="1">
        <f t="shared" si="33"/>
        <v>3.3340479139398233E-13</v>
      </c>
      <c r="I243">
        <f t="shared" si="34"/>
        <v>60</v>
      </c>
      <c r="J243">
        <f t="shared" si="35"/>
        <v>156</v>
      </c>
      <c r="K243" s="5">
        <f t="shared" si="36"/>
        <v>0</v>
      </c>
      <c r="L243">
        <f t="shared" si="37"/>
        <v>85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-24.52789901590026</v>
      </c>
      <c r="F244" s="1">
        <f t="shared" si="43"/>
        <v>-26.529931825099318</v>
      </c>
      <c r="G244" s="1">
        <f t="shared" si="40"/>
        <v>3.007440217396501E-12</v>
      </c>
      <c r="H244" s="1">
        <f t="shared" si="33"/>
        <v>2.9520215904675478E-13</v>
      </c>
      <c r="I244">
        <f t="shared" si="34"/>
        <v>60</v>
      </c>
      <c r="J244">
        <f t="shared" si="35"/>
        <v>157</v>
      </c>
      <c r="K244" s="5">
        <f t="shared" si="36"/>
        <v>0</v>
      </c>
      <c r="L244">
        <f t="shared" si="37"/>
        <v>85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-24.649595950877782</v>
      </c>
      <c r="F245" s="1">
        <f t="shared" si="43"/>
        <v>-26.651628760076839</v>
      </c>
      <c r="G245" s="1">
        <f t="shared" si="40"/>
        <v>2.6628376924864813E-12</v>
      </c>
      <c r="H245" s="1">
        <f t="shared" si="33"/>
        <v>2.613769116559804E-13</v>
      </c>
      <c r="I245">
        <f t="shared" si="34"/>
        <v>60</v>
      </c>
      <c r="J245">
        <f t="shared" si="35"/>
        <v>158</v>
      </c>
      <c r="K245" s="5">
        <f t="shared" si="36"/>
        <v>0</v>
      </c>
      <c r="L245">
        <f t="shared" si="37"/>
        <v>85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-24.771292885855303</v>
      </c>
      <c r="F246" s="1">
        <f t="shared" si="43"/>
        <v>-26.773325695054361</v>
      </c>
      <c r="G246" s="1">
        <f t="shared" si="40"/>
        <v>2.3577208735557353E-12</v>
      </c>
      <c r="H246" s="1">
        <f t="shared" si="33"/>
        <v>2.3142747386206566E-13</v>
      </c>
      <c r="I246">
        <f t="shared" si="34"/>
        <v>60</v>
      </c>
      <c r="J246">
        <f t="shared" si="35"/>
        <v>159</v>
      </c>
      <c r="K246" s="5">
        <f t="shared" si="36"/>
        <v>0</v>
      </c>
      <c r="L246">
        <f t="shared" si="37"/>
        <v>85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-24.892989820832824</v>
      </c>
      <c r="F247" s="1">
        <f t="shared" si="43"/>
        <v>-26.895022630031882</v>
      </c>
      <c r="G247" s="1">
        <f t="shared" si="40"/>
        <v>2.0875653567941379E-12</v>
      </c>
      <c r="H247" s="1">
        <f t="shared" si="33"/>
        <v>2.0490974248203704E-13</v>
      </c>
      <c r="I247">
        <f t="shared" si="34"/>
        <v>60</v>
      </c>
      <c r="J247">
        <f t="shared" si="35"/>
        <v>160</v>
      </c>
      <c r="K247" s="5">
        <f t="shared" si="36"/>
        <v>0</v>
      </c>
      <c r="L247">
        <f t="shared" si="37"/>
        <v>85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-25.014686755810345</v>
      </c>
      <c r="F248" s="1">
        <f t="shared" si="43"/>
        <v>-27.016719565009403</v>
      </c>
      <c r="G248" s="1">
        <f t="shared" si="40"/>
        <v>1.8483651596614733E-12</v>
      </c>
      <c r="H248" s="1">
        <f t="shared" si="33"/>
        <v>1.8143050115596999E-13</v>
      </c>
      <c r="I248">
        <f t="shared" si="34"/>
        <v>60</v>
      </c>
      <c r="J248">
        <f t="shared" si="35"/>
        <v>161</v>
      </c>
      <c r="K248" s="5">
        <f t="shared" si="36"/>
        <v>0</v>
      </c>
      <c r="L248">
        <f t="shared" si="37"/>
        <v>85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-25.136383690787866</v>
      </c>
      <c r="F249" s="1">
        <f t="shared" si="43"/>
        <v>-27.138416499986924</v>
      </c>
      <c r="G249" s="1">
        <f t="shared" si="40"/>
        <v>1.6365733184502606E-12</v>
      </c>
      <c r="H249" s="1">
        <f t="shared" si="33"/>
        <v>1.6064158956518155E-13</v>
      </c>
      <c r="I249">
        <f t="shared" si="34"/>
        <v>60</v>
      </c>
      <c r="J249">
        <f t="shared" si="35"/>
        <v>162</v>
      </c>
      <c r="K249" s="5">
        <f t="shared" si="36"/>
        <v>0</v>
      </c>
      <c r="L249">
        <f t="shared" si="37"/>
        <v>85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-25.258080625765388</v>
      </c>
      <c r="F250" s="1">
        <f t="shared" si="43"/>
        <v>-27.260113434964445</v>
      </c>
      <c r="G250" s="1">
        <f t="shared" si="40"/>
        <v>1.4490492923778329E-12</v>
      </c>
      <c r="H250" s="1">
        <f t="shared" si="33"/>
        <v>1.4223474076083763E-13</v>
      </c>
      <c r="I250">
        <f t="shared" si="34"/>
        <v>60</v>
      </c>
      <c r="J250">
        <f t="shared" si="35"/>
        <v>163</v>
      </c>
      <c r="K250" s="5">
        <f t="shared" si="36"/>
        <v>0</v>
      </c>
      <c r="L250">
        <f t="shared" si="37"/>
        <v>85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-25.379777560742909</v>
      </c>
      <c r="F251" s="1">
        <f t="shared" si="43"/>
        <v>-27.381810369941967</v>
      </c>
      <c r="G251" s="1">
        <f t="shared" si="40"/>
        <v>1.283012394292871E-12</v>
      </c>
      <c r="H251" s="1">
        <f t="shared" si="33"/>
        <v>1.2593701004865814E-13</v>
      </c>
      <c r="I251">
        <f t="shared" si="34"/>
        <v>60</v>
      </c>
      <c r="J251">
        <f t="shared" si="35"/>
        <v>164</v>
      </c>
      <c r="K251" s="5">
        <f t="shared" si="36"/>
        <v>0</v>
      </c>
      <c r="L251">
        <f t="shared" si="37"/>
        <v>85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-25.50147449572043</v>
      </c>
      <c r="F252" s="1">
        <f t="shared" si="43"/>
        <v>-27.503507304919488</v>
      </c>
      <c r="G252" s="1">
        <f t="shared" si="40"/>
        <v>1.1360005574468113E-12</v>
      </c>
      <c r="H252" s="1">
        <f t="shared" si="33"/>
        <v>1.1150672764724924E-13</v>
      </c>
      <c r="I252">
        <f t="shared" si="34"/>
        <v>60</v>
      </c>
      <c r="J252">
        <f t="shared" si="35"/>
        <v>165</v>
      </c>
      <c r="K252" s="5">
        <f t="shared" si="36"/>
        <v>0</v>
      </c>
      <c r="L252">
        <f t="shared" si="37"/>
        <v>85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-25.623171430697951</v>
      </c>
      <c r="F253" s="1">
        <f t="shared" si="43"/>
        <v>-27.625204239897009</v>
      </c>
      <c r="G253" s="1">
        <f t="shared" si="40"/>
        <v>1.0058338269060295E-12</v>
      </c>
      <c r="H253" s="1">
        <f t="shared" si="33"/>
        <v>9.872991510433513E-14</v>
      </c>
      <c r="I253">
        <f t="shared" si="34"/>
        <v>60</v>
      </c>
      <c r="J253">
        <f t="shared" si="35"/>
        <v>166</v>
      </c>
      <c r="K253" s="5">
        <f t="shared" si="36"/>
        <v>0</v>
      </c>
      <c r="L253">
        <f t="shared" si="37"/>
        <v>85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-25.744868365675472</v>
      </c>
      <c r="F254" s="1">
        <f t="shared" si="43"/>
        <v>-27.74690117487453</v>
      </c>
      <c r="G254" s="1">
        <f t="shared" si="40"/>
        <v>8.9058203423971224E-13</v>
      </c>
      <c r="H254" s="1">
        <f t="shared" si="33"/>
        <v>8.7417112331963256E-14</v>
      </c>
      <c r="I254">
        <f t="shared" si="34"/>
        <v>60</v>
      </c>
      <c r="J254">
        <f t="shared" si="35"/>
        <v>167</v>
      </c>
      <c r="K254" s="5">
        <f t="shared" si="36"/>
        <v>0</v>
      </c>
      <c r="L254">
        <f t="shared" si="37"/>
        <v>85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-25.866565300652994</v>
      </c>
      <c r="F255" s="1">
        <f t="shared" si="43"/>
        <v>-27.868598109852051</v>
      </c>
      <c r="G255" s="1">
        <f t="shared" si="40"/>
        <v>7.885361761497441E-13</v>
      </c>
      <c r="H255" s="1">
        <f t="shared" si="33"/>
        <v>7.7400568210592366E-14</v>
      </c>
      <c r="I255">
        <f t="shared" si="34"/>
        <v>60</v>
      </c>
      <c r="J255">
        <f t="shared" si="35"/>
        <v>168</v>
      </c>
      <c r="K255" s="5">
        <f t="shared" si="36"/>
        <v>0</v>
      </c>
      <c r="L255">
        <f t="shared" si="37"/>
        <v>85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-25.988262235630515</v>
      </c>
      <c r="F256" s="1">
        <f t="shared" si="43"/>
        <v>-27.990295044829573</v>
      </c>
      <c r="G256" s="1">
        <f t="shared" si="40"/>
        <v>6.9818307263258487E-13</v>
      </c>
      <c r="H256" s="1">
        <f t="shared" si="33"/>
        <v>6.8531753103128549E-14</v>
      </c>
      <c r="I256">
        <f t="shared" si="34"/>
        <v>60</v>
      </c>
      <c r="J256">
        <f t="shared" si="35"/>
        <v>169</v>
      </c>
      <c r="K256" s="5">
        <f t="shared" si="36"/>
        <v>0</v>
      </c>
      <c r="L256">
        <f t="shared" si="37"/>
        <v>85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-26.109959170608036</v>
      </c>
      <c r="F257" s="1">
        <f t="shared" si="43"/>
        <v>-28.111991979807094</v>
      </c>
      <c r="G257" s="1">
        <f t="shared" si="40"/>
        <v>6.181829288934337E-13</v>
      </c>
      <c r="H257" s="1">
        <f t="shared" si="33"/>
        <v>6.0679156393394988E-14</v>
      </c>
      <c r="I257">
        <f t="shared" si="34"/>
        <v>60</v>
      </c>
      <c r="J257">
        <f t="shared" si="35"/>
        <v>170</v>
      </c>
      <c r="K257" s="5">
        <f t="shared" si="36"/>
        <v>0</v>
      </c>
      <c r="L257">
        <f t="shared" si="37"/>
        <v>85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-26.231656105585557</v>
      </c>
      <c r="F258" s="1">
        <f t="shared" si="43"/>
        <v>-28.233688914784615</v>
      </c>
      <c r="G258" s="1">
        <f t="shared" si="40"/>
        <v>5.4734946829106025E-13</v>
      </c>
      <c r="H258" s="1">
        <f t="shared" si="33"/>
        <v>5.3726336389985062E-14</v>
      </c>
      <c r="I258">
        <f t="shared" si="34"/>
        <v>60</v>
      </c>
      <c r="J258">
        <f t="shared" si="35"/>
        <v>171</v>
      </c>
      <c r="K258" s="5">
        <f t="shared" si="36"/>
        <v>0</v>
      </c>
      <c r="L258">
        <f t="shared" si="37"/>
        <v>85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-26.353353040563078</v>
      </c>
      <c r="F259" s="1">
        <f t="shared" si="43"/>
        <v>-28.355385849762136</v>
      </c>
      <c r="G259" s="1">
        <f t="shared" si="40"/>
        <v>4.8463234171604231E-13</v>
      </c>
      <c r="H259" s="1">
        <f t="shared" si="33"/>
        <v>4.7570193678632547E-14</v>
      </c>
      <c r="I259">
        <f t="shared" si="34"/>
        <v>60</v>
      </c>
      <c r="J259">
        <f t="shared" si="35"/>
        <v>172</v>
      </c>
      <c r="K259" s="5">
        <f t="shared" si="36"/>
        <v>0</v>
      </c>
      <c r="L259">
        <f t="shared" si="37"/>
        <v>85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-26.4750499755406</v>
      </c>
      <c r="F260" s="1">
        <f t="shared" si="43"/>
        <v>-28.477082784739657</v>
      </c>
      <c r="G260" s="1">
        <f t="shared" si="40"/>
        <v>4.291015525610785E-13</v>
      </c>
      <c r="H260" s="1">
        <f t="shared" si="33"/>
        <v>4.2119442319622509E-14</v>
      </c>
      <c r="I260">
        <f t="shared" si="34"/>
        <v>60</v>
      </c>
      <c r="J260">
        <f t="shared" si="35"/>
        <v>173</v>
      </c>
      <c r="K260" s="5">
        <f t="shared" si="36"/>
        <v>0</v>
      </c>
      <c r="L260">
        <f t="shared" si="37"/>
        <v>85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-26.596746910518121</v>
      </c>
      <c r="F261" s="1">
        <f t="shared" si="43"/>
        <v>-28.598779719717179</v>
      </c>
      <c r="G261" s="1">
        <f t="shared" si="40"/>
        <v>3.7993366633012106E-13</v>
      </c>
      <c r="H261" s="1">
        <f t="shared" si="33"/>
        <v>3.7293256220499042E-14</v>
      </c>
      <c r="I261">
        <f t="shared" si="34"/>
        <v>60</v>
      </c>
      <c r="J261">
        <f t="shared" si="35"/>
        <v>174</v>
      </c>
      <c r="K261" s="5">
        <f t="shared" si="36"/>
        <v>0</v>
      </c>
      <c r="L261">
        <f t="shared" si="37"/>
        <v>85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-26.718443845495642</v>
      </c>
      <c r="F262" s="1">
        <f t="shared" si="43"/>
        <v>-28.7204766546947</v>
      </c>
      <c r="G262" s="1">
        <f t="shared" si="40"/>
        <v>3.3639960039646087E-13</v>
      </c>
      <c r="H262" s="1">
        <f t="shared" si="33"/>
        <v>3.3020070611900151E-14</v>
      </c>
      <c r="I262">
        <f t="shared" si="34"/>
        <v>60</v>
      </c>
      <c r="J262">
        <f t="shared" si="35"/>
        <v>175</v>
      </c>
      <c r="K262" s="5">
        <f t="shared" si="36"/>
        <v>0</v>
      </c>
      <c r="L262">
        <f t="shared" si="37"/>
        <v>85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-26.840140780473163</v>
      </c>
      <c r="F263" s="1">
        <f t="shared" si="43"/>
        <v>-28.842173589672221</v>
      </c>
      <c r="G263" s="1">
        <f t="shared" si="40"/>
        <v>2.9785381285103262E-13</v>
      </c>
      <c r="H263" s="1">
        <f t="shared" si="33"/>
        <v>2.9236520854286547E-14</v>
      </c>
      <c r="I263">
        <f t="shared" si="34"/>
        <v>60</v>
      </c>
      <c r="J263">
        <f t="shared" si="35"/>
        <v>176</v>
      </c>
      <c r="K263" s="5">
        <f t="shared" si="36"/>
        <v>0</v>
      </c>
      <c r="L263">
        <f t="shared" si="37"/>
        <v>85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-26.961837715450685</v>
      </c>
      <c r="F264" s="1">
        <f t="shared" si="43"/>
        <v>-28.963870524649742</v>
      </c>
      <c r="G264" s="1">
        <f t="shared" si="40"/>
        <v>2.6372473012851809E-13</v>
      </c>
      <c r="H264" s="1">
        <f t="shared" si="33"/>
        <v>2.5886502839732844E-14</v>
      </c>
      <c r="I264">
        <f t="shared" si="34"/>
        <v>60</v>
      </c>
      <c r="J264">
        <f t="shared" si="35"/>
        <v>177</v>
      </c>
      <c r="K264" s="5">
        <f t="shared" si="36"/>
        <v>0</v>
      </c>
      <c r="L264">
        <f t="shared" si="37"/>
        <v>85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-27.083534650428206</v>
      </c>
      <c r="F265" s="1">
        <f t="shared" si="43"/>
        <v>-29.085567459627264</v>
      </c>
      <c r="G265" s="1">
        <f t="shared" si="40"/>
        <v>2.3350627146795838E-13</v>
      </c>
      <c r="H265" s="1">
        <f t="shared" si="33"/>
        <v>2.2920341056013419E-14</v>
      </c>
      <c r="I265">
        <f t="shared" si="34"/>
        <v>60</v>
      </c>
      <c r="J265">
        <f t="shared" si="35"/>
        <v>178</v>
      </c>
      <c r="K265" s="5">
        <f t="shared" si="36"/>
        <v>0</v>
      </c>
      <c r="L265">
        <f t="shared" si="37"/>
        <v>85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-27.205231585405727</v>
      </c>
      <c r="F266" s="1">
        <f t="shared" si="43"/>
        <v>-29.207264394604785</v>
      </c>
      <c r="G266" s="1">
        <f t="shared" si="40"/>
        <v>2.0675034452892121E-13</v>
      </c>
      <c r="H266" s="1">
        <f t="shared" si="33"/>
        <v>2.0294051976678521E-14</v>
      </c>
      <c r="I266">
        <f t="shared" si="34"/>
        <v>60</v>
      </c>
      <c r="J266">
        <f t="shared" si="35"/>
        <v>179</v>
      </c>
      <c r="K266" s="5">
        <f t="shared" si="36"/>
        <v>0</v>
      </c>
      <c r="L266">
        <f t="shared" si="37"/>
        <v>85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-27.326928520383248</v>
      </c>
      <c r="F267" s="1">
        <f t="shared" si="43"/>
        <v>-29.328961329582306</v>
      </c>
      <c r="G267" s="1">
        <f t="shared" si="40"/>
        <v>1.8306020088498205E-13</v>
      </c>
      <c r="H267" s="1">
        <f t="shared" si="33"/>
        <v>1.7968691854350746E-14</v>
      </c>
      <c r="I267">
        <f t="shared" si="34"/>
        <v>60</v>
      </c>
      <c r="J267">
        <f t="shared" si="35"/>
        <v>180</v>
      </c>
      <c r="K267" s="5">
        <f t="shared" si="36"/>
        <v>0</v>
      </c>
      <c r="L267">
        <f t="shared" si="37"/>
        <v>85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-27.448625455360769</v>
      </c>
      <c r="F268" s="1">
        <f t="shared" si="43"/>
        <v>-29.450658264559827</v>
      </c>
      <c r="G268" s="1">
        <f t="shared" si="40"/>
        <v>1.6208455286691097E-13</v>
      </c>
      <c r="H268" s="1">
        <f t="shared" si="33"/>
        <v>1.5909779246039703E-14</v>
      </c>
      <c r="I268">
        <f t="shared" si="34"/>
        <v>60</v>
      </c>
      <c r="J268">
        <f t="shared" si="35"/>
        <v>181</v>
      </c>
      <c r="K268" s="5">
        <f t="shared" si="36"/>
        <v>0</v>
      </c>
      <c r="L268">
        <f t="shared" si="37"/>
        <v>85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-27.570322390338291</v>
      </c>
      <c r="F269" s="1">
        <f t="shared" si="43"/>
        <v>-29.572355199537348</v>
      </c>
      <c r="G269" s="1">
        <f t="shared" si="40"/>
        <v>1.4351236451757721E-13</v>
      </c>
      <c r="H269" s="1">
        <f t="shared" si="33"/>
        <v>1.4086783707430967E-14</v>
      </c>
      <c r="I269">
        <f t="shared" si="34"/>
        <v>60</v>
      </c>
      <c r="J269">
        <f t="shared" si="35"/>
        <v>182</v>
      </c>
      <c r="K269" s="5">
        <f t="shared" si="36"/>
        <v>0</v>
      </c>
      <c r="L269">
        <f t="shared" si="37"/>
        <v>85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-27.692019325315812</v>
      </c>
      <c r="F270" s="1">
        <f t="shared" si="43"/>
        <v>-29.69405213451487</v>
      </c>
      <c r="G270" s="1">
        <f t="shared" si="40"/>
        <v>1.2706823941660464E-13</v>
      </c>
      <c r="H270" s="1">
        <f t="shared" si="33"/>
        <v>1.2472673074287817E-14</v>
      </c>
      <c r="I270">
        <f t="shared" si="34"/>
        <v>60</v>
      </c>
      <c r="J270">
        <f t="shared" si="35"/>
        <v>183</v>
      </c>
      <c r="K270" s="5">
        <f t="shared" si="36"/>
        <v>0</v>
      </c>
      <c r="L270">
        <f t="shared" si="37"/>
        <v>85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-27.813716260293333</v>
      </c>
      <c r="F271" s="1">
        <f t="shared" si="43"/>
        <v>-29.815749069492391</v>
      </c>
      <c r="G271" s="1">
        <f t="shared" si="40"/>
        <v>1.1250833698345186E-13</v>
      </c>
      <c r="H271" s="1">
        <f t="shared" si="33"/>
        <v>1.1043512617858989E-14</v>
      </c>
      <c r="I271">
        <f t="shared" si="34"/>
        <v>60</v>
      </c>
      <c r="J271">
        <f t="shared" si="35"/>
        <v>184</v>
      </c>
      <c r="K271" s="5">
        <f t="shared" si="36"/>
        <v>0</v>
      </c>
      <c r="L271">
        <f t="shared" si="37"/>
        <v>85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-27.935413195270854</v>
      </c>
      <c r="F272" s="1">
        <f t="shared" si="43"/>
        <v>-29.937446004469912</v>
      </c>
      <c r="G272" s="1">
        <f t="shared" si="40"/>
        <v>9.9616756704097864E-14</v>
      </c>
      <c r="H272" s="1">
        <f t="shared" si="33"/>
        <v>9.7781101303959654E-15</v>
      </c>
      <c r="I272">
        <f t="shared" si="34"/>
        <v>60</v>
      </c>
      <c r="J272">
        <f t="shared" si="35"/>
        <v>185</v>
      </c>
      <c r="K272" s="5">
        <f t="shared" si="36"/>
        <v>0</v>
      </c>
      <c r="L272">
        <f t="shared" si="37"/>
        <v>85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-28.057110130248375</v>
      </c>
      <c r="F273" s="1">
        <f t="shared" si="43"/>
        <v>-30.059142939447433</v>
      </c>
      <c r="G273" s="1">
        <f t="shared" si="40"/>
        <v>8.8202336665086523E-14</v>
      </c>
      <c r="H273" s="1">
        <f t="shared" si="33"/>
        <v>8.6577016779547487E-15</v>
      </c>
      <c r="I273">
        <f t="shared" si="34"/>
        <v>60</v>
      </c>
      <c r="J273">
        <f t="shared" si="35"/>
        <v>186</v>
      </c>
      <c r="K273" s="5">
        <f t="shared" si="36"/>
        <v>0</v>
      </c>
      <c r="L273">
        <f t="shared" si="37"/>
        <v>85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-28.178807065225897</v>
      </c>
      <c r="F274" s="1">
        <f t="shared" si="43"/>
        <v>-30.180839874424954</v>
      </c>
      <c r="G274" s="1">
        <f t="shared" si="40"/>
        <v>7.809581892221192E-14</v>
      </c>
      <c r="H274" s="1">
        <f t="shared" si="33"/>
        <v>7.6656733606890905E-15</v>
      </c>
      <c r="I274">
        <f t="shared" si="34"/>
        <v>60</v>
      </c>
      <c r="J274">
        <f t="shared" si="35"/>
        <v>187</v>
      </c>
      <c r="K274" s="5">
        <f t="shared" si="36"/>
        <v>0</v>
      </c>
      <c r="L274">
        <f t="shared" si="37"/>
        <v>85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-28.300504000203418</v>
      </c>
      <c r="F275" s="1">
        <f t="shared" si="43"/>
        <v>-30.302536809402476</v>
      </c>
      <c r="G275" s="1">
        <f t="shared" si="40"/>
        <v>6.9147339670708367E-14</v>
      </c>
      <c r="H275" s="1">
        <f t="shared" si="33"/>
        <v>6.7873149547767888E-15</v>
      </c>
      <c r="I275">
        <f t="shared" si="34"/>
        <v>60</v>
      </c>
      <c r="J275">
        <f t="shared" si="35"/>
        <v>188</v>
      </c>
      <c r="K275" s="5">
        <f t="shared" si="36"/>
        <v>0</v>
      </c>
      <c r="L275">
        <f t="shared" si="37"/>
        <v>85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-28.422200935180939</v>
      </c>
      <c r="F276" s="1">
        <f t="shared" si="43"/>
        <v>-30.424233744379997</v>
      </c>
      <c r="G276" s="1">
        <f t="shared" si="40"/>
        <v>6.1224207000106285E-14</v>
      </c>
      <c r="H276" s="1">
        <f t="shared" si="33"/>
        <v>6.0096017828752735E-15</v>
      </c>
      <c r="I276">
        <f t="shared" si="34"/>
        <v>60</v>
      </c>
      <c r="J276">
        <f t="shared" si="35"/>
        <v>189</v>
      </c>
      <c r="K276" s="5">
        <f t="shared" si="36"/>
        <v>0</v>
      </c>
      <c r="L276">
        <f t="shared" si="37"/>
        <v>85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-28.54389787015846</v>
      </c>
      <c r="F277" s="1">
        <f t="shared" si="43"/>
        <v>-30.545930679357518</v>
      </c>
      <c r="G277" s="1">
        <f t="shared" si="40"/>
        <v>5.4208933281344023E-14</v>
      </c>
      <c r="H277" s="1">
        <f t="shared" si="33"/>
        <v>5.3210015785874735E-15</v>
      </c>
      <c r="I277">
        <f t="shared" si="34"/>
        <v>60</v>
      </c>
      <c r="J277">
        <f t="shared" si="35"/>
        <v>190</v>
      </c>
      <c r="K277" s="5">
        <f t="shared" si="36"/>
        <v>0</v>
      </c>
      <c r="L277">
        <f t="shared" si="37"/>
        <v>85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-28.665594805135981</v>
      </c>
      <c r="F278" s="1">
        <f t="shared" si="43"/>
        <v>-30.667627614335039</v>
      </c>
      <c r="G278" s="1">
        <f t="shared" si="40"/>
        <v>4.7997493009523287E-14</v>
      </c>
      <c r="H278" s="1">
        <f t="shared" si="33"/>
        <v>4.7113034810409856E-15</v>
      </c>
      <c r="I278">
        <f t="shared" si="34"/>
        <v>60</v>
      </c>
      <c r="J278">
        <f t="shared" si="35"/>
        <v>191</v>
      </c>
      <c r="K278" s="5">
        <f t="shared" si="36"/>
        <v>0</v>
      </c>
      <c r="L278">
        <f t="shared" si="37"/>
        <v>85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-28.787291740113503</v>
      </c>
      <c r="F279" s="1">
        <f t="shared" si="43"/>
        <v>-30.78932454931256</v>
      </c>
      <c r="G279" s="1">
        <f t="shared" si="40"/>
        <v>4.2497780268848685E-14</v>
      </c>
      <c r="H279" s="1">
        <f t="shared" ref="H279:H342" si="44">G279/$G$21</f>
        <v>4.1714666238383673E-15</v>
      </c>
      <c r="I279">
        <f t="shared" ref="I279:I342" si="45">IF($F$11&lt;=D279, IF(D279&lt;=$A$15,D279-$F$11,$C$11),0)</f>
        <v>60</v>
      </c>
      <c r="J279">
        <f t="shared" ref="J279:J342" si="46">IF(D279&lt;=$A$15,0,D279-$A$15)</f>
        <v>192</v>
      </c>
      <c r="K279" s="5">
        <f t="shared" ref="K279:K342" si="47">IF(D279&lt;$F$11,H279,0)</f>
        <v>0</v>
      </c>
      <c r="L279">
        <f t="shared" ref="L279:L342" si="48">IF(D279&lt;$A$15,$D$11,$D$11*(1-$H$11))</f>
        <v>85</v>
      </c>
      <c r="M279">
        <f t="shared" ref="M279:M342" si="49">IF(D279&lt;$A$15,0,1)</f>
        <v>1</v>
      </c>
      <c r="N279">
        <f t="shared" ref="N279:N342" si="50">IF(SUM(I279:J279)&lt;=($G$11/60*$F$11/($E$11/60)),1,0)</f>
        <v>0</v>
      </c>
    </row>
    <row r="280" spans="4:14" x14ac:dyDescent="0.2">
      <c r="D280">
        <f t="shared" si="41"/>
        <v>257</v>
      </c>
      <c r="E280" s="1">
        <f t="shared" si="42"/>
        <v>-28.908988675091024</v>
      </c>
      <c r="F280" s="1">
        <f t="shared" si="43"/>
        <v>-30.911021484290082</v>
      </c>
      <c r="G280" s="1">
        <f t="shared" ref="G280:G343" si="51">EXP(F280)</f>
        <v>3.7628242946376385E-14</v>
      </c>
      <c r="H280" s="1">
        <f t="shared" si="44"/>
        <v>3.6934860731902157E-15</v>
      </c>
      <c r="I280">
        <f t="shared" si="45"/>
        <v>60</v>
      </c>
      <c r="J280">
        <f t="shared" si="46"/>
        <v>193</v>
      </c>
      <c r="K280" s="5">
        <f t="shared" si="47"/>
        <v>0</v>
      </c>
      <c r="L280">
        <f t="shared" si="48"/>
        <v>85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IF($H$11=1,IF(D281&lt;=$A$15, E280+LN($D$11)-LN(60/$E$11)-LN(MIN(D281,$F$11)), E280-LN(60/$E$11)-LN(MIN(D281,$F$11))), IF(D281&lt;=$A$15, E280+LN($D$11)-LN(60/$E$11)-LN(MIN(D281,$F$11)), E280+LN($D$11)+LN(1-$H$11)-LN(60/$E$11)-LN(MIN(D281,$F$11))))</f>
        <v>-29.030685610068545</v>
      </c>
      <c r="F281" s="1">
        <f t="shared" ref="F281:F344" si="54">E281-$E$21</f>
        <v>-31.032718419267603</v>
      </c>
      <c r="G281" s="1">
        <f t="shared" si="51"/>
        <v>3.331667344210404E-14</v>
      </c>
      <c r="H281" s="1">
        <f t="shared" si="44"/>
        <v>3.2702741273038314E-15</v>
      </c>
      <c r="I281">
        <f t="shared" si="45"/>
        <v>60</v>
      </c>
      <c r="J281">
        <f t="shared" si="46"/>
        <v>194</v>
      </c>
      <c r="K281" s="5">
        <f t="shared" si="47"/>
        <v>0</v>
      </c>
      <c r="L281">
        <f t="shared" si="48"/>
        <v>85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-29.152382545046066</v>
      </c>
      <c r="F282" s="1">
        <f t="shared" si="54"/>
        <v>-31.154415354245124</v>
      </c>
      <c r="G282" s="1">
        <f t="shared" si="51"/>
        <v>2.9499137943529579E-14</v>
      </c>
      <c r="H282" s="1">
        <f t="shared" si="44"/>
        <v>2.8955552168835968E-15</v>
      </c>
      <c r="I282">
        <f t="shared" si="45"/>
        <v>60</v>
      </c>
      <c r="J282">
        <f t="shared" si="46"/>
        <v>195</v>
      </c>
      <c r="K282" s="5">
        <f t="shared" si="47"/>
        <v>0</v>
      </c>
      <c r="L282">
        <f t="shared" si="48"/>
        <v>85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-29.274079480023588</v>
      </c>
      <c r="F283" s="1">
        <f t="shared" si="54"/>
        <v>-31.276112289222645</v>
      </c>
      <c r="G283" s="1">
        <f t="shared" si="51"/>
        <v>2.6119028387500112E-14</v>
      </c>
      <c r="H283" s="1">
        <f t="shared" si="44"/>
        <v>2.5637728482823478E-15</v>
      </c>
      <c r="I283">
        <f t="shared" si="45"/>
        <v>60</v>
      </c>
      <c r="J283">
        <f t="shared" si="46"/>
        <v>196</v>
      </c>
      <c r="K283" s="5">
        <f t="shared" si="47"/>
        <v>0</v>
      </c>
      <c r="L283">
        <f t="shared" si="48"/>
        <v>85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-29.395776415001109</v>
      </c>
      <c r="F284" s="1">
        <f t="shared" si="54"/>
        <v>-31.397809224200167</v>
      </c>
      <c r="G284" s="1">
        <f t="shared" si="51"/>
        <v>2.3126223051432355E-14</v>
      </c>
      <c r="H284" s="1">
        <f t="shared" si="44"/>
        <v>2.2700072094166587E-15</v>
      </c>
      <c r="I284">
        <f t="shared" si="45"/>
        <v>60</v>
      </c>
      <c r="J284">
        <f t="shared" si="46"/>
        <v>197</v>
      </c>
      <c r="K284" s="5">
        <f t="shared" si="47"/>
        <v>0</v>
      </c>
      <c r="L284">
        <f t="shared" si="48"/>
        <v>85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-29.51747334997863</v>
      </c>
      <c r="F285" s="1">
        <f t="shared" si="54"/>
        <v>-31.519506159177688</v>
      </c>
      <c r="G285" s="1">
        <f t="shared" si="51"/>
        <v>2.0476343326789038E-14</v>
      </c>
      <c r="H285" s="1">
        <f t="shared" si="44"/>
        <v>2.0099022166709973E-15</v>
      </c>
      <c r="I285">
        <f t="shared" si="45"/>
        <v>60</v>
      </c>
      <c r="J285">
        <f t="shared" si="46"/>
        <v>198</v>
      </c>
      <c r="K285" s="5">
        <f t="shared" si="47"/>
        <v>0</v>
      </c>
      <c r="L285">
        <f t="shared" si="48"/>
        <v>85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-29.639170284956151</v>
      </c>
      <c r="F286" s="1">
        <f t="shared" si="54"/>
        <v>-31.641203094155209</v>
      </c>
      <c r="G286" s="1">
        <f t="shared" si="51"/>
        <v>1.8130095653927768E-14</v>
      </c>
      <c r="H286" s="1">
        <f t="shared" si="44"/>
        <v>1.7796009210107764E-15</v>
      </c>
      <c r="I286">
        <f t="shared" si="45"/>
        <v>60</v>
      </c>
      <c r="J286">
        <f t="shared" si="46"/>
        <v>199</v>
      </c>
      <c r="K286" s="5">
        <f t="shared" si="47"/>
        <v>0</v>
      </c>
      <c r="L286">
        <f t="shared" si="48"/>
        <v>85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-29.760867219933672</v>
      </c>
      <c r="F287" s="1">
        <f t="shared" si="54"/>
        <v>-31.76290002913273</v>
      </c>
      <c r="G287" s="1">
        <f t="shared" si="51"/>
        <v>1.605268886024852E-14</v>
      </c>
      <c r="H287" s="1">
        <f t="shared" si="44"/>
        <v>1.575688315478289E-15</v>
      </c>
      <c r="I287">
        <f t="shared" si="45"/>
        <v>60</v>
      </c>
      <c r="J287">
        <f t="shared" si="46"/>
        <v>200</v>
      </c>
      <c r="K287" s="5">
        <f t="shared" si="47"/>
        <v>0</v>
      </c>
      <c r="L287">
        <f t="shared" si="48"/>
        <v>85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-29.882564154911194</v>
      </c>
      <c r="F288" s="1">
        <f t="shared" si="54"/>
        <v>-31.884596964110251</v>
      </c>
      <c r="G288" s="1">
        <f t="shared" si="51"/>
        <v>1.4213318261678357E-14</v>
      </c>
      <c r="H288" s="1">
        <f t="shared" si="44"/>
        <v>1.3951406959963999E-15</v>
      </c>
      <c r="I288">
        <f t="shared" si="45"/>
        <v>60</v>
      </c>
      <c r="J288">
        <f t="shared" si="46"/>
        <v>201</v>
      </c>
      <c r="K288" s="5">
        <f t="shared" si="47"/>
        <v>0</v>
      </c>
      <c r="L288">
        <f t="shared" si="48"/>
        <v>85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-30.004261089888715</v>
      </c>
      <c r="F289" s="1">
        <f t="shared" si="54"/>
        <v>-32.006293899087773</v>
      </c>
      <c r="G289" s="1">
        <f t="shared" si="51"/>
        <v>1.2584708877527694E-14</v>
      </c>
      <c r="H289" s="1">
        <f t="shared" si="44"/>
        <v>1.2352808245801438E-15</v>
      </c>
      <c r="I289">
        <f t="shared" si="45"/>
        <v>60</v>
      </c>
      <c r="J289">
        <f t="shared" si="46"/>
        <v>202</v>
      </c>
      <c r="K289" s="5">
        <f t="shared" si="47"/>
        <v>0</v>
      </c>
      <c r="L289">
        <f t="shared" si="48"/>
        <v>85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-30.125958024866236</v>
      </c>
      <c r="F290" s="1">
        <f t="shared" si="54"/>
        <v>-32.127990834065294</v>
      </c>
      <c r="G290" s="1">
        <f t="shared" si="51"/>
        <v>1.1142710985310963E-14</v>
      </c>
      <c r="H290" s="1">
        <f t="shared" si="44"/>
        <v>1.0937382300970009E-15</v>
      </c>
      <c r="I290">
        <f t="shared" si="45"/>
        <v>60</v>
      </c>
      <c r="J290">
        <f t="shared" si="46"/>
        <v>203</v>
      </c>
      <c r="K290" s="5">
        <f t="shared" si="47"/>
        <v>0</v>
      </c>
      <c r="L290">
        <f t="shared" si="48"/>
        <v>85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-30.247654959843757</v>
      </c>
      <c r="F291" s="1">
        <f t="shared" si="54"/>
        <v>-32.249687769042815</v>
      </c>
      <c r="G291" s="1">
        <f t="shared" si="51"/>
        <v>9.8659420182440682E-15</v>
      </c>
      <c r="H291" s="1">
        <f t="shared" si="44"/>
        <v>9.6841405789838477E-16</v>
      </c>
      <c r="I291">
        <f t="shared" si="45"/>
        <v>60</v>
      </c>
      <c r="J291">
        <f t="shared" si="46"/>
        <v>204</v>
      </c>
      <c r="K291" s="5">
        <f t="shared" si="47"/>
        <v>0</v>
      </c>
      <c r="L291">
        <f t="shared" si="48"/>
        <v>85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-30.369351894821278</v>
      </c>
      <c r="F292" s="1">
        <f t="shared" si="54"/>
        <v>-32.371384704020336</v>
      </c>
      <c r="G292" s="1">
        <f t="shared" si="51"/>
        <v>8.735469495320257E-15</v>
      </c>
      <c r="H292" s="1">
        <f t="shared" si="44"/>
        <v>8.5744994709752708E-16</v>
      </c>
      <c r="I292">
        <f t="shared" si="45"/>
        <v>60</v>
      </c>
      <c r="J292">
        <f t="shared" si="46"/>
        <v>205</v>
      </c>
      <c r="K292" s="5">
        <f t="shared" si="47"/>
        <v>0</v>
      </c>
      <c r="L292">
        <f t="shared" si="48"/>
        <v>85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-30.4910488297988</v>
      </c>
      <c r="F293" s="1">
        <f t="shared" si="54"/>
        <v>-32.493081638997857</v>
      </c>
      <c r="G293" s="1">
        <f t="shared" si="51"/>
        <v>7.7345302823147993E-15</v>
      </c>
      <c r="H293" s="1">
        <f t="shared" si="44"/>
        <v>7.5920047399260096E-16</v>
      </c>
      <c r="I293">
        <f t="shared" si="45"/>
        <v>60</v>
      </c>
      <c r="J293">
        <f t="shared" si="46"/>
        <v>206</v>
      </c>
      <c r="K293" s="5">
        <f t="shared" si="47"/>
        <v>0</v>
      </c>
      <c r="L293">
        <f t="shared" si="48"/>
        <v>85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-30.612745764776321</v>
      </c>
      <c r="F294" s="1">
        <f t="shared" si="54"/>
        <v>-32.614778573975379</v>
      </c>
      <c r="G294" s="1">
        <f t="shared" si="51"/>
        <v>6.8482820207995521E-15</v>
      </c>
      <c r="H294" s="1">
        <f t="shared" si="44"/>
        <v>6.7220875301428116E-16</v>
      </c>
      <c r="I294">
        <f t="shared" si="45"/>
        <v>60</v>
      </c>
      <c r="J294">
        <f t="shared" si="46"/>
        <v>207</v>
      </c>
      <c r="K294" s="5">
        <f t="shared" si="47"/>
        <v>0</v>
      </c>
      <c r="L294">
        <f t="shared" si="48"/>
        <v>85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-30.734442699753842</v>
      </c>
      <c r="F295" s="1">
        <f t="shared" si="54"/>
        <v>-32.7364755089529</v>
      </c>
      <c r="G295" s="1">
        <f t="shared" si="51"/>
        <v>6.0635830392495945E-15</v>
      </c>
      <c r="H295" s="1">
        <f t="shared" si="44"/>
        <v>5.9518483339806061E-16</v>
      </c>
      <c r="I295">
        <f t="shared" si="45"/>
        <v>60</v>
      </c>
      <c r="J295">
        <f t="shared" si="46"/>
        <v>208</v>
      </c>
      <c r="K295" s="5">
        <f t="shared" si="47"/>
        <v>0</v>
      </c>
      <c r="L295">
        <f t="shared" si="48"/>
        <v>85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-30.856139634731363</v>
      </c>
      <c r="F296" s="1">
        <f t="shared" si="54"/>
        <v>-32.858172443930421</v>
      </c>
      <c r="G296" s="1">
        <f t="shared" si="51"/>
        <v>5.3687974826689046E-15</v>
      </c>
      <c r="H296" s="1">
        <f t="shared" si="44"/>
        <v>5.2698657123786538E-16</v>
      </c>
      <c r="I296">
        <f t="shared" si="45"/>
        <v>60</v>
      </c>
      <c r="J296">
        <f t="shared" si="46"/>
        <v>209</v>
      </c>
      <c r="K296" s="5">
        <f t="shared" si="47"/>
        <v>0</v>
      </c>
      <c r="L296">
        <f t="shared" si="48"/>
        <v>85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-30.977836569708884</v>
      </c>
      <c r="F297" s="1">
        <f t="shared" si="54"/>
        <v>-32.979869378907942</v>
      </c>
      <c r="G297" s="1">
        <f t="shared" si="51"/>
        <v>4.7536227711130855E-15</v>
      </c>
      <c r="H297" s="1">
        <f t="shared" si="44"/>
        <v>4.6660269328352597E-16</v>
      </c>
      <c r="I297">
        <f t="shared" si="45"/>
        <v>60</v>
      </c>
      <c r="J297">
        <f t="shared" si="46"/>
        <v>210</v>
      </c>
      <c r="K297" s="5">
        <f t="shared" si="47"/>
        <v>0</v>
      </c>
      <c r="L297">
        <f t="shared" si="48"/>
        <v>85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-31.099533504686406</v>
      </c>
      <c r="F298" s="1">
        <f t="shared" si="54"/>
        <v>-33.101566313885463</v>
      </c>
      <c r="G298" s="1">
        <f t="shared" si="51"/>
        <v>4.2089368285897051E-15</v>
      </c>
      <c r="H298" s="1">
        <f t="shared" si="44"/>
        <v>4.1313780134478804E-16</v>
      </c>
      <c r="I298">
        <f t="shared" si="45"/>
        <v>60</v>
      </c>
      <c r="J298">
        <f t="shared" si="46"/>
        <v>211</v>
      </c>
      <c r="K298" s="5">
        <f t="shared" si="47"/>
        <v>0</v>
      </c>
      <c r="L298">
        <f t="shared" si="48"/>
        <v>85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-31.221230439663927</v>
      </c>
      <c r="F299" s="1">
        <f t="shared" si="54"/>
        <v>-33.223263248862985</v>
      </c>
      <c r="G299" s="1">
        <f t="shared" si="51"/>
        <v>3.7266628169804629E-15</v>
      </c>
      <c r="H299" s="1">
        <f t="shared" si="44"/>
        <v>3.6579909494069725E-16</v>
      </c>
      <c r="I299">
        <f t="shared" si="45"/>
        <v>60</v>
      </c>
      <c r="J299">
        <f t="shared" si="46"/>
        <v>212</v>
      </c>
      <c r="K299" s="5">
        <f t="shared" si="47"/>
        <v>0</v>
      </c>
      <c r="L299">
        <f t="shared" si="48"/>
        <v>85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-31.342927374641448</v>
      </c>
      <c r="F300" s="1">
        <f t="shared" si="54"/>
        <v>-33.344960183840506</v>
      </c>
      <c r="G300" s="1">
        <f t="shared" si="51"/>
        <v>3.2996493692014468E-15</v>
      </c>
      <c r="H300" s="1">
        <f t="shared" si="44"/>
        <v>3.238846153120752E-16</v>
      </c>
      <c r="I300">
        <f t="shared" si="45"/>
        <v>60</v>
      </c>
      <c r="J300">
        <f t="shared" si="46"/>
        <v>213</v>
      </c>
      <c r="K300" s="5">
        <f t="shared" si="47"/>
        <v>0</v>
      </c>
      <c r="L300">
        <f t="shared" si="48"/>
        <v>85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-31.464624309618969</v>
      </c>
      <c r="F301" s="1">
        <f t="shared" si="54"/>
        <v>-33.466657118818027</v>
      </c>
      <c r="G301" s="1">
        <f t="shared" si="51"/>
        <v>2.9215645456471102E-15</v>
      </c>
      <c r="H301" s="1">
        <f t="shared" si="44"/>
        <v>2.8677283647423283E-16</v>
      </c>
      <c r="I301">
        <f t="shared" si="45"/>
        <v>60</v>
      </c>
      <c r="J301">
        <f t="shared" si="46"/>
        <v>214</v>
      </c>
      <c r="K301" s="5">
        <f t="shared" si="47"/>
        <v>0</v>
      </c>
      <c r="L301">
        <f t="shared" si="48"/>
        <v>85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-31.58632124459649</v>
      </c>
      <c r="F302" s="1">
        <f t="shared" si="54"/>
        <v>-33.588354053795548</v>
      </c>
      <c r="G302" s="1">
        <f t="shared" si="51"/>
        <v>2.5868019414583752E-15</v>
      </c>
      <c r="H302" s="1">
        <f t="shared" si="44"/>
        <v>2.5391344896156001E-16</v>
      </c>
      <c r="I302">
        <f t="shared" si="45"/>
        <v>60</v>
      </c>
      <c r="J302">
        <f t="shared" si="46"/>
        <v>215</v>
      </c>
      <c r="K302" s="5">
        <f t="shared" si="47"/>
        <v>0</v>
      </c>
      <c r="L302">
        <f t="shared" si="48"/>
        <v>85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-31.708018179574012</v>
      </c>
      <c r="F303" s="1">
        <f t="shared" si="54"/>
        <v>-33.710050988773069</v>
      </c>
      <c r="G303" s="1">
        <f t="shared" si="51"/>
        <v>2.290397552332933E-15</v>
      </c>
      <c r="H303" s="1">
        <f t="shared" si="44"/>
        <v>2.2481919960138091E-16</v>
      </c>
      <c r="I303">
        <f t="shared" si="45"/>
        <v>60</v>
      </c>
      <c r="J303">
        <f t="shared" si="46"/>
        <v>216</v>
      </c>
      <c r="K303" s="5">
        <f t="shared" si="47"/>
        <v>0</v>
      </c>
      <c r="L303">
        <f t="shared" si="48"/>
        <v>85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-31.829715114551533</v>
      </c>
      <c r="F304" s="1">
        <f t="shared" si="54"/>
        <v>-33.831747923750591</v>
      </c>
      <c r="G304" s="1">
        <f t="shared" si="51"/>
        <v>2.0279561661281151E-15</v>
      </c>
      <c r="H304" s="1">
        <f t="shared" si="44"/>
        <v>1.990586663137224E-16</v>
      </c>
      <c r="I304">
        <f t="shared" si="45"/>
        <v>60</v>
      </c>
      <c r="J304">
        <f t="shared" si="46"/>
        <v>217</v>
      </c>
      <c r="K304" s="5">
        <f t="shared" si="47"/>
        <v>0</v>
      </c>
      <c r="L304">
        <f t="shared" si="48"/>
        <v>85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-31.951412049529054</v>
      </c>
      <c r="F305" s="1">
        <f t="shared" si="54"/>
        <v>-33.953444858728112</v>
      </c>
      <c r="G305" s="1">
        <f t="shared" si="51"/>
        <v>1.7955861887592657E-15</v>
      </c>
      <c r="H305" s="1">
        <f t="shared" si="44"/>
        <v>1.762498607986081E-16</v>
      </c>
      <c r="I305">
        <f t="shared" si="45"/>
        <v>60</v>
      </c>
      <c r="J305">
        <f t="shared" si="46"/>
        <v>218</v>
      </c>
      <c r="K305" s="5">
        <f t="shared" si="47"/>
        <v>0</v>
      </c>
      <c r="L305">
        <f t="shared" si="48"/>
        <v>85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-32.073108984506575</v>
      </c>
      <c r="F306" s="1">
        <f t="shared" si="54"/>
        <v>-34.075141793705633</v>
      </c>
      <c r="G306" s="1">
        <f t="shared" si="51"/>
        <v>1.5898419379639311E-15</v>
      </c>
      <c r="H306" s="1">
        <f t="shared" si="44"/>
        <v>1.560545642487674E-16</v>
      </c>
      <c r="I306">
        <f t="shared" si="45"/>
        <v>60</v>
      </c>
      <c r="J306">
        <f t="shared" si="46"/>
        <v>219</v>
      </c>
      <c r="K306" s="5">
        <f t="shared" si="47"/>
        <v>0</v>
      </c>
      <c r="L306">
        <f t="shared" si="48"/>
        <v>85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-32.194805919484097</v>
      </c>
      <c r="F307" s="1">
        <f t="shared" si="54"/>
        <v>-34.196838728683154</v>
      </c>
      <c r="G307" s="1">
        <f t="shared" si="51"/>
        <v>1.4076725492388954E-15</v>
      </c>
      <c r="H307" s="1">
        <f t="shared" si="44"/>
        <v>1.3817331209526259E-16</v>
      </c>
      <c r="I307">
        <f t="shared" si="45"/>
        <v>60</v>
      </c>
      <c r="J307">
        <f t="shared" si="46"/>
        <v>220</v>
      </c>
      <c r="K307" s="5">
        <f t="shared" si="47"/>
        <v>0</v>
      </c>
      <c r="L307">
        <f t="shared" si="48"/>
        <v>85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-32.316502854461618</v>
      </c>
      <c r="F308" s="1">
        <f t="shared" si="54"/>
        <v>-34.318535663660676</v>
      </c>
      <c r="G308" s="1">
        <f t="shared" si="51"/>
        <v>1.2463767363052701E-15</v>
      </c>
      <c r="H308" s="1">
        <f t="shared" si="44"/>
        <v>1.2234095341768025E-16</v>
      </c>
      <c r="I308">
        <f t="shared" si="45"/>
        <v>60</v>
      </c>
      <c r="J308">
        <f t="shared" si="46"/>
        <v>221</v>
      </c>
      <c r="K308" s="5">
        <f t="shared" si="47"/>
        <v>0</v>
      </c>
      <c r="L308">
        <f t="shared" si="48"/>
        <v>85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-32.438199789439139</v>
      </c>
      <c r="F309" s="1">
        <f t="shared" si="54"/>
        <v>-34.440232598638197</v>
      </c>
      <c r="G309" s="1">
        <f t="shared" si="51"/>
        <v>1.1035627352702896E-15</v>
      </c>
      <c r="H309" s="1">
        <f t="shared" si="44"/>
        <v>1.0832271917190423E-16</v>
      </c>
      <c r="I309">
        <f t="shared" si="45"/>
        <v>60</v>
      </c>
      <c r="J309">
        <f t="shared" si="46"/>
        <v>222</v>
      </c>
      <c r="K309" s="5">
        <f t="shared" si="47"/>
        <v>0</v>
      </c>
      <c r="L309">
        <f t="shared" si="48"/>
        <v>85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-32.55989672441666</v>
      </c>
      <c r="F310" s="1">
        <f t="shared" si="54"/>
        <v>-34.561929533615718</v>
      </c>
      <c r="G310" s="1">
        <f t="shared" si="51"/>
        <v>9.7711283852056759E-16</v>
      </c>
      <c r="H310" s="1">
        <f t="shared" si="44"/>
        <v>9.5910740933456735E-17</v>
      </c>
      <c r="I310">
        <f t="shared" si="45"/>
        <v>60</v>
      </c>
      <c r="J310">
        <f t="shared" si="46"/>
        <v>223</v>
      </c>
      <c r="K310" s="5">
        <f t="shared" si="47"/>
        <v>0</v>
      </c>
      <c r="L310">
        <f t="shared" si="48"/>
        <v>85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-32.681593659394181</v>
      </c>
      <c r="F311" s="1">
        <f t="shared" si="54"/>
        <v>-34.683626468593239</v>
      </c>
      <c r="G311" s="1">
        <f t="shared" si="51"/>
        <v>8.6515199244008464E-16</v>
      </c>
      <c r="H311" s="1">
        <f t="shared" si="44"/>
        <v>8.4920968534831365E-17</v>
      </c>
      <c r="I311">
        <f t="shared" si="45"/>
        <v>60</v>
      </c>
      <c r="J311">
        <f t="shared" si="46"/>
        <v>224</v>
      </c>
      <c r="K311" s="5">
        <f t="shared" si="47"/>
        <v>0</v>
      </c>
      <c r="L311">
        <f t="shared" si="48"/>
        <v>85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-32.803290594371703</v>
      </c>
      <c r="F312" s="1">
        <f t="shared" si="54"/>
        <v>-34.80532340357076</v>
      </c>
      <c r="G312" s="1">
        <f t="shared" si="51"/>
        <v>7.6601999330632379E-16</v>
      </c>
      <c r="H312" s="1">
        <f t="shared" si="44"/>
        <v>7.5190440890215162E-17</v>
      </c>
      <c r="I312">
        <f t="shared" si="45"/>
        <v>60</v>
      </c>
      <c r="J312">
        <f t="shared" si="46"/>
        <v>225</v>
      </c>
      <c r="K312" s="5">
        <f t="shared" si="47"/>
        <v>0</v>
      </c>
      <c r="L312">
        <f t="shared" si="48"/>
        <v>85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-32.924987529349224</v>
      </c>
      <c r="F313" s="1">
        <f t="shared" si="54"/>
        <v>-34.927020338548282</v>
      </c>
      <c r="G313" s="1">
        <f t="shared" si="51"/>
        <v>6.7824686907330655E-16</v>
      </c>
      <c r="H313" s="1">
        <f t="shared" si="44"/>
        <v>6.6574869538211242E-17</v>
      </c>
      <c r="I313">
        <f t="shared" si="45"/>
        <v>60</v>
      </c>
      <c r="J313">
        <f t="shared" si="46"/>
        <v>226</v>
      </c>
      <c r="K313" s="5">
        <f t="shared" si="47"/>
        <v>0</v>
      </c>
      <c r="L313">
        <f t="shared" si="48"/>
        <v>85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-33.046684464326745</v>
      </c>
      <c r="F314" s="1">
        <f t="shared" si="54"/>
        <v>-35.048717273525803</v>
      </c>
      <c r="G314" s="1">
        <f t="shared" si="51"/>
        <v>6.0053108199198937E-16</v>
      </c>
      <c r="H314" s="1">
        <f t="shared" si="44"/>
        <v>5.8946499070291126E-17</v>
      </c>
      <c r="I314">
        <f t="shared" si="45"/>
        <v>60</v>
      </c>
      <c r="J314">
        <f t="shared" si="46"/>
        <v>227</v>
      </c>
      <c r="K314" s="5">
        <f t="shared" si="47"/>
        <v>0</v>
      </c>
      <c r="L314">
        <f t="shared" si="48"/>
        <v>85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-33.168381399304266</v>
      </c>
      <c r="F315" s="1">
        <f t="shared" si="54"/>
        <v>-35.170414208503324</v>
      </c>
      <c r="G315" s="1">
        <f t="shared" si="51"/>
        <v>5.3172022884707313E-16</v>
      </c>
      <c r="H315" s="1">
        <f t="shared" si="44"/>
        <v>5.2192212718486854E-17</v>
      </c>
      <c r="I315">
        <f t="shared" si="45"/>
        <v>60</v>
      </c>
      <c r="J315">
        <f t="shared" si="46"/>
        <v>228</v>
      </c>
      <c r="K315" s="5">
        <f t="shared" si="47"/>
        <v>0</v>
      </c>
      <c r="L315">
        <f t="shared" si="48"/>
        <v>85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-33.290078334281787</v>
      </c>
      <c r="F316" s="1">
        <f t="shared" si="54"/>
        <v>-35.292111143480845</v>
      </c>
      <c r="G316" s="1">
        <f t="shared" si="51"/>
        <v>4.7079395262501205E-16</v>
      </c>
      <c r="H316" s="1">
        <f t="shared" si="44"/>
        <v>4.6211855011160177E-17</v>
      </c>
      <c r="I316">
        <f t="shared" si="45"/>
        <v>60</v>
      </c>
      <c r="J316">
        <f t="shared" si="46"/>
        <v>229</v>
      </c>
      <c r="K316" s="5">
        <f t="shared" si="47"/>
        <v>0</v>
      </c>
      <c r="L316">
        <f t="shared" si="48"/>
        <v>85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-33.411775269259309</v>
      </c>
      <c r="F317" s="1">
        <f t="shared" si="54"/>
        <v>-35.413808078458366</v>
      </c>
      <c r="G317" s="1">
        <f t="shared" si="51"/>
        <v>4.1684881222006213E-16</v>
      </c>
      <c r="H317" s="1">
        <f t="shared" si="44"/>
        <v>4.091674662446468E-17</v>
      </c>
      <c r="I317">
        <f t="shared" si="45"/>
        <v>60</v>
      </c>
      <c r="J317">
        <f t="shared" si="46"/>
        <v>230</v>
      </c>
      <c r="K317" s="5">
        <f t="shared" si="47"/>
        <v>0</v>
      </c>
      <c r="L317">
        <f t="shared" si="48"/>
        <v>85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-33.53347220423683</v>
      </c>
      <c r="F318" s="1">
        <f t="shared" si="54"/>
        <v>-35.535505013435888</v>
      </c>
      <c r="G318" s="1">
        <f t="shared" si="51"/>
        <v>3.6908488581984616E-16</v>
      </c>
      <c r="H318" s="1">
        <f t="shared" si="44"/>
        <v>3.6228369407078052E-17</v>
      </c>
      <c r="I318">
        <f t="shared" si="45"/>
        <v>60</v>
      </c>
      <c r="J318">
        <f t="shared" si="46"/>
        <v>231</v>
      </c>
      <c r="K318" s="5">
        <f t="shared" si="47"/>
        <v>0</v>
      </c>
      <c r="L318">
        <f t="shared" si="48"/>
        <v>85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-33.655169139214351</v>
      </c>
      <c r="F319" s="1">
        <f t="shared" si="54"/>
        <v>-35.657201948413409</v>
      </c>
      <c r="G319" s="1">
        <f t="shared" si="51"/>
        <v>3.2679390931965497E-16</v>
      </c>
      <c r="H319" s="1">
        <f t="shared" si="44"/>
        <v>3.2077202079183642E-17</v>
      </c>
      <c r="I319">
        <f t="shared" si="45"/>
        <v>60</v>
      </c>
      <c r="J319">
        <f t="shared" si="46"/>
        <v>232</v>
      </c>
      <c r="K319" s="5">
        <f t="shared" si="47"/>
        <v>0</v>
      </c>
      <c r="L319">
        <f t="shared" si="48"/>
        <v>85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-33.776866074191872</v>
      </c>
      <c r="F320" s="1">
        <f t="shared" si="54"/>
        <v>-35.77889888339093</v>
      </c>
      <c r="G320" s="1">
        <f t="shared" si="51"/>
        <v>2.8934877387677742E-16</v>
      </c>
      <c r="H320" s="1">
        <f t="shared" si="44"/>
        <v>2.8401689340943809E-17</v>
      </c>
      <c r="I320">
        <f t="shared" si="45"/>
        <v>60</v>
      </c>
      <c r="J320">
        <f t="shared" si="46"/>
        <v>233</v>
      </c>
      <c r="K320" s="5">
        <f t="shared" si="47"/>
        <v>0</v>
      </c>
      <c r="L320">
        <f t="shared" si="48"/>
        <v>85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-33.898563009169393</v>
      </c>
      <c r="F321" s="1">
        <f t="shared" si="54"/>
        <v>-35.900595818368451</v>
      </c>
      <c r="G321" s="1">
        <f t="shared" si="51"/>
        <v>2.5619422687006297E-16</v>
      </c>
      <c r="H321" s="1">
        <f t="shared" si="44"/>
        <v>2.5147329103960628E-17</v>
      </c>
      <c r="I321">
        <f t="shared" si="45"/>
        <v>60</v>
      </c>
      <c r="J321">
        <f t="shared" si="46"/>
        <v>234</v>
      </c>
      <c r="K321" s="5">
        <f t="shared" si="47"/>
        <v>0</v>
      </c>
      <c r="L321">
        <f t="shared" si="48"/>
        <v>85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-34.020259944146915</v>
      </c>
      <c r="F322" s="1">
        <f t="shared" si="54"/>
        <v>-36.022292753345972</v>
      </c>
      <c r="G322" s="1">
        <f t="shared" si="51"/>
        <v>2.268386383745346E-16</v>
      </c>
      <c r="H322" s="1">
        <f t="shared" si="44"/>
        <v>2.2265864310798439E-17</v>
      </c>
      <c r="I322">
        <f t="shared" si="45"/>
        <v>60</v>
      </c>
      <c r="J322">
        <f t="shared" si="46"/>
        <v>235</v>
      </c>
      <c r="K322" s="5">
        <f t="shared" si="47"/>
        <v>0</v>
      </c>
      <c r="L322">
        <f t="shared" si="48"/>
        <v>85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-34.141956879124436</v>
      </c>
      <c r="F323" s="1">
        <f t="shared" si="54"/>
        <v>-36.143989688323494</v>
      </c>
      <c r="G323" s="1">
        <f t="shared" si="51"/>
        <v>2.0084671106078557E-16</v>
      </c>
      <c r="H323" s="1">
        <f t="shared" si="44"/>
        <v>1.9714567358519425E-17</v>
      </c>
      <c r="I323">
        <f t="shared" si="45"/>
        <v>60</v>
      </c>
      <c r="J323">
        <f t="shared" si="46"/>
        <v>236</v>
      </c>
      <c r="K323" s="5">
        <f t="shared" si="47"/>
        <v>0</v>
      </c>
      <c r="L323">
        <f t="shared" si="48"/>
        <v>85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-34.263653814101957</v>
      </c>
      <c r="F324" s="1">
        <f t="shared" si="54"/>
        <v>-36.265686623301015</v>
      </c>
      <c r="G324" s="1">
        <f t="shared" si="51"/>
        <v>1.7783302541840363E-16</v>
      </c>
      <c r="H324" s="1">
        <f t="shared" si="44"/>
        <v>1.7455606515355716E-17</v>
      </c>
      <c r="I324">
        <f t="shared" si="45"/>
        <v>60</v>
      </c>
      <c r="J324">
        <f t="shared" si="46"/>
        <v>237</v>
      </c>
      <c r="K324" s="5">
        <f t="shared" si="47"/>
        <v>0</v>
      </c>
      <c r="L324">
        <f t="shared" si="48"/>
        <v>85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-34.385350749079478</v>
      </c>
      <c r="F325" s="1">
        <f t="shared" si="54"/>
        <v>-36.387383558278536</v>
      </c>
      <c r="G325" s="1">
        <f t="shared" si="51"/>
        <v>1.5745632458921133E-16</v>
      </c>
      <c r="H325" s="1">
        <f t="shared" si="44"/>
        <v>1.5455484935471186E-17</v>
      </c>
      <c r="I325">
        <f t="shared" si="45"/>
        <v>60</v>
      </c>
      <c r="J325">
        <f t="shared" si="46"/>
        <v>238</v>
      </c>
      <c r="K325" s="5">
        <f t="shared" si="47"/>
        <v>0</v>
      </c>
      <c r="L325">
        <f t="shared" si="48"/>
        <v>85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-34.507047684057</v>
      </c>
      <c r="F326" s="1">
        <f t="shared" si="54"/>
        <v>-36.509080493256057</v>
      </c>
      <c r="G326" s="1">
        <f t="shared" si="51"/>
        <v>1.3941445406336399E-16</v>
      </c>
      <c r="H326" s="1">
        <f t="shared" si="44"/>
        <v>1.3684543953281759E-17</v>
      </c>
      <c r="I326">
        <f t="shared" si="45"/>
        <v>60</v>
      </c>
      <c r="J326">
        <f t="shared" si="46"/>
        <v>239</v>
      </c>
      <c r="K326" s="5">
        <f t="shared" si="47"/>
        <v>0</v>
      </c>
      <c r="L326">
        <f t="shared" si="48"/>
        <v>85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-34.628744619034521</v>
      </c>
      <c r="F327" s="1">
        <f t="shared" si="54"/>
        <v>-36.630777428233579</v>
      </c>
      <c r="G327" s="1">
        <f t="shared" si="51"/>
        <v>1.2343988120193669E-16</v>
      </c>
      <c r="H327" s="1">
        <f t="shared" si="44"/>
        <v>1.2116523291968206E-17</v>
      </c>
      <c r="I327">
        <f t="shared" si="45"/>
        <v>60</v>
      </c>
      <c r="J327">
        <f t="shared" si="46"/>
        <v>240</v>
      </c>
      <c r="K327" s="5">
        <f t="shared" si="47"/>
        <v>0</v>
      </c>
      <c r="L327">
        <f t="shared" si="48"/>
        <v>85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-34.750441554012042</v>
      </c>
      <c r="F328" s="1">
        <f t="shared" si="54"/>
        <v>-36.7524743632111</v>
      </c>
      <c r="G328" s="1">
        <f t="shared" si="51"/>
        <v>1.0929572814754796E-16</v>
      </c>
      <c r="H328" s="1">
        <f t="shared" si="44"/>
        <v>1.0728171664763501E-17</v>
      </c>
      <c r="I328">
        <f t="shared" si="45"/>
        <v>60</v>
      </c>
      <c r="J328">
        <f t="shared" si="46"/>
        <v>241</v>
      </c>
      <c r="K328" s="5">
        <f t="shared" si="47"/>
        <v>0</v>
      </c>
      <c r="L328">
        <f t="shared" si="48"/>
        <v>85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-34.872138488989563</v>
      </c>
      <c r="F329" s="1">
        <f t="shared" si="54"/>
        <v>-36.874171298188621</v>
      </c>
      <c r="G329" s="1">
        <f t="shared" si="51"/>
        <v>9.6772259297307954E-17</v>
      </c>
      <c r="H329" s="1">
        <f t="shared" si="44"/>
        <v>9.4989019948426694E-18</v>
      </c>
      <c r="I329">
        <f t="shared" si="45"/>
        <v>60</v>
      </c>
      <c r="J329">
        <f t="shared" si="46"/>
        <v>242</v>
      </c>
      <c r="K329" s="5">
        <f t="shared" si="47"/>
        <v>0</v>
      </c>
      <c r="L329">
        <f t="shared" si="48"/>
        <v>85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-34.993835423967084</v>
      </c>
      <c r="F330" s="1">
        <f t="shared" si="54"/>
        <v>-36.995868233166142</v>
      </c>
      <c r="G330" s="1">
        <f t="shared" si="51"/>
        <v>8.5683771252824633E-17</v>
      </c>
      <c r="H330" s="1">
        <f t="shared" si="44"/>
        <v>8.4104861412669359E-18</v>
      </c>
      <c r="I330">
        <f t="shared" si="45"/>
        <v>60</v>
      </c>
      <c r="J330">
        <f t="shared" si="46"/>
        <v>243</v>
      </c>
      <c r="K330" s="5">
        <f t="shared" si="47"/>
        <v>0</v>
      </c>
      <c r="L330">
        <f t="shared" si="48"/>
        <v>85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-35.115532358944606</v>
      </c>
      <c r="F331" s="1">
        <f t="shared" si="54"/>
        <v>-37.117565168143663</v>
      </c>
      <c r="G331" s="1">
        <f t="shared" si="51"/>
        <v>7.5865839130105032E-17</v>
      </c>
      <c r="H331" s="1">
        <f t="shared" si="44"/>
        <v>7.4467846042467547E-18</v>
      </c>
      <c r="I331">
        <f t="shared" si="45"/>
        <v>60</v>
      </c>
      <c r="J331">
        <f t="shared" si="46"/>
        <v>244</v>
      </c>
      <c r="K331" s="5">
        <f t="shared" si="47"/>
        <v>0</v>
      </c>
      <c r="L331">
        <f t="shared" si="48"/>
        <v>85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-35.237229293922127</v>
      </c>
      <c r="F332" s="1">
        <f t="shared" si="54"/>
        <v>-37.239262103121185</v>
      </c>
      <c r="G332" s="1">
        <f t="shared" si="51"/>
        <v>6.7172878396447064E-17</v>
      </c>
      <c r="H332" s="1">
        <f t="shared" si="44"/>
        <v>6.5935072016768049E-18</v>
      </c>
      <c r="I332">
        <f t="shared" si="45"/>
        <v>60</v>
      </c>
      <c r="J332">
        <f t="shared" si="46"/>
        <v>245</v>
      </c>
      <c r="K332" s="5">
        <f t="shared" si="47"/>
        <v>0</v>
      </c>
      <c r="L332">
        <f t="shared" si="48"/>
        <v>85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-35.358926228899648</v>
      </c>
      <c r="F333" s="1">
        <f t="shared" si="54"/>
        <v>-37.360959038098706</v>
      </c>
      <c r="G333" s="1">
        <f t="shared" si="51"/>
        <v>5.9475986080187425E-17</v>
      </c>
      <c r="H333" s="1">
        <f t="shared" si="44"/>
        <v>5.8380011681513299E-18</v>
      </c>
      <c r="I333">
        <f t="shared" si="45"/>
        <v>60</v>
      </c>
      <c r="J333">
        <f t="shared" si="46"/>
        <v>246</v>
      </c>
      <c r="K333" s="5">
        <f t="shared" si="47"/>
        <v>0</v>
      </c>
      <c r="L333">
        <f t="shared" si="48"/>
        <v>85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-35.480623163877169</v>
      </c>
      <c r="F334" s="1">
        <f t="shared" si="54"/>
        <v>-37.482655973076227</v>
      </c>
      <c r="G334" s="1">
        <f t="shared" si="51"/>
        <v>5.2661029341832536E-17</v>
      </c>
      <c r="H334" s="1">
        <f t="shared" si="44"/>
        <v>5.1690635343006488E-18</v>
      </c>
      <c r="I334">
        <f t="shared" si="45"/>
        <v>60</v>
      </c>
      <c r="J334">
        <f t="shared" si="46"/>
        <v>247</v>
      </c>
      <c r="K334" s="5">
        <f t="shared" si="47"/>
        <v>0</v>
      </c>
      <c r="L334">
        <f t="shared" si="48"/>
        <v>85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-35.60232009885469</v>
      </c>
      <c r="F335" s="1">
        <f t="shared" si="54"/>
        <v>-37.604352908053748</v>
      </c>
      <c r="G335" s="1">
        <f t="shared" si="51"/>
        <v>4.6626953063080828E-17</v>
      </c>
      <c r="H335" s="1">
        <f t="shared" si="44"/>
        <v>4.5767750043286932E-18</v>
      </c>
      <c r="I335">
        <f t="shared" si="45"/>
        <v>60</v>
      </c>
      <c r="J335">
        <f t="shared" si="46"/>
        <v>248</v>
      </c>
      <c r="K335" s="5">
        <f t="shared" si="47"/>
        <v>0</v>
      </c>
      <c r="L335">
        <f t="shared" si="48"/>
        <v>85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-35.724017033832212</v>
      </c>
      <c r="F336" s="1">
        <f t="shared" si="54"/>
        <v>-37.726049843031269</v>
      </c>
      <c r="G336" s="1">
        <f t="shared" si="51"/>
        <v>4.1284281357936092E-17</v>
      </c>
      <c r="H336" s="1">
        <f t="shared" si="44"/>
        <v>4.0523528684160249E-18</v>
      </c>
      <c r="I336">
        <f t="shared" si="45"/>
        <v>60</v>
      </c>
      <c r="J336">
        <f t="shared" si="46"/>
        <v>249</v>
      </c>
      <c r="K336" s="5">
        <f t="shared" si="47"/>
        <v>0</v>
      </c>
      <c r="L336">
        <f t="shared" si="48"/>
        <v>85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-35.845713968809733</v>
      </c>
      <c r="F337" s="1">
        <f t="shared" si="54"/>
        <v>-37.847746778008791</v>
      </c>
      <c r="G337" s="1">
        <f t="shared" si="51"/>
        <v>3.6553790785672526E-17</v>
      </c>
      <c r="H337" s="1">
        <f t="shared" si="44"/>
        <v>3.5880207689100166E-18</v>
      </c>
      <c r="I337">
        <f t="shared" si="45"/>
        <v>60</v>
      </c>
      <c r="J337">
        <f t="shared" si="46"/>
        <v>250</v>
      </c>
      <c r="K337" s="5">
        <f t="shared" si="47"/>
        <v>0</v>
      </c>
      <c r="L337">
        <f t="shared" si="48"/>
        <v>85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-35.967410903787254</v>
      </c>
      <c r="F338" s="1">
        <f t="shared" si="54"/>
        <v>-37.969443712986312</v>
      </c>
      <c r="G338" s="1">
        <f t="shared" si="51"/>
        <v>3.2365335591480836E-17</v>
      </c>
      <c r="H338" s="1">
        <f t="shared" si="44"/>
        <v>3.1768933891390725E-18</v>
      </c>
      <c r="I338">
        <f t="shared" si="45"/>
        <v>60</v>
      </c>
      <c r="J338">
        <f t="shared" si="46"/>
        <v>251</v>
      </c>
      <c r="K338" s="5">
        <f t="shared" si="47"/>
        <v>0</v>
      </c>
      <c r="L338">
        <f t="shared" si="48"/>
        <v>85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-36.089107838764775</v>
      </c>
      <c r="F339" s="1">
        <f t="shared" si="54"/>
        <v>-38.091140647963833</v>
      </c>
      <c r="G339" s="1">
        <f t="shared" si="51"/>
        <v>2.8656807554956952E-17</v>
      </c>
      <c r="H339" s="1">
        <f t="shared" si="44"/>
        <v>2.8128743549668833E-18</v>
      </c>
      <c r="I339">
        <f t="shared" si="45"/>
        <v>60</v>
      </c>
      <c r="J339">
        <f t="shared" si="46"/>
        <v>252</v>
      </c>
      <c r="K339" s="5">
        <f t="shared" si="47"/>
        <v>0</v>
      </c>
      <c r="L339">
        <f t="shared" si="48"/>
        <v>85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-36.210804773742296</v>
      </c>
      <c r="F340" s="1">
        <f t="shared" si="54"/>
        <v>-38.212837582941354</v>
      </c>
      <c r="G340" s="1">
        <f t="shared" si="51"/>
        <v>2.5373215022618097E-17</v>
      </c>
      <c r="H340" s="1">
        <f t="shared" si="44"/>
        <v>2.4905658351269242E-18</v>
      </c>
      <c r="I340">
        <f t="shared" si="45"/>
        <v>60</v>
      </c>
      <c r="J340">
        <f t="shared" si="46"/>
        <v>253</v>
      </c>
      <c r="K340" s="5">
        <f t="shared" si="47"/>
        <v>0</v>
      </c>
      <c r="L340">
        <f t="shared" si="48"/>
        <v>85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-36.332501708719818</v>
      </c>
      <c r="F341" s="1">
        <f t="shared" si="54"/>
        <v>-38.334534517918875</v>
      </c>
      <c r="G341" s="1">
        <f t="shared" si="51"/>
        <v>2.2465867467943074E-17</v>
      </c>
      <c r="H341" s="1">
        <f t="shared" si="44"/>
        <v>2.2051884998519609E-18</v>
      </c>
      <c r="I341">
        <f t="shared" si="45"/>
        <v>60</v>
      </c>
      <c r="J341">
        <f t="shared" si="46"/>
        <v>254</v>
      </c>
      <c r="K341" s="5">
        <f t="shared" si="47"/>
        <v>0</v>
      </c>
      <c r="L341">
        <f t="shared" si="48"/>
        <v>85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-36.454198643697339</v>
      </c>
      <c r="F342" s="1">
        <f t="shared" si="54"/>
        <v>-38.456231452896397</v>
      </c>
      <c r="G342" s="1">
        <f t="shared" si="51"/>
        <v>1.9891653487241235E-17</v>
      </c>
      <c r="H342" s="1">
        <f t="shared" si="44"/>
        <v>1.9525106509105877E-18</v>
      </c>
      <c r="I342">
        <f t="shared" si="45"/>
        <v>60</v>
      </c>
      <c r="J342">
        <f t="shared" si="46"/>
        <v>255</v>
      </c>
      <c r="K342" s="5">
        <f t="shared" si="47"/>
        <v>0</v>
      </c>
      <c r="L342">
        <f t="shared" si="48"/>
        <v>85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-36.57589557867486</v>
      </c>
      <c r="F343" s="1">
        <f t="shared" si="54"/>
        <v>-38.577928387873918</v>
      </c>
      <c r="G343" s="1">
        <f t="shared" si="51"/>
        <v>1.7612401525161485E-17</v>
      </c>
      <c r="H343" s="1">
        <f t="shared" ref="H343:H406" si="55">G343/$G$21</f>
        <v>1.7287854721604136E-18</v>
      </c>
      <c r="I343">
        <f t="shared" ref="I343:I406" si="56">IF($F$11&lt;=D343, IF(D343&lt;=$A$15,D343-$F$11,$C$11),0)</f>
        <v>60</v>
      </c>
      <c r="J343">
        <f t="shared" ref="J343:J406" si="57">IF(D343&lt;=$A$15,0,D343-$A$15)</f>
        <v>256</v>
      </c>
      <c r="K343" s="5">
        <f t="shared" ref="K343:K406" si="58">IF(D343&lt;$F$11,H343,0)</f>
        <v>0</v>
      </c>
      <c r="L343">
        <f t="shared" ref="L343:L406" si="59">IF(D343&lt;$A$15,$D$11,$D$11*(1-$H$11))</f>
        <v>85</v>
      </c>
      <c r="M343">
        <f t="shared" ref="M343:M406" si="60">IF(D343&lt;$A$15,0,1)</f>
        <v>1</v>
      </c>
      <c r="N343">
        <f t="shared" ref="N343:N406" si="61">IF(SUM(I343:J343)&lt;=($G$11/60*$F$11/($E$11/60)),1,0)</f>
        <v>0</v>
      </c>
    </row>
    <row r="344" spans="4:14" x14ac:dyDescent="0.2">
      <c r="D344">
        <f t="shared" si="52"/>
        <v>321</v>
      </c>
      <c r="E344" s="1">
        <f t="shared" si="53"/>
        <v>-36.697592513652381</v>
      </c>
      <c r="F344" s="1">
        <f t="shared" si="54"/>
        <v>-38.699625322851439</v>
      </c>
      <c r="G344" s="1">
        <f t="shared" ref="G344:G407" si="62">EXP(F344)</f>
        <v>1.5594313850403376E-17</v>
      </c>
      <c r="H344" s="1">
        <f t="shared" si="55"/>
        <v>1.5306954701420307E-18</v>
      </c>
      <c r="I344">
        <f t="shared" si="56"/>
        <v>60</v>
      </c>
      <c r="J344">
        <f t="shared" si="57"/>
        <v>257</v>
      </c>
      <c r="K344" s="5">
        <f t="shared" si="58"/>
        <v>0</v>
      </c>
      <c r="L344">
        <f t="shared" si="59"/>
        <v>85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IF($H$11=1,IF(D345&lt;=$A$15, E344+LN($D$11)-LN(60/$E$11)-LN(MIN(D345,$F$11)), E344-LN(60/$E$11)-LN(MIN(D345,$F$11))), IF(D345&lt;=$A$15, E344+LN($D$11)-LN(60/$E$11)-LN(MIN(D345,$F$11)), E344+LN($D$11)+LN(1-$H$11)-LN(60/$E$11)-LN(MIN(D345,$F$11))))</f>
        <v>-36.819289448629902</v>
      </c>
      <c r="F345" s="1">
        <f t="shared" ref="F345:F408" si="65">E345-$E$21</f>
        <v>-38.82132225782896</v>
      </c>
      <c r="G345" s="1">
        <f t="shared" si="62"/>
        <v>1.380746538837797E-17</v>
      </c>
      <c r="H345" s="1">
        <f t="shared" si="55"/>
        <v>1.3553032808549211E-18</v>
      </c>
      <c r="I345">
        <f t="shared" si="56"/>
        <v>60</v>
      </c>
      <c r="J345">
        <f t="shared" si="57"/>
        <v>258</v>
      </c>
      <c r="K345" s="5">
        <f t="shared" si="58"/>
        <v>0</v>
      </c>
      <c r="L345">
        <f t="shared" si="59"/>
        <v>85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-36.940986383607424</v>
      </c>
      <c r="F346" s="1">
        <f t="shared" si="65"/>
        <v>-38.943019192806481</v>
      </c>
      <c r="G346" s="1">
        <f t="shared" si="62"/>
        <v>1.2225359979292977E-17</v>
      </c>
      <c r="H346" s="1">
        <f t="shared" si="55"/>
        <v>1.2000081132569598E-18</v>
      </c>
      <c r="I346">
        <f t="shared" si="56"/>
        <v>60</v>
      </c>
      <c r="J346">
        <f t="shared" si="57"/>
        <v>259</v>
      </c>
      <c r="K346" s="5">
        <f t="shared" si="58"/>
        <v>0</v>
      </c>
      <c r="L346">
        <f t="shared" si="59"/>
        <v>85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-37.062683318584945</v>
      </c>
      <c r="F347" s="1">
        <f t="shared" si="65"/>
        <v>-39.064716127784003</v>
      </c>
      <c r="G347" s="1">
        <f t="shared" si="62"/>
        <v>1.0824537481665641E-17</v>
      </c>
      <c r="H347" s="1">
        <f t="shared" si="55"/>
        <v>1.0625071836129316E-18</v>
      </c>
      <c r="I347">
        <f t="shared" si="56"/>
        <v>60</v>
      </c>
      <c r="J347">
        <f t="shared" si="57"/>
        <v>260</v>
      </c>
      <c r="K347" s="5">
        <f t="shared" si="58"/>
        <v>0</v>
      </c>
      <c r="L347">
        <f t="shared" si="59"/>
        <v>85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-37.184380253562466</v>
      </c>
      <c r="F348" s="1">
        <f t="shared" si="65"/>
        <v>-39.186413062761524</v>
      </c>
      <c r="G348" s="1">
        <f t="shared" si="62"/>
        <v>9.5842258952247732E-18</v>
      </c>
      <c r="H348" s="1">
        <f t="shared" si="55"/>
        <v>9.4076156882394853E-19</v>
      </c>
      <c r="I348">
        <f t="shared" si="56"/>
        <v>60</v>
      </c>
      <c r="J348">
        <f t="shared" si="57"/>
        <v>261</v>
      </c>
      <c r="K348" s="5">
        <f t="shared" si="58"/>
        <v>0</v>
      </c>
      <c r="L348">
        <f t="shared" si="59"/>
        <v>85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-37.306077188539987</v>
      </c>
      <c r="F349" s="1">
        <f t="shared" si="65"/>
        <v>-39.308109997739045</v>
      </c>
      <c r="G349" s="1">
        <f t="shared" si="62"/>
        <v>8.486033344730256E-18</v>
      </c>
      <c r="H349" s="1">
        <f t="shared" si="55"/>
        <v>8.3296597239620323E-19</v>
      </c>
      <c r="I349">
        <f t="shared" si="56"/>
        <v>60</v>
      </c>
      <c r="J349">
        <f t="shared" si="57"/>
        <v>262</v>
      </c>
      <c r="K349" s="5">
        <f t="shared" si="58"/>
        <v>0</v>
      </c>
      <c r="L349">
        <f t="shared" si="59"/>
        <v>85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-37.427774123517509</v>
      </c>
      <c r="F350" s="1">
        <f t="shared" si="65"/>
        <v>-39.429806932716566</v>
      </c>
      <c r="G350" s="1">
        <f t="shared" si="62"/>
        <v>7.513675357313236E-18</v>
      </c>
      <c r="H350" s="1">
        <f t="shared" si="55"/>
        <v>7.3752195472580391E-19</v>
      </c>
      <c r="I350">
        <f t="shared" si="56"/>
        <v>60</v>
      </c>
      <c r="J350">
        <f t="shared" si="57"/>
        <v>263</v>
      </c>
      <c r="K350" s="5">
        <f t="shared" si="58"/>
        <v>0</v>
      </c>
      <c r="L350">
        <f t="shared" si="59"/>
        <v>85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-37.54947105849503</v>
      </c>
      <c r="F351" s="1">
        <f t="shared" si="65"/>
        <v>-39.551503867694088</v>
      </c>
      <c r="G351" s="1">
        <f t="shared" si="62"/>
        <v>6.6527333892877522E-18</v>
      </c>
      <c r="H351" s="1">
        <f t="shared" si="55"/>
        <v>6.5301423074680459E-19</v>
      </c>
      <c r="I351">
        <f t="shared" si="56"/>
        <v>60</v>
      </c>
      <c r="J351">
        <f t="shared" si="57"/>
        <v>264</v>
      </c>
      <c r="K351" s="5">
        <f t="shared" si="58"/>
        <v>0</v>
      </c>
      <c r="L351">
        <f t="shared" si="59"/>
        <v>85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-37.671167993472551</v>
      </c>
      <c r="F352" s="1">
        <f t="shared" si="65"/>
        <v>-39.673200802671609</v>
      </c>
      <c r="G352" s="1">
        <f t="shared" si="62"/>
        <v>5.8904410217651884E-18</v>
      </c>
      <c r="H352" s="1">
        <f t="shared" si="55"/>
        <v>5.7818968347373238E-19</v>
      </c>
      <c r="I352">
        <f t="shared" si="56"/>
        <v>60</v>
      </c>
      <c r="J352">
        <f t="shared" si="57"/>
        <v>265</v>
      </c>
      <c r="K352" s="5">
        <f t="shared" si="58"/>
        <v>0</v>
      </c>
      <c r="L352">
        <f t="shared" si="59"/>
        <v>85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-37.792864928450072</v>
      </c>
      <c r="F353" s="1">
        <f t="shared" si="65"/>
        <v>-39.79489773764913</v>
      </c>
      <c r="G353" s="1">
        <f t="shared" si="62"/>
        <v>5.2154946546879199E-18</v>
      </c>
      <c r="H353" s="1">
        <f t="shared" si="55"/>
        <v>5.1193878224236654E-19</v>
      </c>
      <c r="I353">
        <f t="shared" si="56"/>
        <v>60</v>
      </c>
      <c r="J353">
        <f t="shared" si="57"/>
        <v>266</v>
      </c>
      <c r="K353" s="5">
        <f t="shared" si="58"/>
        <v>0</v>
      </c>
      <c r="L353">
        <f t="shared" si="59"/>
        <v>85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-37.914561863427593</v>
      </c>
      <c r="F354" s="1">
        <f t="shared" si="65"/>
        <v>-39.916594672626651</v>
      </c>
      <c r="G354" s="1">
        <f t="shared" si="62"/>
        <v>4.6178858921715895E-18</v>
      </c>
      <c r="H354" s="1">
        <f t="shared" si="55"/>
        <v>4.5327913011042806E-19</v>
      </c>
      <c r="I354">
        <f t="shared" si="56"/>
        <v>60</v>
      </c>
      <c r="J354">
        <f t="shared" si="57"/>
        <v>267</v>
      </c>
      <c r="K354" s="5">
        <f t="shared" si="58"/>
        <v>0</v>
      </c>
      <c r="L354">
        <f t="shared" si="59"/>
        <v>85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-38.036258798405115</v>
      </c>
      <c r="F355" s="1">
        <f t="shared" si="65"/>
        <v>-40.038291607604172</v>
      </c>
      <c r="G355" s="1">
        <f t="shared" si="62"/>
        <v>4.0887531336935886E-18</v>
      </c>
      <c r="H355" s="1">
        <f t="shared" si="55"/>
        <v>4.0134089645194089E-19</v>
      </c>
      <c r="I355">
        <f t="shared" si="56"/>
        <v>60</v>
      </c>
      <c r="J355">
        <f t="shared" si="57"/>
        <v>268</v>
      </c>
      <c r="K355" s="5">
        <f t="shared" si="58"/>
        <v>0</v>
      </c>
      <c r="L355">
        <f t="shared" si="59"/>
        <v>85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-38.157955733382636</v>
      </c>
      <c r="F356" s="1">
        <f t="shared" si="65"/>
        <v>-40.159988542581694</v>
      </c>
      <c r="G356" s="1">
        <f t="shared" si="62"/>
        <v>3.6202501704578599E-18</v>
      </c>
      <c r="H356" s="1">
        <f t="shared" si="55"/>
        <v>3.5535391873348883E-19</v>
      </c>
      <c r="I356">
        <f t="shared" si="56"/>
        <v>60</v>
      </c>
      <c r="J356">
        <f t="shared" si="57"/>
        <v>269</v>
      </c>
      <c r="K356" s="5">
        <f t="shared" si="58"/>
        <v>0</v>
      </c>
      <c r="L356">
        <f t="shared" si="59"/>
        <v>85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-38.279652668360157</v>
      </c>
      <c r="F357" s="1">
        <f t="shared" si="65"/>
        <v>-40.281685477559215</v>
      </c>
      <c r="G357" s="1">
        <f t="shared" si="62"/>
        <v>3.2054298384262254E-18</v>
      </c>
      <c r="H357" s="1">
        <f t="shared" si="55"/>
        <v>3.1463628221194279E-19</v>
      </c>
      <c r="I357">
        <f t="shared" si="56"/>
        <v>60</v>
      </c>
      <c r="J357">
        <f t="shared" si="57"/>
        <v>270</v>
      </c>
      <c r="K357" s="5">
        <f t="shared" si="58"/>
        <v>0</v>
      </c>
      <c r="L357">
        <f t="shared" si="59"/>
        <v>85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-38.401349603337678</v>
      </c>
      <c r="F358" s="1">
        <f t="shared" si="65"/>
        <v>-40.403382412536736</v>
      </c>
      <c r="G358" s="1">
        <f t="shared" si="62"/>
        <v>2.8381410027732166E-18</v>
      </c>
      <c r="H358" s="1">
        <f t="shared" si="55"/>
        <v>2.7858420820849063E-19</v>
      </c>
      <c r="I358">
        <f t="shared" si="56"/>
        <v>60</v>
      </c>
      <c r="J358">
        <f t="shared" si="57"/>
        <v>271</v>
      </c>
      <c r="K358" s="5">
        <f t="shared" si="58"/>
        <v>0</v>
      </c>
      <c r="L358">
        <f t="shared" si="59"/>
        <v>85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-38.523046538315199</v>
      </c>
      <c r="F359" s="1">
        <f t="shared" si="65"/>
        <v>-40.525079347514257</v>
      </c>
      <c r="G359" s="1">
        <f t="shared" si="62"/>
        <v>2.5129373462054483E-18</v>
      </c>
      <c r="H359" s="1">
        <f t="shared" si="55"/>
        <v>2.4666310101793404E-19</v>
      </c>
      <c r="I359">
        <f t="shared" si="56"/>
        <v>60</v>
      </c>
      <c r="J359">
        <f t="shared" si="57"/>
        <v>272</v>
      </c>
      <c r="K359" s="5">
        <f t="shared" si="58"/>
        <v>0</v>
      </c>
      <c r="L359">
        <f t="shared" si="59"/>
        <v>85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-38.644743473292721</v>
      </c>
      <c r="F360" s="1">
        <f t="shared" si="65"/>
        <v>-40.646776282491778</v>
      </c>
      <c r="G360" s="1">
        <f t="shared" si="62"/>
        <v>2.2249966086194042E-18</v>
      </c>
      <c r="H360" s="1">
        <f t="shared" si="55"/>
        <v>2.1839962069296214E-19</v>
      </c>
      <c r="I360">
        <f t="shared" si="56"/>
        <v>60</v>
      </c>
      <c r="J360">
        <f t="shared" si="57"/>
        <v>273</v>
      </c>
      <c r="K360" s="5">
        <f t="shared" si="58"/>
        <v>0</v>
      </c>
      <c r="L360">
        <f t="shared" si="59"/>
        <v>85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-38.766440408270242</v>
      </c>
      <c r="F361" s="1">
        <f t="shared" si="65"/>
        <v>-40.7684732174693</v>
      </c>
      <c r="G361" s="1">
        <f t="shared" si="62"/>
        <v>1.9700490805484283E-18</v>
      </c>
      <c r="H361" s="1">
        <f t="shared" si="55"/>
        <v>1.9337466415522664E-19</v>
      </c>
      <c r="I361">
        <f t="shared" si="56"/>
        <v>60</v>
      </c>
      <c r="J361">
        <f t="shared" si="57"/>
        <v>274</v>
      </c>
      <c r="K361" s="5">
        <f t="shared" si="58"/>
        <v>0</v>
      </c>
      <c r="L361">
        <f t="shared" si="59"/>
        <v>85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-38.888137343247763</v>
      </c>
      <c r="F362" s="1">
        <f t="shared" si="65"/>
        <v>-40.890170152446821</v>
      </c>
      <c r="G362" s="1">
        <f t="shared" si="62"/>
        <v>1.7443142900689182E-18</v>
      </c>
      <c r="H362" s="1">
        <f t="shared" si="55"/>
        <v>1.7121715055410663E-19</v>
      </c>
      <c r="I362">
        <f t="shared" si="56"/>
        <v>60</v>
      </c>
      <c r="J362">
        <f t="shared" si="57"/>
        <v>275</v>
      </c>
      <c r="K362" s="5">
        <f t="shared" si="58"/>
        <v>0</v>
      </c>
      <c r="L362">
        <f t="shared" si="59"/>
        <v>85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-39.009834278225284</v>
      </c>
      <c r="F363" s="1">
        <f t="shared" si="65"/>
        <v>-41.011867087424342</v>
      </c>
      <c r="G363" s="1">
        <f t="shared" si="62"/>
        <v>1.5444449443318526E-18</v>
      </c>
      <c r="H363" s="1">
        <f t="shared" si="55"/>
        <v>1.5159851871978172E-19</v>
      </c>
      <c r="I363">
        <f t="shared" si="56"/>
        <v>60</v>
      </c>
      <c r="J363">
        <f t="shared" si="57"/>
        <v>276</v>
      </c>
      <c r="K363" s="5">
        <f t="shared" si="58"/>
        <v>0</v>
      </c>
      <c r="L363">
        <f t="shared" si="59"/>
        <v>85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-39.131531213202805</v>
      </c>
      <c r="F364" s="1">
        <f t="shared" si="65"/>
        <v>-41.133564022401863</v>
      </c>
      <c r="G364" s="1">
        <f t="shared" si="62"/>
        <v>1.3674772944604924E-18</v>
      </c>
      <c r="H364" s="1">
        <f t="shared" si="55"/>
        <v>1.3422785511647319E-19</v>
      </c>
      <c r="I364">
        <f t="shared" si="56"/>
        <v>60</v>
      </c>
      <c r="J364">
        <f t="shared" si="57"/>
        <v>277</v>
      </c>
      <c r="K364" s="5">
        <f t="shared" si="58"/>
        <v>0</v>
      </c>
      <c r="L364">
        <f t="shared" si="59"/>
        <v>85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-39.253228148180327</v>
      </c>
      <c r="F365" s="1">
        <f t="shared" si="65"/>
        <v>-41.255260957379384</v>
      </c>
      <c r="G365" s="1">
        <f t="shared" si="62"/>
        <v>1.2107871878035592E-18</v>
      </c>
      <c r="H365" s="1">
        <f t="shared" si="55"/>
        <v>1.1884758005104382E-19</v>
      </c>
      <c r="I365">
        <f t="shared" si="56"/>
        <v>60</v>
      </c>
      <c r="J365">
        <f t="shared" si="57"/>
        <v>278</v>
      </c>
      <c r="K365" s="5">
        <f t="shared" si="58"/>
        <v>0</v>
      </c>
      <c r="L365">
        <f t="shared" si="59"/>
        <v>85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-39.374925083157848</v>
      </c>
      <c r="F366" s="1">
        <f t="shared" si="65"/>
        <v>-41.376957892356906</v>
      </c>
      <c r="G366" s="1">
        <f t="shared" si="62"/>
        <v>1.0720511558677332E-18</v>
      </c>
      <c r="H366" s="1">
        <f t="shared" si="55"/>
        <v>1.0522962817019489E-19</v>
      </c>
      <c r="I366">
        <f t="shared" si="56"/>
        <v>60</v>
      </c>
      <c r="J366">
        <f t="shared" si="57"/>
        <v>279</v>
      </c>
      <c r="K366" s="5">
        <f t="shared" si="58"/>
        <v>0</v>
      </c>
      <c r="L366">
        <f t="shared" si="59"/>
        <v>85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-39.496622018135369</v>
      </c>
      <c r="F367" s="1">
        <f t="shared" si="65"/>
        <v>-41.498654827334427</v>
      </c>
      <c r="G367" s="1">
        <f t="shared" si="62"/>
        <v>9.4921196092455414E-19</v>
      </c>
      <c r="H367" s="1">
        <f t="shared" si="55"/>
        <v>9.3172066609026595E-20</v>
      </c>
      <c r="I367">
        <f t="shared" si="56"/>
        <v>60</v>
      </c>
      <c r="J367">
        <f t="shared" si="57"/>
        <v>280</v>
      </c>
      <c r="K367" s="5">
        <f t="shared" si="58"/>
        <v>0</v>
      </c>
      <c r="L367">
        <f t="shared" si="59"/>
        <v>85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-39.61831895311289</v>
      </c>
      <c r="F368" s="1">
        <f t="shared" si="65"/>
        <v>-41.620351762311948</v>
      </c>
      <c r="G368" s="1">
        <f t="shared" si="62"/>
        <v>8.4044809040194782E-19</v>
      </c>
      <c r="H368" s="1">
        <f t="shared" si="55"/>
        <v>8.2496100643408851E-20</v>
      </c>
      <c r="I368">
        <f t="shared" si="56"/>
        <v>60</v>
      </c>
      <c r="J368">
        <f t="shared" si="57"/>
        <v>281</v>
      </c>
      <c r="K368" s="5">
        <f t="shared" si="58"/>
        <v>0</v>
      </c>
      <c r="L368">
        <f t="shared" si="59"/>
        <v>85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-39.740015888090412</v>
      </c>
      <c r="F369" s="1">
        <f t="shared" si="65"/>
        <v>-41.742048697289469</v>
      </c>
      <c r="G369" s="1">
        <f t="shared" si="62"/>
        <v>7.441467467100569E-19</v>
      </c>
      <c r="H369" s="1">
        <f t="shared" si="55"/>
        <v>7.3043422444684808E-20</v>
      </c>
      <c r="I369">
        <f t="shared" si="56"/>
        <v>60</v>
      </c>
      <c r="J369">
        <f t="shared" si="57"/>
        <v>282</v>
      </c>
      <c r="K369" s="5">
        <f t="shared" si="58"/>
        <v>0</v>
      </c>
      <c r="L369">
        <f t="shared" si="59"/>
        <v>85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-39.861712823067933</v>
      </c>
      <c r="F370" s="1">
        <f t="shared" si="65"/>
        <v>-41.863745632266991</v>
      </c>
      <c r="G370" s="1">
        <f t="shared" si="62"/>
        <v>6.5887993198286195E-19</v>
      </c>
      <c r="H370" s="1">
        <f t="shared" si="55"/>
        <v>6.4673863622897923E-20</v>
      </c>
      <c r="I370">
        <f t="shared" si="56"/>
        <v>60</v>
      </c>
      <c r="J370">
        <f t="shared" si="57"/>
        <v>283</v>
      </c>
      <c r="K370" s="5">
        <f t="shared" si="58"/>
        <v>0</v>
      </c>
      <c r="L370">
        <f t="shared" si="59"/>
        <v>85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-39.983409758045454</v>
      </c>
      <c r="F371" s="1">
        <f t="shared" si="65"/>
        <v>-41.985442567244512</v>
      </c>
      <c r="G371" s="1">
        <f t="shared" si="62"/>
        <v>5.8338327310982486E-19</v>
      </c>
      <c r="H371" s="1">
        <f t="shared" si="55"/>
        <v>5.7263316749440789E-20</v>
      </c>
      <c r="I371">
        <f t="shared" si="56"/>
        <v>60</v>
      </c>
      <c r="J371">
        <f t="shared" si="57"/>
        <v>284</v>
      </c>
      <c r="K371" s="5">
        <f t="shared" si="58"/>
        <v>0</v>
      </c>
      <c r="L371">
        <f t="shared" si="59"/>
        <v>85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-40.105106693022975</v>
      </c>
      <c r="F372" s="1">
        <f t="shared" si="65"/>
        <v>-42.107139502222033</v>
      </c>
      <c r="G372" s="1">
        <f t="shared" si="62"/>
        <v>5.1653727306599004E-19</v>
      </c>
      <c r="H372" s="1">
        <f t="shared" si="55"/>
        <v>5.0701895038567289E-20</v>
      </c>
      <c r="I372">
        <f t="shared" si="56"/>
        <v>60</v>
      </c>
      <c r="J372">
        <f t="shared" si="57"/>
        <v>285</v>
      </c>
      <c r="K372" s="5">
        <f t="shared" si="58"/>
        <v>0</v>
      </c>
      <c r="L372">
        <f t="shared" si="59"/>
        <v>85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-40.226803628000496</v>
      </c>
      <c r="F373" s="1">
        <f t="shared" si="65"/>
        <v>-42.228836437199554</v>
      </c>
      <c r="G373" s="1">
        <f t="shared" si="62"/>
        <v>4.5735071052717797E-19</v>
      </c>
      <c r="H373" s="1">
        <f t="shared" si="55"/>
        <v>4.4892302898731385E-20</v>
      </c>
      <c r="I373">
        <f t="shared" si="56"/>
        <v>60</v>
      </c>
      <c r="J373">
        <f t="shared" si="57"/>
        <v>286</v>
      </c>
      <c r="K373" s="5">
        <f t="shared" si="58"/>
        <v>0</v>
      </c>
      <c r="L373">
        <f t="shared" si="59"/>
        <v>85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-40.348500562978018</v>
      </c>
      <c r="F374" s="1">
        <f t="shared" si="65"/>
        <v>-42.350533372177075</v>
      </c>
      <c r="G374" s="1">
        <f t="shared" si="62"/>
        <v>4.0494594161260492E-19</v>
      </c>
      <c r="H374" s="1">
        <f t="shared" si="55"/>
        <v>3.9748393191585026E-20</v>
      </c>
      <c r="I374">
        <f t="shared" si="56"/>
        <v>60</v>
      </c>
      <c r="J374">
        <f t="shared" si="57"/>
        <v>287</v>
      </c>
      <c r="K374" s="5">
        <f t="shared" si="58"/>
        <v>0</v>
      </c>
      <c r="L374">
        <f t="shared" si="59"/>
        <v>85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-40.470197497955539</v>
      </c>
      <c r="F375" s="1">
        <f t="shared" si="65"/>
        <v>-42.472230307154597</v>
      </c>
      <c r="G375" s="1">
        <f t="shared" si="62"/>
        <v>3.5854588580282677E-19</v>
      </c>
      <c r="H375" s="1">
        <f t="shared" si="55"/>
        <v>3.5193889805049191E-20</v>
      </c>
      <c r="I375">
        <f t="shared" si="56"/>
        <v>60</v>
      </c>
      <c r="J375">
        <f t="shared" si="57"/>
        <v>288</v>
      </c>
      <c r="K375" s="5">
        <f t="shared" si="58"/>
        <v>0</v>
      </c>
      <c r="L375">
        <f t="shared" si="59"/>
        <v>85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-40.59189443293306</v>
      </c>
      <c r="F376" s="1">
        <f t="shared" si="65"/>
        <v>-42.593927242132118</v>
      </c>
      <c r="G376" s="1">
        <f t="shared" si="62"/>
        <v>3.1746250305458576E-19</v>
      </c>
      <c r="H376" s="1">
        <f t="shared" si="55"/>
        <v>3.1161256598220596E-20</v>
      </c>
      <c r="I376">
        <f t="shared" si="56"/>
        <v>60</v>
      </c>
      <c r="J376">
        <f t="shared" si="57"/>
        <v>289</v>
      </c>
      <c r="K376" s="5">
        <f t="shared" si="58"/>
        <v>0</v>
      </c>
      <c r="L376">
        <f t="shared" si="59"/>
        <v>85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-40.713591367910581</v>
      </c>
      <c r="F377" s="1">
        <f t="shared" si="65"/>
        <v>-42.715624177109639</v>
      </c>
      <c r="G377" s="1">
        <f t="shared" si="62"/>
        <v>2.8108659124624739E-19</v>
      </c>
      <c r="H377" s="1">
        <f t="shared" si="55"/>
        <v>2.7590695946341113E-20</v>
      </c>
      <c r="I377">
        <f t="shared" si="56"/>
        <v>60</v>
      </c>
      <c r="J377">
        <f t="shared" si="57"/>
        <v>290</v>
      </c>
      <c r="K377" s="5">
        <f t="shared" si="58"/>
        <v>0</v>
      </c>
      <c r="L377">
        <f t="shared" si="59"/>
        <v>85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-40.835288302888102</v>
      </c>
      <c r="F378" s="1">
        <f t="shared" si="65"/>
        <v>-42.83732111208716</v>
      </c>
      <c r="G378" s="1">
        <f t="shared" si="62"/>
        <v>2.4887875266594787E-19</v>
      </c>
      <c r="H378" s="1">
        <f t="shared" si="55"/>
        <v>2.4429262035822825E-20</v>
      </c>
      <c r="I378">
        <f t="shared" si="56"/>
        <v>60</v>
      </c>
      <c r="J378">
        <f t="shared" si="57"/>
        <v>291</v>
      </c>
      <c r="K378" s="5">
        <f t="shared" si="58"/>
        <v>0</v>
      </c>
      <c r="L378">
        <f t="shared" si="59"/>
        <v>85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-40.956985237865624</v>
      </c>
      <c r="F379" s="1">
        <f t="shared" si="65"/>
        <v>-42.959018047064681</v>
      </c>
      <c r="G379" s="1">
        <f t="shared" si="62"/>
        <v>2.2036139558964102E-19</v>
      </c>
      <c r="H379" s="1">
        <f t="shared" si="55"/>
        <v>2.1630075760884761E-20</v>
      </c>
      <c r="I379">
        <f t="shared" si="56"/>
        <v>60</v>
      </c>
      <c r="J379">
        <f t="shared" si="57"/>
        <v>292</v>
      </c>
      <c r="K379" s="5">
        <f t="shared" si="58"/>
        <v>0</v>
      </c>
      <c r="L379">
        <f t="shared" si="59"/>
        <v>85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-41.078682172843145</v>
      </c>
      <c r="F380" s="1">
        <f t="shared" si="65"/>
        <v>-43.080714982042203</v>
      </c>
      <c r="G380" s="1">
        <f t="shared" si="62"/>
        <v>1.9511165234499438E-19</v>
      </c>
      <c r="H380" s="1">
        <f t="shared" si="55"/>
        <v>1.9151629579950024E-20</v>
      </c>
      <c r="I380">
        <f t="shared" si="56"/>
        <v>60</v>
      </c>
      <c r="J380">
        <f t="shared" si="57"/>
        <v>293</v>
      </c>
      <c r="K380" s="5">
        <f t="shared" si="58"/>
        <v>0</v>
      </c>
      <c r="L380">
        <f t="shared" si="59"/>
        <v>85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-41.200379107820666</v>
      </c>
      <c r="F381" s="1">
        <f t="shared" si="65"/>
        <v>-43.202411917019724</v>
      </c>
      <c r="G381" s="1">
        <f t="shared" si="62"/>
        <v>1.7275510884713021E-19</v>
      </c>
      <c r="H381" s="1">
        <f t="shared" si="55"/>
        <v>1.695717202391406E-20</v>
      </c>
      <c r="I381">
        <f t="shared" si="56"/>
        <v>60</v>
      </c>
      <c r="J381">
        <f t="shared" si="57"/>
        <v>294</v>
      </c>
      <c r="K381" s="5">
        <f t="shared" si="58"/>
        <v>0</v>
      </c>
      <c r="L381">
        <f t="shared" si="59"/>
        <v>85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-41.322076042798187</v>
      </c>
      <c r="F382" s="1">
        <f t="shared" si="65"/>
        <v>-43.324108851997245</v>
      </c>
      <c r="G382" s="1">
        <f t="shared" si="62"/>
        <v>1.5296025262506298E-19</v>
      </c>
      <c r="H382" s="1">
        <f t="shared" si="55"/>
        <v>1.5014162729507217E-20</v>
      </c>
      <c r="I382">
        <f t="shared" si="56"/>
        <v>60</v>
      </c>
      <c r="J382">
        <f t="shared" si="57"/>
        <v>295</v>
      </c>
      <c r="K382" s="5">
        <f t="shared" si="58"/>
        <v>0</v>
      </c>
      <c r="L382">
        <f t="shared" si="59"/>
        <v>85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-41.443772977775708</v>
      </c>
      <c r="F383" s="1">
        <f t="shared" si="65"/>
        <v>-43.445805786974766</v>
      </c>
      <c r="G383" s="1">
        <f t="shared" si="62"/>
        <v>1.3543355701177431E-19</v>
      </c>
      <c r="H383" s="1">
        <f t="shared" si="55"/>
        <v>1.3293789916751163E-20</v>
      </c>
      <c r="I383">
        <f t="shared" si="56"/>
        <v>60</v>
      </c>
      <c r="J383">
        <f t="shared" si="57"/>
        <v>296</v>
      </c>
      <c r="K383" s="5">
        <f t="shared" si="58"/>
        <v>0</v>
      </c>
      <c r="L383">
        <f t="shared" si="59"/>
        <v>85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-41.56546991275323</v>
      </c>
      <c r="F384" s="1">
        <f t="shared" si="65"/>
        <v>-43.567502721952287</v>
      </c>
      <c r="G384" s="1">
        <f t="shared" si="62"/>
        <v>1.1991512860417501E-19</v>
      </c>
      <c r="H384" s="1">
        <f t="shared" si="55"/>
        <v>1.1770543155456743E-20</v>
      </c>
      <c r="I384">
        <f t="shared" si="56"/>
        <v>60</v>
      </c>
      <c r="J384">
        <f t="shared" si="57"/>
        <v>297</v>
      </c>
      <c r="K384" s="5">
        <f t="shared" si="58"/>
        <v>0</v>
      </c>
      <c r="L384">
        <f t="shared" si="59"/>
        <v>85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-41.687166847730751</v>
      </c>
      <c r="F385" s="1">
        <f t="shared" si="65"/>
        <v>-43.689199656929809</v>
      </c>
      <c r="G385" s="1">
        <f t="shared" si="62"/>
        <v>1.0617485345161313E-19</v>
      </c>
      <c r="H385" s="1">
        <f t="shared" si="55"/>
        <v>1.0421835085560642E-20</v>
      </c>
      <c r="I385">
        <f t="shared" si="56"/>
        <v>60</v>
      </c>
      <c r="J385">
        <f t="shared" si="57"/>
        <v>298</v>
      </c>
      <c r="K385" s="5">
        <f t="shared" si="58"/>
        <v>0</v>
      </c>
      <c r="L385">
        <f t="shared" si="59"/>
        <v>85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-41.808863782708272</v>
      </c>
      <c r="F386" s="1">
        <f t="shared" si="65"/>
        <v>-43.81089659190733</v>
      </c>
      <c r="G386" s="1">
        <f t="shared" si="62"/>
        <v>9.4008984826948999E-20</v>
      </c>
      <c r="H386" s="1">
        <f t="shared" si="55"/>
        <v>9.2276664820068058E-21</v>
      </c>
      <c r="I386">
        <f t="shared" si="56"/>
        <v>60</v>
      </c>
      <c r="J386">
        <f t="shared" si="57"/>
        <v>299</v>
      </c>
      <c r="K386" s="5">
        <f t="shared" si="58"/>
        <v>0</v>
      </c>
      <c r="L386">
        <f t="shared" si="59"/>
        <v>85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-41.930560717685793</v>
      </c>
      <c r="F387" s="1">
        <f t="shared" si="65"/>
        <v>-43.932593526884851</v>
      </c>
      <c r="G387" s="1">
        <f t="shared" si="62"/>
        <v>8.3237121982194308E-20</v>
      </c>
      <c r="H387" s="1">
        <f t="shared" si="55"/>
        <v>8.170329697610182E-21</v>
      </c>
      <c r="I387">
        <f t="shared" si="56"/>
        <v>60</v>
      </c>
      <c r="J387">
        <f t="shared" si="57"/>
        <v>300</v>
      </c>
      <c r="K387" s="5">
        <f t="shared" si="58"/>
        <v>0</v>
      </c>
      <c r="L387">
        <f t="shared" si="59"/>
        <v>85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-42.052257652663315</v>
      </c>
      <c r="F388" s="1">
        <f t="shared" si="65"/>
        <v>-44.054290461862372</v>
      </c>
      <c r="G388" s="1">
        <f t="shared" si="62"/>
        <v>7.3699535088401096E-20</v>
      </c>
      <c r="H388" s="1">
        <f t="shared" si="55"/>
        <v>7.2341460864256699E-21</v>
      </c>
      <c r="I388">
        <f t="shared" si="56"/>
        <v>60</v>
      </c>
      <c r="J388">
        <f t="shared" si="57"/>
        <v>301</v>
      </c>
      <c r="K388" s="5">
        <f t="shared" si="58"/>
        <v>0</v>
      </c>
      <c r="L388">
        <f t="shared" si="59"/>
        <v>85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-42.173954587640836</v>
      </c>
      <c r="F389" s="1">
        <f t="shared" si="65"/>
        <v>-44.175987396839894</v>
      </c>
      <c r="G389" s="1">
        <f t="shared" si="62"/>
        <v>6.5254796692855048E-20</v>
      </c>
      <c r="H389" s="1">
        <f t="shared" si="55"/>
        <v>6.40523351402272E-21</v>
      </c>
      <c r="I389">
        <f t="shared" si="56"/>
        <v>60</v>
      </c>
      <c r="J389">
        <f t="shared" si="57"/>
        <v>302</v>
      </c>
      <c r="K389" s="5">
        <f t="shared" si="58"/>
        <v>0</v>
      </c>
      <c r="L389">
        <f t="shared" si="59"/>
        <v>85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-42.295651522618357</v>
      </c>
      <c r="F390" s="1">
        <f t="shared" si="65"/>
        <v>-44.297684331817415</v>
      </c>
      <c r="G390" s="1">
        <f t="shared" si="62"/>
        <v>5.7777684571798663E-20</v>
      </c>
      <c r="H390" s="1">
        <f t="shared" si="55"/>
        <v>5.671300507207609E-21</v>
      </c>
      <c r="I390">
        <f t="shared" si="56"/>
        <v>60</v>
      </c>
      <c r="J390">
        <f t="shared" si="57"/>
        <v>303</v>
      </c>
      <c r="K390" s="5">
        <f t="shared" si="58"/>
        <v>0</v>
      </c>
      <c r="L390">
        <f t="shared" si="59"/>
        <v>85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-42.417348457595878</v>
      </c>
      <c r="F391" s="1">
        <f t="shared" si="65"/>
        <v>-44.419381266794936</v>
      </c>
      <c r="G391" s="1">
        <f t="shared" si="62"/>
        <v>5.1157324881279988E-20</v>
      </c>
      <c r="H391" s="1">
        <f t="shared" si="55"/>
        <v>5.0214639907567296E-21</v>
      </c>
      <c r="I391">
        <f t="shared" si="56"/>
        <v>60</v>
      </c>
      <c r="J391">
        <f t="shared" si="57"/>
        <v>304</v>
      </c>
      <c r="K391" s="5">
        <f t="shared" si="58"/>
        <v>0</v>
      </c>
      <c r="L391">
        <f t="shared" si="59"/>
        <v>85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-42.539045392573399</v>
      </c>
      <c r="F392" s="1">
        <f t="shared" si="65"/>
        <v>-44.541078201772457</v>
      </c>
      <c r="G392" s="1">
        <f t="shared" si="62"/>
        <v>4.5295548071966592E-20</v>
      </c>
      <c r="H392" s="1">
        <f t="shared" si="55"/>
        <v>4.4460879084825151E-21</v>
      </c>
      <c r="I392">
        <f t="shared" si="56"/>
        <v>60</v>
      </c>
      <c r="J392">
        <f t="shared" si="57"/>
        <v>305</v>
      </c>
      <c r="K392" s="5">
        <f t="shared" si="58"/>
        <v>0</v>
      </c>
      <c r="L392">
        <f t="shared" si="59"/>
        <v>85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-42.660742327550921</v>
      </c>
      <c r="F393" s="1">
        <f t="shared" si="65"/>
        <v>-44.662775136749978</v>
      </c>
      <c r="G393" s="1">
        <f t="shared" si="62"/>
        <v>4.0105433188720363E-20</v>
      </c>
      <c r="H393" s="1">
        <f t="shared" si="55"/>
        <v>3.936640335635554E-21</v>
      </c>
      <c r="I393">
        <f t="shared" si="56"/>
        <v>60</v>
      </c>
      <c r="J393">
        <f t="shared" si="57"/>
        <v>306</v>
      </c>
      <c r="K393" s="5">
        <f t="shared" si="58"/>
        <v>0</v>
      </c>
      <c r="L393">
        <f t="shared" si="59"/>
        <v>85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-42.782439262528442</v>
      </c>
      <c r="F394" s="1">
        <f t="shared" si="65"/>
        <v>-44.7844720717275</v>
      </c>
      <c r="G394" s="1">
        <f t="shared" si="62"/>
        <v>3.5510018969179437E-20</v>
      </c>
      <c r="H394" s="1">
        <f t="shared" si="55"/>
        <v>3.4855669638439756E-21</v>
      </c>
      <c r="I394">
        <f t="shared" si="56"/>
        <v>60</v>
      </c>
      <c r="J394">
        <f t="shared" si="57"/>
        <v>307</v>
      </c>
      <c r="K394" s="5">
        <f t="shared" si="58"/>
        <v>0</v>
      </c>
      <c r="L394">
        <f t="shared" si="59"/>
        <v>85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-42.904136197505963</v>
      </c>
      <c r="F395" s="1">
        <f t="shared" si="65"/>
        <v>-44.906169006705021</v>
      </c>
      <c r="G395" s="1">
        <f t="shared" si="62"/>
        <v>3.1441162628960914E-20</v>
      </c>
      <c r="H395" s="1">
        <f t="shared" si="55"/>
        <v>3.0861790825701821E-21</v>
      </c>
      <c r="I395">
        <f t="shared" si="56"/>
        <v>60</v>
      </c>
      <c r="J395">
        <f t="shared" si="57"/>
        <v>308</v>
      </c>
      <c r="K395" s="5">
        <f t="shared" si="58"/>
        <v>0</v>
      </c>
      <c r="L395">
        <f t="shared" si="59"/>
        <v>85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-43.025833132483484</v>
      </c>
      <c r="F396" s="1">
        <f t="shared" si="65"/>
        <v>-45.027865941682542</v>
      </c>
      <c r="G396" s="1">
        <f t="shared" si="62"/>
        <v>2.7838529411059105E-20</v>
      </c>
      <c r="H396" s="1">
        <f t="shared" si="55"/>
        <v>2.7325543960256782E-21</v>
      </c>
      <c r="I396">
        <f t="shared" si="56"/>
        <v>60</v>
      </c>
      <c r="J396">
        <f t="shared" si="57"/>
        <v>309</v>
      </c>
      <c r="K396" s="5">
        <f t="shared" si="58"/>
        <v>0</v>
      </c>
      <c r="L396">
        <f t="shared" si="59"/>
        <v>85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-43.147530067461005</v>
      </c>
      <c r="F397" s="1">
        <f t="shared" si="65"/>
        <v>-45.149562876660063</v>
      </c>
      <c r="G397" s="1">
        <f t="shared" si="62"/>
        <v>2.4648697916041879E-20</v>
      </c>
      <c r="H397" s="1">
        <f t="shared" si="55"/>
        <v>2.419449204814399E-21</v>
      </c>
      <c r="I397">
        <f t="shared" si="56"/>
        <v>60</v>
      </c>
      <c r="J397">
        <f t="shared" si="57"/>
        <v>310</v>
      </c>
      <c r="K397" s="5">
        <f t="shared" si="58"/>
        <v>0</v>
      </c>
      <c r="L397">
        <f t="shared" si="59"/>
        <v>85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-43.269227002438527</v>
      </c>
      <c r="F398" s="1">
        <f t="shared" si="65"/>
        <v>-45.271259811637584</v>
      </c>
      <c r="G398" s="1">
        <f t="shared" si="62"/>
        <v>2.1824367946495384E-20</v>
      </c>
      <c r="H398" s="1">
        <f t="shared" si="55"/>
        <v>2.1422206500960796E-21</v>
      </c>
      <c r="I398">
        <f t="shared" si="56"/>
        <v>60</v>
      </c>
      <c r="J398">
        <f t="shared" si="57"/>
        <v>311</v>
      </c>
      <c r="K398" s="5">
        <f t="shared" si="58"/>
        <v>0</v>
      </c>
      <c r="L398">
        <f t="shared" si="59"/>
        <v>85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-43.390923937416048</v>
      </c>
      <c r="F399" s="1">
        <f t="shared" si="65"/>
        <v>-45.392956746615106</v>
      </c>
      <c r="G399" s="1">
        <f t="shared" si="62"/>
        <v>1.932365911929276E-20</v>
      </c>
      <c r="H399" s="1">
        <f t="shared" si="55"/>
        <v>1.8967578672725676E-21</v>
      </c>
      <c r="I399">
        <f t="shared" si="56"/>
        <v>60</v>
      </c>
      <c r="J399">
        <f t="shared" si="57"/>
        <v>312</v>
      </c>
      <c r="K399" s="5">
        <f t="shared" si="58"/>
        <v>0</v>
      </c>
      <c r="L399">
        <f t="shared" si="59"/>
        <v>85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-43.512620872393569</v>
      </c>
      <c r="F400" s="1">
        <f t="shared" si="65"/>
        <v>-45.514653681592627</v>
      </c>
      <c r="G400" s="1">
        <f t="shared" si="62"/>
        <v>1.7109489845207106E-20</v>
      </c>
      <c r="H400" s="1">
        <f t="shared" si="55"/>
        <v>1.6794210283142502E-21</v>
      </c>
      <c r="I400">
        <f t="shared" si="56"/>
        <v>60</v>
      </c>
      <c r="J400">
        <f t="shared" si="57"/>
        <v>313</v>
      </c>
      <c r="K400" s="5">
        <f t="shared" si="58"/>
        <v>0</v>
      </c>
      <c r="L400">
        <f t="shared" si="59"/>
        <v>85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-43.63431780737109</v>
      </c>
      <c r="F401" s="1">
        <f t="shared" si="65"/>
        <v>-45.636350616570148</v>
      </c>
      <c r="G401" s="1">
        <f t="shared" si="62"/>
        <v>1.5149027467110438E-20</v>
      </c>
      <c r="H401" s="1">
        <f t="shared" si="55"/>
        <v>1.486987368819907E-21</v>
      </c>
      <c r="I401">
        <f t="shared" si="56"/>
        <v>60</v>
      </c>
      <c r="J401">
        <f t="shared" si="57"/>
        <v>314</v>
      </c>
      <c r="K401" s="5">
        <f t="shared" si="58"/>
        <v>0</v>
      </c>
      <c r="L401">
        <f t="shared" si="59"/>
        <v>85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-43.756014742348611</v>
      </c>
      <c r="F402" s="1">
        <f t="shared" si="65"/>
        <v>-45.758047551547669</v>
      </c>
      <c r="G402" s="1">
        <f t="shared" si="62"/>
        <v>1.3413201403170681E-20</v>
      </c>
      <c r="H402" s="1">
        <f t="shared" si="55"/>
        <v>1.3166033994759575E-21</v>
      </c>
      <c r="I402">
        <f t="shared" si="56"/>
        <v>60</v>
      </c>
      <c r="J402">
        <f t="shared" si="57"/>
        <v>315</v>
      </c>
      <c r="K402" s="5">
        <f t="shared" si="58"/>
        <v>0</v>
      </c>
      <c r="L402">
        <f t="shared" si="59"/>
        <v>85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-43.877711677326133</v>
      </c>
      <c r="F403" s="1">
        <f t="shared" si="65"/>
        <v>-45.87974448652519</v>
      </c>
      <c r="G403" s="1">
        <f t="shared" si="62"/>
        <v>1.1876272075724023E-20</v>
      </c>
      <c r="H403" s="1">
        <f t="shared" si="55"/>
        <v>1.1657425932860024E-21</v>
      </c>
      <c r="I403">
        <f t="shared" si="56"/>
        <v>60</v>
      </c>
      <c r="J403">
        <f t="shared" si="57"/>
        <v>316</v>
      </c>
      <c r="K403" s="5">
        <f t="shared" si="58"/>
        <v>0</v>
      </c>
      <c r="L403">
        <f t="shared" si="59"/>
        <v>85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-43.999408612303654</v>
      </c>
      <c r="F404" s="1">
        <f t="shared" si="65"/>
        <v>-46.001441421502712</v>
      </c>
      <c r="G404" s="1">
        <f t="shared" si="62"/>
        <v>1.0515449233713964E-20</v>
      </c>
      <c r="H404" s="1">
        <f t="shared" si="55"/>
        <v>1.0321679211386464E-21</v>
      </c>
      <c r="I404">
        <f t="shared" si="56"/>
        <v>60</v>
      </c>
      <c r="J404">
        <f t="shared" si="57"/>
        <v>317</v>
      </c>
      <c r="K404" s="5">
        <f t="shared" si="58"/>
        <v>0</v>
      </c>
      <c r="L404">
        <f t="shared" si="59"/>
        <v>85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-44.121105547281175</v>
      </c>
      <c r="F405" s="1">
        <f t="shared" si="65"/>
        <v>-46.123138356480233</v>
      </c>
      <c r="G405" s="1">
        <f t="shared" si="62"/>
        <v>9.3105540090175594E-21</v>
      </c>
      <c r="H405" s="1">
        <f t="shared" si="55"/>
        <v>9.1389868017484195E-22</v>
      </c>
      <c r="I405">
        <f t="shared" si="56"/>
        <v>60</v>
      </c>
      <c r="J405">
        <f t="shared" si="57"/>
        <v>318</v>
      </c>
      <c r="K405" s="5">
        <f t="shared" si="58"/>
        <v>0</v>
      </c>
      <c r="L405">
        <f t="shared" si="59"/>
        <v>85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-44.242802482258696</v>
      </c>
      <c r="F406" s="1">
        <f t="shared" si="65"/>
        <v>-46.244835291457754</v>
      </c>
      <c r="G406" s="1">
        <f t="shared" si="62"/>
        <v>8.2437196954842856E-21</v>
      </c>
      <c r="H406" s="1">
        <f t="shared" si="55"/>
        <v>8.0918112307147345E-22</v>
      </c>
      <c r="I406">
        <f t="shared" si="56"/>
        <v>60</v>
      </c>
      <c r="J406">
        <f t="shared" si="57"/>
        <v>319</v>
      </c>
      <c r="K406" s="5">
        <f t="shared" si="58"/>
        <v>0</v>
      </c>
      <c r="L406">
        <f t="shared" si="59"/>
        <v>85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-44.364499417236217</v>
      </c>
      <c r="F407" s="1">
        <f t="shared" si="65"/>
        <v>-46.366532226435275</v>
      </c>
      <c r="G407" s="1">
        <f t="shared" si="62"/>
        <v>7.2991268137100344E-21</v>
      </c>
      <c r="H407" s="1">
        <f t="shared" ref="H407:H470" si="66">G407/$G$21</f>
        <v>7.1646245271953279E-22</v>
      </c>
      <c r="I407">
        <f t="shared" ref="I407:I470" si="67">IF($F$11&lt;=D407, IF(D407&lt;=$A$15,D407-$F$11,$C$11),0)</f>
        <v>60</v>
      </c>
      <c r="J407">
        <f t="shared" ref="J407:J470" si="68">IF(D407&lt;=$A$15,0,D407-$A$15)</f>
        <v>320</v>
      </c>
      <c r="K407" s="5">
        <f t="shared" ref="K407:K470" si="69">IF(D407&lt;$F$11,H407,0)</f>
        <v>0</v>
      </c>
      <c r="L407">
        <f t="shared" ref="L407:L470" si="70">IF(D407&lt;$A$15,$D$11,$D$11*(1-$H$11))</f>
        <v>85</v>
      </c>
      <c r="M407">
        <f t="shared" ref="M407:M470" si="71">IF(D407&lt;$A$15,0,1)</f>
        <v>1</v>
      </c>
      <c r="N407">
        <f t="shared" ref="N407:N470" si="72">IF(SUM(I407:J407)&lt;=($G$11/60*$F$11/($E$11/60)),1,0)</f>
        <v>0</v>
      </c>
    </row>
    <row r="408" spans="4:14" x14ac:dyDescent="0.2">
      <c r="D408">
        <f t="shared" si="63"/>
        <v>385</v>
      </c>
      <c r="E408" s="1">
        <f t="shared" si="64"/>
        <v>-44.486196352213739</v>
      </c>
      <c r="F408" s="1">
        <f t="shared" si="65"/>
        <v>-46.488229161412796</v>
      </c>
      <c r="G408" s="1">
        <f t="shared" ref="G408:G471" si="73">EXP(F408)</f>
        <v>6.4627685329724164E-21</v>
      </c>
      <c r="H408" s="1">
        <f t="shared" si="66"/>
        <v>6.3436779667875198E-22</v>
      </c>
      <c r="I408">
        <f t="shared" si="67"/>
        <v>60</v>
      </c>
      <c r="J408">
        <f t="shared" si="68"/>
        <v>321</v>
      </c>
      <c r="K408" s="5">
        <f t="shared" si="69"/>
        <v>0</v>
      </c>
      <c r="L408">
        <f t="shared" si="70"/>
        <v>85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IF($H$11=1,IF(D409&lt;=$A$15, E408+LN($D$11)-LN(60/$E$11)-LN(MIN(D409,$F$11)), E408-LN(60/$E$11)-LN(MIN(D409,$F$11))), IF(D409&lt;=$A$15, E408+LN($D$11)-LN(60/$E$11)-LN(MIN(D409,$F$11)), E408+LN($D$11)+LN(1-$H$11)-LN(60/$E$11)-LN(MIN(D409,$F$11))))</f>
        <v>-44.60789328719126</v>
      </c>
      <c r="F409" s="1">
        <f t="shared" ref="F409:F472" si="76">E409-$E$21</f>
        <v>-46.609926096390318</v>
      </c>
      <c r="G409" s="1">
        <f t="shared" si="73"/>
        <v>5.7222429719026522E-21</v>
      </c>
      <c r="H409" s="1">
        <f t="shared" si="66"/>
        <v>5.6167981997597756E-22</v>
      </c>
      <c r="I409">
        <f t="shared" si="67"/>
        <v>60</v>
      </c>
      <c r="J409">
        <f t="shared" si="68"/>
        <v>322</v>
      </c>
      <c r="K409" s="5">
        <f t="shared" si="69"/>
        <v>0</v>
      </c>
      <c r="L409">
        <f t="shared" si="70"/>
        <v>85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-44.729590222168781</v>
      </c>
      <c r="F410" s="1">
        <f t="shared" si="76"/>
        <v>-46.731623031367839</v>
      </c>
      <c r="G410" s="1">
        <f t="shared" si="73"/>
        <v>5.0665692980387998E-21</v>
      </c>
      <c r="H410" s="1">
        <f t="shared" si="66"/>
        <v>4.9732067393706279E-22</v>
      </c>
      <c r="I410">
        <f t="shared" si="67"/>
        <v>60</v>
      </c>
      <c r="J410">
        <f t="shared" si="68"/>
        <v>323</v>
      </c>
      <c r="K410" s="5">
        <f t="shared" si="69"/>
        <v>0</v>
      </c>
      <c r="L410">
        <f t="shared" si="70"/>
        <v>85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-44.851287157146302</v>
      </c>
      <c r="F411" s="1">
        <f t="shared" si="76"/>
        <v>-46.85331996634536</v>
      </c>
      <c r="G411" s="1">
        <f t="shared" si="73"/>
        <v>4.4860248993051804E-21</v>
      </c>
      <c r="H411" s="1">
        <f t="shared" si="66"/>
        <v>4.4033601338177364E-22</v>
      </c>
      <c r="I411">
        <f t="shared" si="67"/>
        <v>60</v>
      </c>
      <c r="J411">
        <f t="shared" si="68"/>
        <v>324</v>
      </c>
      <c r="K411" s="5">
        <f t="shared" si="69"/>
        <v>0</v>
      </c>
      <c r="L411">
        <f t="shared" si="70"/>
        <v>85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-44.972984092123824</v>
      </c>
      <c r="F412" s="1">
        <f t="shared" si="76"/>
        <v>-46.975016901322881</v>
      </c>
      <c r="G412" s="1">
        <f t="shared" si="73"/>
        <v>3.9720012129264568E-21</v>
      </c>
      <c r="H412" s="1">
        <f t="shared" si="66"/>
        <v>3.8988084518177826E-22</v>
      </c>
      <c r="I412">
        <f t="shared" si="67"/>
        <v>60</v>
      </c>
      <c r="J412">
        <f t="shared" si="68"/>
        <v>325</v>
      </c>
      <c r="K412" s="5">
        <f t="shared" si="69"/>
        <v>0</v>
      </c>
      <c r="L412">
        <f t="shared" si="70"/>
        <v>85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-45.094681027101345</v>
      </c>
      <c r="F413" s="1">
        <f t="shared" si="76"/>
        <v>-47.096713836300403</v>
      </c>
      <c r="G413" s="1">
        <f t="shared" si="73"/>
        <v>3.516876073945295E-21</v>
      </c>
      <c r="H413" s="1">
        <f t="shared" si="66"/>
        <v>3.4520699833803233E-22</v>
      </c>
      <c r="I413">
        <f t="shared" si="67"/>
        <v>60</v>
      </c>
      <c r="J413">
        <f t="shared" si="68"/>
        <v>326</v>
      </c>
      <c r="K413" s="5">
        <f t="shared" si="69"/>
        <v>0</v>
      </c>
      <c r="L413">
        <f t="shared" si="70"/>
        <v>85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-45.216377962078866</v>
      </c>
      <c r="F414" s="1">
        <f t="shared" si="76"/>
        <v>-47.218410771277924</v>
      </c>
      <c r="G414" s="1">
        <f t="shared" si="73"/>
        <v>3.1139006904723922E-21</v>
      </c>
      <c r="H414" s="1">
        <f t="shared" si="66"/>
        <v>3.0565202977846569E-22</v>
      </c>
      <c r="I414">
        <f t="shared" si="67"/>
        <v>60</v>
      </c>
      <c r="J414">
        <f t="shared" si="68"/>
        <v>327</v>
      </c>
      <c r="K414" s="5">
        <f t="shared" si="69"/>
        <v>0</v>
      </c>
      <c r="L414">
        <f t="shared" si="70"/>
        <v>85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-45.338074897056387</v>
      </c>
      <c r="F415" s="1">
        <f t="shared" si="76"/>
        <v>-47.340107706255445</v>
      </c>
      <c r="G415" s="1">
        <f t="shared" si="73"/>
        <v>2.7570995696890933E-21</v>
      </c>
      <c r="H415" s="1">
        <f t="shared" si="66"/>
        <v>2.7062940136634945E-22</v>
      </c>
      <c r="I415">
        <f t="shared" si="67"/>
        <v>60</v>
      </c>
      <c r="J415">
        <f t="shared" si="68"/>
        <v>328</v>
      </c>
      <c r="K415" s="5">
        <f t="shared" si="69"/>
        <v>0</v>
      </c>
      <c r="L415">
        <f t="shared" si="70"/>
        <v>85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-45.459771832033908</v>
      </c>
      <c r="F416" s="1">
        <f t="shared" si="76"/>
        <v>-47.461804641232966</v>
      </c>
      <c r="G416" s="1">
        <f t="shared" si="73"/>
        <v>2.4411819106622146E-21</v>
      </c>
      <c r="H416" s="1">
        <f t="shared" si="66"/>
        <v>2.396197824597882E-22</v>
      </c>
      <c r="I416">
        <f t="shared" si="67"/>
        <v>60</v>
      </c>
      <c r="J416">
        <f t="shared" si="68"/>
        <v>329</v>
      </c>
      <c r="K416" s="5">
        <f t="shared" si="69"/>
        <v>0</v>
      </c>
      <c r="L416">
        <f t="shared" si="70"/>
        <v>85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-45.58146876701143</v>
      </c>
      <c r="F417" s="1">
        <f t="shared" si="76"/>
        <v>-47.583501576210487</v>
      </c>
      <c r="G417" s="1">
        <f t="shared" si="73"/>
        <v>2.1614631500654993E-21</v>
      </c>
      <c r="H417" s="1">
        <f t="shared" si="66"/>
        <v>2.1216334905293716E-22</v>
      </c>
      <c r="I417">
        <f t="shared" si="67"/>
        <v>60</v>
      </c>
      <c r="J417">
        <f t="shared" si="68"/>
        <v>330</v>
      </c>
      <c r="K417" s="5">
        <f t="shared" si="69"/>
        <v>0</v>
      </c>
      <c r="L417">
        <f t="shared" si="70"/>
        <v>85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-45.703165701988951</v>
      </c>
      <c r="F418" s="1">
        <f t="shared" si="76"/>
        <v>-47.705198511188009</v>
      </c>
      <c r="G418" s="1">
        <f t="shared" si="73"/>
        <v>1.9137954974538247E-21</v>
      </c>
      <c r="H418" s="1">
        <f t="shared" si="66"/>
        <v>1.8785296530728785E-22</v>
      </c>
      <c r="I418">
        <f t="shared" si="67"/>
        <v>60</v>
      </c>
      <c r="J418">
        <f t="shared" si="68"/>
        <v>331</v>
      </c>
      <c r="K418" s="5">
        <f t="shared" si="69"/>
        <v>0</v>
      </c>
      <c r="L418">
        <f t="shared" si="70"/>
        <v>85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-45.824862636966472</v>
      </c>
      <c r="F419" s="1">
        <f t="shared" si="76"/>
        <v>-47.82689544616553</v>
      </c>
      <c r="G419" s="1">
        <f t="shared" si="73"/>
        <v>1.6945064300372383E-21</v>
      </c>
      <c r="H419" s="1">
        <f t="shared" si="66"/>
        <v>1.6632814636582755E-22</v>
      </c>
      <c r="I419">
        <f t="shared" si="67"/>
        <v>60</v>
      </c>
      <c r="J419">
        <f t="shared" si="68"/>
        <v>332</v>
      </c>
      <c r="K419" s="5">
        <f t="shared" si="69"/>
        <v>0</v>
      </c>
      <c r="L419">
        <f t="shared" si="70"/>
        <v>85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-45.946559571943993</v>
      </c>
      <c r="F420" s="1">
        <f t="shared" si="76"/>
        <v>-47.948592381143051</v>
      </c>
      <c r="G420" s="1">
        <f t="shared" si="73"/>
        <v>1.5003442349288026E-21</v>
      </c>
      <c r="H420" s="1">
        <f t="shared" si="66"/>
        <v>1.4726971292807628E-22</v>
      </c>
      <c r="I420">
        <f t="shared" si="67"/>
        <v>60</v>
      </c>
      <c r="J420">
        <f t="shared" si="68"/>
        <v>333</v>
      </c>
      <c r="K420" s="5">
        <f t="shared" si="69"/>
        <v>0</v>
      </c>
      <c r="L420">
        <f t="shared" si="70"/>
        <v>85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-46.068256506921514</v>
      </c>
      <c r="F421" s="1">
        <f t="shared" si="76"/>
        <v>-48.070289316120572</v>
      </c>
      <c r="G421" s="1">
        <f t="shared" si="73"/>
        <v>1.3284297913432089E-21</v>
      </c>
      <c r="H421" s="1">
        <f t="shared" si="66"/>
        <v>1.3039505832173404E-22</v>
      </c>
      <c r="I421">
        <f t="shared" si="67"/>
        <v>60</v>
      </c>
      <c r="J421">
        <f t="shared" si="68"/>
        <v>334</v>
      </c>
      <c r="K421" s="5">
        <f t="shared" si="69"/>
        <v>0</v>
      </c>
      <c r="L421">
        <f t="shared" si="70"/>
        <v>85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-46.189953441899036</v>
      </c>
      <c r="F422" s="1">
        <f t="shared" si="76"/>
        <v>-48.191986251098093</v>
      </c>
      <c r="G422" s="1">
        <f t="shared" si="73"/>
        <v>1.1762138777517978E-21</v>
      </c>
      <c r="H422" s="1">
        <f t="shared" si="66"/>
        <v>1.1545395788903516E-22</v>
      </c>
      <c r="I422">
        <f t="shared" si="67"/>
        <v>60</v>
      </c>
      <c r="J422">
        <f t="shared" si="68"/>
        <v>335</v>
      </c>
      <c r="K422" s="5">
        <f t="shared" si="69"/>
        <v>0</v>
      </c>
      <c r="L422">
        <f t="shared" si="70"/>
        <v>85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-46.311650376876557</v>
      </c>
      <c r="F423" s="1">
        <f t="shared" si="76"/>
        <v>-48.313683186075615</v>
      </c>
      <c r="G423" s="1">
        <f t="shared" si="73"/>
        <v>1.0414393709260694E-21</v>
      </c>
      <c r="H423" s="1">
        <f t="shared" si="66"/>
        <v>1.0222485854758306E-22</v>
      </c>
      <c r="I423">
        <f t="shared" si="67"/>
        <v>60</v>
      </c>
      <c r="J423">
        <f t="shared" si="68"/>
        <v>336</v>
      </c>
      <c r="K423" s="5">
        <f t="shared" si="69"/>
        <v>0</v>
      </c>
      <c r="L423">
        <f t="shared" si="70"/>
        <v>85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-46.433347311854078</v>
      </c>
      <c r="F424" s="1">
        <f t="shared" si="76"/>
        <v>-48.435380121053136</v>
      </c>
      <c r="G424" s="1">
        <f t="shared" si="73"/>
        <v>9.2210777634078943E-22</v>
      </c>
      <c r="H424" s="1">
        <f t="shared" si="66"/>
        <v>9.0511593505672393E-23</v>
      </c>
      <c r="I424">
        <f t="shared" si="67"/>
        <v>60</v>
      </c>
      <c r="J424">
        <f t="shared" si="68"/>
        <v>337</v>
      </c>
      <c r="K424" s="5">
        <f t="shared" si="69"/>
        <v>0</v>
      </c>
      <c r="L424">
        <f t="shared" si="70"/>
        <v>85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-46.555044246831599</v>
      </c>
      <c r="F425" s="1">
        <f t="shared" si="76"/>
        <v>-48.557077056030657</v>
      </c>
      <c r="G425" s="1">
        <f t="shared" si="73"/>
        <v>8.1644959363507274E-22</v>
      </c>
      <c r="H425" s="1">
        <f t="shared" si="66"/>
        <v>8.014047341648064E-23</v>
      </c>
      <c r="I425">
        <f t="shared" si="67"/>
        <v>60</v>
      </c>
      <c r="J425">
        <f t="shared" si="68"/>
        <v>338</v>
      </c>
      <c r="K425" s="5">
        <f t="shared" si="69"/>
        <v>0</v>
      </c>
      <c r="L425">
        <f t="shared" si="70"/>
        <v>85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-46.67674118180912</v>
      </c>
      <c r="F426" s="1">
        <f t="shared" si="76"/>
        <v>-48.678773991008178</v>
      </c>
      <c r="G426" s="1">
        <f t="shared" si="73"/>
        <v>7.2289807769771963E-22</v>
      </c>
      <c r="H426" s="1">
        <f t="shared" si="66"/>
        <v>7.0957710837508796E-23</v>
      </c>
      <c r="I426">
        <f t="shared" si="67"/>
        <v>60</v>
      </c>
      <c r="J426">
        <f t="shared" si="68"/>
        <v>339</v>
      </c>
      <c r="K426" s="5">
        <f t="shared" si="69"/>
        <v>0</v>
      </c>
      <c r="L426">
        <f t="shared" si="70"/>
        <v>85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-46.798438116786642</v>
      </c>
      <c r="F427" s="1">
        <f t="shared" si="76"/>
        <v>-48.800470925985699</v>
      </c>
      <c r="G427" s="1">
        <f t="shared" si="73"/>
        <v>6.4006600629485503E-22</v>
      </c>
      <c r="H427" s="1">
        <f t="shared" si="66"/>
        <v>6.2827139804044158E-23</v>
      </c>
      <c r="I427">
        <f t="shared" si="67"/>
        <v>60</v>
      </c>
      <c r="J427">
        <f t="shared" si="68"/>
        <v>340</v>
      </c>
      <c r="K427" s="5">
        <f t="shared" si="69"/>
        <v>0</v>
      </c>
      <c r="L427">
        <f t="shared" si="70"/>
        <v>85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-46.920135051764163</v>
      </c>
      <c r="F428" s="1">
        <f t="shared" si="76"/>
        <v>-48.922167860963221</v>
      </c>
      <c r="G428" s="1">
        <f t="shared" si="73"/>
        <v>5.6672510974023541E-22</v>
      </c>
      <c r="H428" s="1">
        <f t="shared" si="66"/>
        <v>5.5628196701497362E-23</v>
      </c>
      <c r="I428">
        <f t="shared" si="67"/>
        <v>60</v>
      </c>
      <c r="J428">
        <f t="shared" si="68"/>
        <v>341</v>
      </c>
      <c r="K428" s="5">
        <f t="shared" si="69"/>
        <v>0</v>
      </c>
      <c r="L428">
        <f t="shared" si="70"/>
        <v>85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-47.041831986741684</v>
      </c>
      <c r="F429" s="1">
        <f t="shared" si="76"/>
        <v>-49.043864795940742</v>
      </c>
      <c r="G429" s="1">
        <f t="shared" si="73"/>
        <v>5.0178785758249932E-22</v>
      </c>
      <c r="H429" s="1">
        <f t="shared" si="66"/>
        <v>4.9254132496117371E-23</v>
      </c>
      <c r="I429">
        <f t="shared" si="67"/>
        <v>60</v>
      </c>
      <c r="J429">
        <f t="shared" si="68"/>
        <v>342</v>
      </c>
      <c r="K429" s="5">
        <f t="shared" si="69"/>
        <v>0</v>
      </c>
      <c r="L429">
        <f t="shared" si="70"/>
        <v>85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-47.163528921719205</v>
      </c>
      <c r="F430" s="1">
        <f t="shared" si="76"/>
        <v>-49.165561730918263</v>
      </c>
      <c r="G430" s="1">
        <f t="shared" si="73"/>
        <v>4.4429133223450404E-22</v>
      </c>
      <c r="H430" s="1">
        <f t="shared" si="66"/>
        <v>4.3610429814270534E-23</v>
      </c>
      <c r="I430">
        <f t="shared" si="67"/>
        <v>60</v>
      </c>
      <c r="J430">
        <f t="shared" si="68"/>
        <v>343</v>
      </c>
      <c r="K430" s="5">
        <f t="shared" si="69"/>
        <v>0</v>
      </c>
      <c r="L430">
        <f t="shared" si="70"/>
        <v>85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-47.285225856696727</v>
      </c>
      <c r="F431" s="1">
        <f t="shared" si="76"/>
        <v>-49.287258665895784</v>
      </c>
      <c r="G431" s="1">
        <f t="shared" si="73"/>
        <v>3.9338295041596653E-22</v>
      </c>
      <c r="H431" s="1">
        <f t="shared" si="66"/>
        <v>3.861340139805198E-23</v>
      </c>
      <c r="I431">
        <f t="shared" si="67"/>
        <v>60</v>
      </c>
      <c r="J431">
        <f t="shared" si="68"/>
        <v>344</v>
      </c>
      <c r="K431" s="5">
        <f t="shared" si="69"/>
        <v>0</v>
      </c>
      <c r="L431">
        <f t="shared" si="70"/>
        <v>85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-47.406922791674248</v>
      </c>
      <c r="F432" s="1">
        <f t="shared" si="76"/>
        <v>-49.408955600873306</v>
      </c>
      <c r="G432" s="1">
        <f t="shared" si="73"/>
        <v>3.4830782068080322E-22</v>
      </c>
      <c r="H432" s="1">
        <f t="shared" si="66"/>
        <v>3.4188949154525144E-23</v>
      </c>
      <c r="I432">
        <f t="shared" si="67"/>
        <v>60</v>
      </c>
      <c r="J432">
        <f t="shared" si="68"/>
        <v>345</v>
      </c>
      <c r="K432" s="5">
        <f t="shared" si="69"/>
        <v>0</v>
      </c>
      <c r="L432">
        <f t="shared" si="70"/>
        <v>85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-47.528619726651769</v>
      </c>
      <c r="F433" s="1">
        <f t="shared" si="76"/>
        <v>-49.530652535850827</v>
      </c>
      <c r="G433" s="1">
        <f t="shared" si="73"/>
        <v>3.0839754956112739E-22</v>
      </c>
      <c r="H433" s="1">
        <f t="shared" si="66"/>
        <v>3.0271465397235757E-23</v>
      </c>
      <c r="I433">
        <f t="shared" si="67"/>
        <v>60</v>
      </c>
      <c r="J433">
        <f t="shared" si="68"/>
        <v>346</v>
      </c>
      <c r="K433" s="5">
        <f t="shared" si="69"/>
        <v>0</v>
      </c>
      <c r="L433">
        <f t="shared" si="70"/>
        <v>85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-47.65031666162929</v>
      </c>
      <c r="F434" s="1">
        <f t="shared" si="76"/>
        <v>-49.652349470828348</v>
      </c>
      <c r="G434" s="1">
        <f t="shared" si="73"/>
        <v>2.7306033034058116E-22</v>
      </c>
      <c r="H434" s="1">
        <f t="shared" si="66"/>
        <v>2.6802859987135787E-23</v>
      </c>
      <c r="I434">
        <f t="shared" si="67"/>
        <v>60</v>
      </c>
      <c r="J434">
        <f t="shared" si="68"/>
        <v>347</v>
      </c>
      <c r="K434" s="5">
        <f t="shared" si="69"/>
        <v>0</v>
      </c>
      <c r="L434">
        <f t="shared" si="70"/>
        <v>85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-47.772013596606811</v>
      </c>
      <c r="F435" s="1">
        <f t="shared" si="76"/>
        <v>-49.774046405805869</v>
      </c>
      <c r="G435" s="1">
        <f t="shared" si="73"/>
        <v>2.4177216748905588E-22</v>
      </c>
      <c r="H435" s="1">
        <f t="shared" si="66"/>
        <v>2.3731698946943112E-23</v>
      </c>
      <c r="I435">
        <f t="shared" si="67"/>
        <v>60</v>
      </c>
      <c r="J435">
        <f t="shared" si="68"/>
        <v>348</v>
      </c>
      <c r="K435" s="5">
        <f t="shared" si="69"/>
        <v>0</v>
      </c>
      <c r="L435">
        <f t="shared" si="70"/>
        <v>85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-47.893710531584333</v>
      </c>
      <c r="F436" s="1">
        <f t="shared" si="76"/>
        <v>-49.89574334078339</v>
      </c>
      <c r="G436" s="1">
        <f t="shared" si="73"/>
        <v>2.1406910663093459E-22</v>
      </c>
      <c r="H436" s="1">
        <f t="shared" si="66"/>
        <v>2.1012441775939183E-23</v>
      </c>
      <c r="I436">
        <f t="shared" si="67"/>
        <v>60</v>
      </c>
      <c r="J436">
        <f t="shared" si="68"/>
        <v>349</v>
      </c>
      <c r="K436" s="5">
        <f t="shared" si="69"/>
        <v>0</v>
      </c>
      <c r="L436">
        <f t="shared" si="70"/>
        <v>85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-48.015407466561854</v>
      </c>
      <c r="F437" s="1">
        <f t="shared" si="76"/>
        <v>-50.017440275760912</v>
      </c>
      <c r="G437" s="1">
        <f t="shared" si="73"/>
        <v>1.8954035482947306E-22</v>
      </c>
      <c r="H437" s="1">
        <f t="shared" si="66"/>
        <v>1.860476615577946E-23</v>
      </c>
      <c r="I437">
        <f t="shared" si="67"/>
        <v>60</v>
      </c>
      <c r="J437">
        <f t="shared" si="68"/>
        <v>350</v>
      </c>
      <c r="K437" s="5">
        <f t="shared" si="69"/>
        <v>0</v>
      </c>
      <c r="L437">
        <f t="shared" si="70"/>
        <v>85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-48.137104401539375</v>
      </c>
      <c r="F438" s="1">
        <f t="shared" si="76"/>
        <v>-50.139137210738433</v>
      </c>
      <c r="G438" s="1">
        <f t="shared" si="73"/>
        <v>1.6782218917192904E-22</v>
      </c>
      <c r="H438" s="1">
        <f t="shared" si="66"/>
        <v>1.647297003376304E-23</v>
      </c>
      <c r="I438">
        <f t="shared" si="67"/>
        <v>60</v>
      </c>
      <c r="J438">
        <f t="shared" si="68"/>
        <v>351</v>
      </c>
      <c r="K438" s="5">
        <f t="shared" si="69"/>
        <v>0</v>
      </c>
      <c r="L438">
        <f t="shared" si="70"/>
        <v>85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-48.258801336516896</v>
      </c>
      <c r="F439" s="1">
        <f t="shared" si="76"/>
        <v>-50.260834145715954</v>
      </c>
      <c r="G439" s="1">
        <f t="shared" si="73"/>
        <v>1.4859256332931197E-22</v>
      </c>
      <c r="H439" s="1">
        <f t="shared" si="66"/>
        <v>1.458544221739434E-23</v>
      </c>
      <c r="I439">
        <f t="shared" si="67"/>
        <v>60</v>
      </c>
      <c r="J439">
        <f t="shared" si="68"/>
        <v>352</v>
      </c>
      <c r="K439" s="5">
        <f t="shared" si="69"/>
        <v>0</v>
      </c>
      <c r="L439">
        <f t="shared" si="70"/>
        <v>85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-48.380498271494417</v>
      </c>
      <c r="F440" s="1">
        <f t="shared" si="76"/>
        <v>-50.382531080693475</v>
      </c>
      <c r="G440" s="1">
        <f t="shared" si="73"/>
        <v>1.3156633211449477E-22</v>
      </c>
      <c r="H440" s="1">
        <f t="shared" si="66"/>
        <v>1.291419362998455E-23</v>
      </c>
      <c r="I440">
        <f t="shared" si="67"/>
        <v>60</v>
      </c>
      <c r="J440">
        <f t="shared" si="68"/>
        <v>353</v>
      </c>
      <c r="K440" s="5">
        <f t="shared" si="69"/>
        <v>0</v>
      </c>
      <c r="L440">
        <f t="shared" si="70"/>
        <v>85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-48.502195206471939</v>
      </c>
      <c r="F441" s="1">
        <f t="shared" si="76"/>
        <v>-50.504228015670996</v>
      </c>
      <c r="G441" s="1">
        <f t="shared" si="73"/>
        <v>1.1649102322637543E-22</v>
      </c>
      <c r="H441" s="1">
        <f t="shared" si="66"/>
        <v>1.1434442276548807E-23</v>
      </c>
      <c r="I441">
        <f t="shared" si="67"/>
        <v>60</v>
      </c>
      <c r="J441">
        <f t="shared" si="68"/>
        <v>354</v>
      </c>
      <c r="K441" s="5">
        <f t="shared" si="69"/>
        <v>0</v>
      </c>
      <c r="L441">
        <f t="shared" si="70"/>
        <v>85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-48.62389214144946</v>
      </c>
      <c r="F442" s="1">
        <f t="shared" si="76"/>
        <v>-50.625924950648518</v>
      </c>
      <c r="G442" s="1">
        <f t="shared" si="73"/>
        <v>1.0314309348168642E-22</v>
      </c>
      <c r="H442" s="1">
        <f t="shared" si="66"/>
        <v>1.012424576569424E-23</v>
      </c>
      <c r="I442">
        <f t="shared" si="67"/>
        <v>60</v>
      </c>
      <c r="J442">
        <f t="shared" si="68"/>
        <v>355</v>
      </c>
      <c r="K442" s="5">
        <f t="shared" si="69"/>
        <v>0</v>
      </c>
      <c r="L442">
        <f t="shared" si="70"/>
        <v>85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-48.745589076426981</v>
      </c>
      <c r="F443" s="1">
        <f t="shared" si="76"/>
        <v>-50.747621885626039</v>
      </c>
      <c r="G443" s="1">
        <f t="shared" si="73"/>
        <v>9.1324614020243054E-23</v>
      </c>
      <c r="H443" s="1">
        <f t="shared" si="66"/>
        <v>8.9641759383750952E-24</v>
      </c>
      <c r="I443">
        <f t="shared" si="67"/>
        <v>60</v>
      </c>
      <c r="J443">
        <f t="shared" si="68"/>
        <v>356</v>
      </c>
      <c r="K443" s="5">
        <f t="shared" si="69"/>
        <v>0</v>
      </c>
      <c r="L443">
        <f t="shared" si="70"/>
        <v>85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-48.867286011404502</v>
      </c>
      <c r="F444" s="1">
        <f t="shared" si="76"/>
        <v>-50.86931882060356</v>
      </c>
      <c r="G444" s="1">
        <f t="shared" si="73"/>
        <v>8.0860335330423426E-23</v>
      </c>
      <c r="H444" s="1">
        <f t="shared" si="66"/>
        <v>7.9370307787696044E-24</v>
      </c>
      <c r="I444">
        <f t="shared" si="67"/>
        <v>60</v>
      </c>
      <c r="J444">
        <f t="shared" si="68"/>
        <v>357</v>
      </c>
      <c r="K444" s="5">
        <f t="shared" si="69"/>
        <v>0</v>
      </c>
      <c r="L444">
        <f t="shared" si="70"/>
        <v>85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-48.988982946382023</v>
      </c>
      <c r="F445" s="1">
        <f t="shared" si="76"/>
        <v>-50.991015755581081</v>
      </c>
      <c r="G445" s="1">
        <f t="shared" si="73"/>
        <v>7.1595088573812306E-23</v>
      </c>
      <c r="H445" s="1">
        <f t="shared" si="66"/>
        <v>7.0275793353689106E-24</v>
      </c>
      <c r="I445">
        <f t="shared" si="67"/>
        <v>60</v>
      </c>
      <c r="J445">
        <f t="shared" si="68"/>
        <v>358</v>
      </c>
      <c r="K445" s="5">
        <f t="shared" si="69"/>
        <v>0</v>
      </c>
      <c r="L445">
        <f t="shared" si="70"/>
        <v>85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-49.110679881359545</v>
      </c>
      <c r="F446" s="1">
        <f t="shared" si="76"/>
        <v>-51.112712690558602</v>
      </c>
      <c r="G446" s="1">
        <f t="shared" si="73"/>
        <v>6.3391484674729549E-23</v>
      </c>
      <c r="H446" s="1">
        <f t="shared" si="66"/>
        <v>6.2223358698578802E-24</v>
      </c>
      <c r="I446">
        <f t="shared" si="67"/>
        <v>60</v>
      </c>
      <c r="J446">
        <f t="shared" si="68"/>
        <v>359</v>
      </c>
      <c r="K446" s="5">
        <f t="shared" si="69"/>
        <v>0</v>
      </c>
      <c r="L446">
        <f t="shared" si="70"/>
        <v>85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-49.232376816337066</v>
      </c>
      <c r="F447" s="1">
        <f t="shared" si="76"/>
        <v>-51.234409625536124</v>
      </c>
      <c r="G447" s="1">
        <f t="shared" si="73"/>
        <v>5.6127877055750045E-23</v>
      </c>
      <c r="H447" s="1">
        <f t="shared" si="66"/>
        <v>5.5093598847699908E-24</v>
      </c>
      <c r="I447">
        <f t="shared" si="67"/>
        <v>60</v>
      </c>
      <c r="J447">
        <f t="shared" si="68"/>
        <v>360</v>
      </c>
      <c r="K447" s="5">
        <f t="shared" si="69"/>
        <v>0</v>
      </c>
      <c r="L447">
        <f t="shared" si="70"/>
        <v>85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-49.354073751314587</v>
      </c>
      <c r="F448" s="1">
        <f t="shared" si="76"/>
        <v>-51.356106560513645</v>
      </c>
      <c r="G448" s="1">
        <f t="shared" si="73"/>
        <v>4.9696557809778613E-23</v>
      </c>
      <c r="H448" s="1">
        <f t="shared" si="66"/>
        <v>4.8780790646400888E-24</v>
      </c>
      <c r="I448">
        <f t="shared" si="67"/>
        <v>60</v>
      </c>
      <c r="J448">
        <f t="shared" si="68"/>
        <v>361</v>
      </c>
      <c r="K448" s="5">
        <f t="shared" si="69"/>
        <v>0</v>
      </c>
      <c r="L448">
        <f t="shared" si="70"/>
        <v>85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-49.475770686292108</v>
      </c>
      <c r="F449" s="1">
        <f t="shared" si="76"/>
        <v>-51.477803495491166</v>
      </c>
      <c r="G449" s="1">
        <f t="shared" si="73"/>
        <v>4.4002160560741422E-23</v>
      </c>
      <c r="H449" s="1">
        <f t="shared" si="66"/>
        <v>4.3191325051500729E-24</v>
      </c>
      <c r="I449">
        <f t="shared" si="67"/>
        <v>60</v>
      </c>
      <c r="J449">
        <f t="shared" si="68"/>
        <v>362</v>
      </c>
      <c r="K449" s="5">
        <f t="shared" si="69"/>
        <v>0</v>
      </c>
      <c r="L449">
        <f t="shared" si="70"/>
        <v>85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-49.597467621269629</v>
      </c>
      <c r="F450" s="1">
        <f t="shared" si="76"/>
        <v>-51.599500430468687</v>
      </c>
      <c r="G450" s="1">
        <f t="shared" si="73"/>
        <v>3.8960246329823076E-23</v>
      </c>
      <c r="H450" s="1">
        <f t="shared" si="66"/>
        <v>3.8242319056016217E-24</v>
      </c>
      <c r="I450">
        <f t="shared" si="67"/>
        <v>60</v>
      </c>
      <c r="J450">
        <f t="shared" si="68"/>
        <v>363</v>
      </c>
      <c r="K450" s="5">
        <f t="shared" si="69"/>
        <v>0</v>
      </c>
      <c r="L450">
        <f t="shared" si="70"/>
        <v>85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-49.719164556247151</v>
      </c>
      <c r="F451" s="1">
        <f t="shared" si="76"/>
        <v>-51.721197365446208</v>
      </c>
      <c r="G451" s="1">
        <f t="shared" si="73"/>
        <v>3.4496051437864134E-23</v>
      </c>
      <c r="H451" s="1">
        <f t="shared" si="66"/>
        <v>3.3860386664180976E-24</v>
      </c>
      <c r="I451">
        <f t="shared" si="67"/>
        <v>60</v>
      </c>
      <c r="J451">
        <f t="shared" si="68"/>
        <v>364</v>
      </c>
      <c r="K451" s="5">
        <f t="shared" si="69"/>
        <v>0</v>
      </c>
      <c r="L451">
        <f t="shared" si="70"/>
        <v>85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-49.840861491224672</v>
      </c>
      <c r="F452" s="1">
        <f t="shared" si="76"/>
        <v>-51.84289430042373</v>
      </c>
      <c r="G452" s="1">
        <f t="shared" si="73"/>
        <v>3.0543378877275491E-23</v>
      </c>
      <c r="H452" s="1">
        <f t="shared" si="66"/>
        <v>2.9980550692243531E-24</v>
      </c>
      <c r="I452">
        <f t="shared" si="67"/>
        <v>60</v>
      </c>
      <c r="J452">
        <f t="shared" si="68"/>
        <v>365</v>
      </c>
      <c r="K452" s="5">
        <f t="shared" si="69"/>
        <v>0</v>
      </c>
      <c r="L452">
        <f t="shared" si="70"/>
        <v>85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-49.962558426202193</v>
      </c>
      <c r="F453" s="1">
        <f t="shared" si="76"/>
        <v>-51.964591235401251</v>
      </c>
      <c r="G453" s="1">
        <f t="shared" si="73"/>
        <v>2.70436167142543E-23</v>
      </c>
      <c r="H453" s="1">
        <f t="shared" si="66"/>
        <v>2.6545279258757252E-24</v>
      </c>
      <c r="I453">
        <f t="shared" si="67"/>
        <v>60</v>
      </c>
      <c r="J453">
        <f t="shared" si="68"/>
        <v>366</v>
      </c>
      <c r="K453" s="5">
        <f t="shared" si="69"/>
        <v>0</v>
      </c>
      <c r="L453">
        <f t="shared" si="70"/>
        <v>85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-50.084255361179714</v>
      </c>
      <c r="F454" s="1">
        <f t="shared" si="76"/>
        <v>-52.086288170378772</v>
      </c>
      <c r="G454" s="1">
        <f t="shared" si="73"/>
        <v>2.3944868965745963E-23</v>
      </c>
      <c r="H454" s="1">
        <f t="shared" si="66"/>
        <v>2.3503632677024617E-24</v>
      </c>
      <c r="I454">
        <f t="shared" si="67"/>
        <v>60</v>
      </c>
      <c r="J454">
        <f t="shared" si="68"/>
        <v>367</v>
      </c>
      <c r="K454" s="5">
        <f t="shared" si="69"/>
        <v>0</v>
      </c>
      <c r="L454">
        <f t="shared" si="70"/>
        <v>85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-50.205952296157236</v>
      </c>
      <c r="F455" s="1">
        <f t="shared" si="76"/>
        <v>-52.207985105356293</v>
      </c>
      <c r="G455" s="1">
        <f t="shared" si="73"/>
        <v>2.1201186063420875E-23</v>
      </c>
      <c r="H455" s="1">
        <f t="shared" si="66"/>
        <v>2.0810508099448853E-24</v>
      </c>
      <c r="I455">
        <f t="shared" si="67"/>
        <v>60</v>
      </c>
      <c r="J455">
        <f t="shared" si="68"/>
        <v>368</v>
      </c>
      <c r="K455" s="5">
        <f t="shared" si="69"/>
        <v>0</v>
      </c>
      <c r="L455">
        <f t="shared" si="70"/>
        <v>85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-50.327649231134757</v>
      </c>
      <c r="F456" s="1">
        <f t="shared" si="76"/>
        <v>-52.329682040333815</v>
      </c>
      <c r="G456" s="1">
        <f t="shared" si="73"/>
        <v>1.8771883493653872E-23</v>
      </c>
      <c r="H456" s="1">
        <f t="shared" si="66"/>
        <v>1.8425970713053644E-24</v>
      </c>
      <c r="I456">
        <f t="shared" si="67"/>
        <v>60</v>
      </c>
      <c r="J456">
        <f t="shared" si="68"/>
        <v>369</v>
      </c>
      <c r="K456" s="5">
        <f t="shared" si="69"/>
        <v>0</v>
      </c>
      <c r="L456">
        <f t="shared" si="70"/>
        <v>85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-50.449346166112278</v>
      </c>
      <c r="F457" s="1">
        <f t="shared" si="76"/>
        <v>-52.451378975311336</v>
      </c>
      <c r="G457" s="1">
        <f t="shared" si="73"/>
        <v>1.6620938510006009E-23</v>
      </c>
      <c r="H457" s="1">
        <f t="shared" si="66"/>
        <v>1.6314661568849558E-24</v>
      </c>
      <c r="I457">
        <f t="shared" si="67"/>
        <v>60</v>
      </c>
      <c r="J457">
        <f t="shared" si="68"/>
        <v>370</v>
      </c>
      <c r="K457" s="5">
        <f t="shared" si="69"/>
        <v>0</v>
      </c>
      <c r="L457">
        <f t="shared" si="70"/>
        <v>85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-50.571043101089799</v>
      </c>
      <c r="F458" s="1">
        <f t="shared" si="76"/>
        <v>-52.573075910288857</v>
      </c>
      <c r="G458" s="1">
        <f t="shared" si="73"/>
        <v>1.4716455972401134E-23</v>
      </c>
      <c r="H458" s="1">
        <f t="shared" si="66"/>
        <v>1.4445273264085525E-24</v>
      </c>
      <c r="I458">
        <f t="shared" si="67"/>
        <v>60</v>
      </c>
      <c r="J458">
        <f t="shared" si="68"/>
        <v>371</v>
      </c>
      <c r="K458" s="5">
        <f t="shared" si="69"/>
        <v>0</v>
      </c>
      <c r="L458">
        <f t="shared" si="70"/>
        <v>85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-50.69274003606732</v>
      </c>
      <c r="F459" s="1">
        <f t="shared" si="76"/>
        <v>-52.694772845266378</v>
      </c>
      <c r="G459" s="1">
        <f t="shared" si="73"/>
        <v>1.3030195392230151E-23</v>
      </c>
      <c r="H459" s="1">
        <f t="shared" si="66"/>
        <v>1.2790085702575707E-24</v>
      </c>
      <c r="I459">
        <f t="shared" si="67"/>
        <v>60</v>
      </c>
      <c r="J459">
        <f t="shared" si="68"/>
        <v>372</v>
      </c>
      <c r="K459" s="5">
        <f t="shared" si="69"/>
        <v>0</v>
      </c>
      <c r="L459">
        <f t="shared" si="70"/>
        <v>85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-50.814436971044842</v>
      </c>
      <c r="F460" s="1">
        <f t="shared" si="76"/>
        <v>-52.816469780243899</v>
      </c>
      <c r="G460" s="1">
        <f t="shared" si="73"/>
        <v>1.1537152170203763E-23</v>
      </c>
      <c r="H460" s="1">
        <f t="shared" si="66"/>
        <v>1.1324555049155559E-24</v>
      </c>
      <c r="I460">
        <f t="shared" si="67"/>
        <v>60</v>
      </c>
      <c r="J460">
        <f t="shared" si="68"/>
        <v>373</v>
      </c>
      <c r="K460" s="5">
        <f t="shared" si="69"/>
        <v>0</v>
      </c>
      <c r="L460">
        <f t="shared" si="70"/>
        <v>85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-50.936133906022363</v>
      </c>
      <c r="F461" s="1">
        <f t="shared" si="76"/>
        <v>-52.938166715221421</v>
      </c>
      <c r="G461" s="1">
        <f t="shared" si="73"/>
        <v>1.02151868173679E-23</v>
      </c>
      <c r="H461" s="1">
        <f t="shared" si="66"/>
        <v>1.002694978310647E-24</v>
      </c>
      <c r="I461">
        <f t="shared" si="67"/>
        <v>60</v>
      </c>
      <c r="J461">
        <f t="shared" si="68"/>
        <v>374</v>
      </c>
      <c r="K461" s="5">
        <f t="shared" si="69"/>
        <v>0</v>
      </c>
      <c r="L461">
        <f t="shared" si="70"/>
        <v>85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-51.057830840999884</v>
      </c>
      <c r="F462" s="1">
        <f t="shared" si="76"/>
        <v>-53.059863650198942</v>
      </c>
      <c r="G462" s="1">
        <f t="shared" si="73"/>
        <v>9.0446966612111497E-24</v>
      </c>
      <c r="H462" s="1">
        <f t="shared" si="66"/>
        <v>8.8780284537921743E-25</v>
      </c>
      <c r="I462">
        <f t="shared" si="67"/>
        <v>60</v>
      </c>
      <c r="J462">
        <f t="shared" si="68"/>
        <v>375</v>
      </c>
      <c r="K462" s="5">
        <f t="shared" si="69"/>
        <v>0</v>
      </c>
      <c r="L462">
        <f t="shared" si="70"/>
        <v>85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-51.179527775977405</v>
      </c>
      <c r="F463" s="1">
        <f t="shared" si="76"/>
        <v>-53.181560585176463</v>
      </c>
      <c r="G463" s="1">
        <f t="shared" si="73"/>
        <v>8.0083251687806938E-24</v>
      </c>
      <c r="H463" s="1">
        <f t="shared" si="66"/>
        <v>7.8607543601284762E-25</v>
      </c>
      <c r="I463">
        <f t="shared" si="67"/>
        <v>60</v>
      </c>
      <c r="J463">
        <f t="shared" si="68"/>
        <v>376</v>
      </c>
      <c r="K463" s="5">
        <f t="shared" si="69"/>
        <v>0</v>
      </c>
      <c r="L463">
        <f t="shared" si="70"/>
        <v>85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-51.301224710954926</v>
      </c>
      <c r="F464" s="1">
        <f t="shared" si="76"/>
        <v>-53.303257520153984</v>
      </c>
      <c r="G464" s="1">
        <f t="shared" si="73"/>
        <v>7.0907045765245632E-24</v>
      </c>
      <c r="H464" s="1">
        <f t="shared" si="66"/>
        <v>6.9600429230304117E-25</v>
      </c>
      <c r="I464">
        <f t="shared" si="67"/>
        <v>60</v>
      </c>
      <c r="J464">
        <f t="shared" si="68"/>
        <v>377</v>
      </c>
      <c r="K464" s="5">
        <f t="shared" si="69"/>
        <v>0</v>
      </c>
      <c r="L464">
        <f t="shared" si="70"/>
        <v>85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-51.422921645932448</v>
      </c>
      <c r="F465" s="1">
        <f t="shared" si="76"/>
        <v>-53.424954455131505</v>
      </c>
      <c r="G465" s="1">
        <f t="shared" si="73"/>
        <v>6.2782280104644472E-24</v>
      </c>
      <c r="H465" s="1">
        <f t="shared" si="66"/>
        <v>6.1625380047665009E-25</v>
      </c>
      <c r="I465">
        <f t="shared" si="67"/>
        <v>60</v>
      </c>
      <c r="J465">
        <f t="shared" si="68"/>
        <v>378</v>
      </c>
      <c r="K465" s="5">
        <f t="shared" si="69"/>
        <v>0</v>
      </c>
      <c r="L465">
        <f t="shared" si="70"/>
        <v>85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-51.544618580909969</v>
      </c>
      <c r="F466" s="1">
        <f t="shared" si="76"/>
        <v>-53.546651390109027</v>
      </c>
      <c r="G466" s="1">
        <f t="shared" si="73"/>
        <v>5.5588477175987216E-24</v>
      </c>
      <c r="H466" s="1">
        <f t="shared" si="66"/>
        <v>5.4564138583869983E-25</v>
      </c>
      <c r="I466">
        <f t="shared" si="67"/>
        <v>60</v>
      </c>
      <c r="J466">
        <f t="shared" si="68"/>
        <v>379</v>
      </c>
      <c r="K466" s="5">
        <f t="shared" si="69"/>
        <v>0</v>
      </c>
      <c r="L466">
        <f t="shared" si="70"/>
        <v>85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-51.66631551588749</v>
      </c>
      <c r="F467" s="1">
        <f t="shared" si="76"/>
        <v>-53.668348325086548</v>
      </c>
      <c r="G467" s="1">
        <f t="shared" si="73"/>
        <v>4.9218964166238614E-24</v>
      </c>
      <c r="H467" s="1">
        <f t="shared" si="66"/>
        <v>4.8311997704468153E-25</v>
      </c>
      <c r="I467">
        <f t="shared" si="67"/>
        <v>60</v>
      </c>
      <c r="J467">
        <f t="shared" si="68"/>
        <v>380</v>
      </c>
      <c r="K467" s="5">
        <f t="shared" si="69"/>
        <v>0</v>
      </c>
      <c r="L467">
        <f t="shared" si="70"/>
        <v>85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-51.788012450865011</v>
      </c>
      <c r="F468" s="1">
        <f t="shared" si="76"/>
        <v>-53.790045260064069</v>
      </c>
      <c r="G468" s="1">
        <f t="shared" si="73"/>
        <v>4.3579291188857042E-24</v>
      </c>
      <c r="H468" s="1">
        <f t="shared" si="66"/>
        <v>4.2776247967497781E-25</v>
      </c>
      <c r="I468">
        <f t="shared" si="67"/>
        <v>60</v>
      </c>
      <c r="J468">
        <f t="shared" si="68"/>
        <v>381</v>
      </c>
      <c r="K468" s="5">
        <f t="shared" si="69"/>
        <v>0</v>
      </c>
      <c r="L468">
        <f t="shared" si="70"/>
        <v>85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-51.909709385842532</v>
      </c>
      <c r="F469" s="1">
        <f t="shared" si="76"/>
        <v>-53.91174219504159</v>
      </c>
      <c r="G469" s="1">
        <f t="shared" si="73"/>
        <v>3.8585830740133782E-24</v>
      </c>
      <c r="H469" s="1">
        <f t="shared" si="66"/>
        <v>3.7874802887888604E-25</v>
      </c>
      <c r="I469">
        <f t="shared" si="67"/>
        <v>60</v>
      </c>
      <c r="J469">
        <f t="shared" si="68"/>
        <v>382</v>
      </c>
      <c r="K469" s="5">
        <f t="shared" si="69"/>
        <v>0</v>
      </c>
      <c r="L469">
        <f t="shared" si="70"/>
        <v>85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-52.031406320820054</v>
      </c>
      <c r="F470" s="1">
        <f t="shared" si="76"/>
        <v>-54.033439130019111</v>
      </c>
      <c r="G470" s="1">
        <f t="shared" si="73"/>
        <v>3.4164537634493402E-24</v>
      </c>
      <c r="H470" s="1">
        <f t="shared" si="66"/>
        <v>3.3534981723651317E-25</v>
      </c>
      <c r="I470">
        <f t="shared" si="67"/>
        <v>60</v>
      </c>
      <c r="J470">
        <f t="shared" si="68"/>
        <v>383</v>
      </c>
      <c r="K470" s="5">
        <f t="shared" si="69"/>
        <v>0</v>
      </c>
      <c r="L470">
        <f t="shared" si="70"/>
        <v>85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-52.153103255797575</v>
      </c>
      <c r="F471" s="1">
        <f t="shared" si="76"/>
        <v>-54.155136064996633</v>
      </c>
      <c r="G471" s="1">
        <f t="shared" si="73"/>
        <v>3.0249851030540993E-24</v>
      </c>
      <c r="H471" s="1">
        <f t="shared" ref="H471:H534" si="77">G471/$G$21</f>
        <v>2.9692431734482897E-25</v>
      </c>
      <c r="I471">
        <f t="shared" ref="I471:I534" si="78">IF($F$11&lt;=D471, IF(D471&lt;=$A$15,D471-$F$11,$C$11),0)</f>
        <v>60</v>
      </c>
      <c r="J471">
        <f t="shared" ref="J471:J534" si="79">IF(D471&lt;=$A$15,0,D471-$A$15)</f>
        <v>384</v>
      </c>
      <c r="K471" s="5">
        <f t="shared" ref="K471:K534" si="80">IF(D471&lt;$F$11,H471,0)</f>
        <v>0</v>
      </c>
      <c r="L471">
        <f t="shared" ref="L471:L534" si="81">IF(D471&lt;$A$15,$D$11,$D$11*(1-$H$11))</f>
        <v>85</v>
      </c>
      <c r="M471">
        <f t="shared" ref="M471:M534" si="82">IF(D471&lt;$A$15,0,1)</f>
        <v>1</v>
      </c>
      <c r="N471">
        <f t="shared" ref="N471:N534" si="83">IF(SUM(I471:J471)&lt;=($G$11/60*$F$11/($E$11/60)),1,0)</f>
        <v>0</v>
      </c>
    </row>
    <row r="472" spans="4:14" x14ac:dyDescent="0.2">
      <c r="D472">
        <f t="shared" si="74"/>
        <v>449</v>
      </c>
      <c r="E472" s="1">
        <f t="shared" si="75"/>
        <v>-52.274800190775096</v>
      </c>
      <c r="F472" s="1">
        <f t="shared" si="76"/>
        <v>-54.276832999974154</v>
      </c>
      <c r="G472" s="1">
        <f t="shared" ref="G472:G535" si="84">EXP(F472)</f>
        <v>2.6783722266624801E-24</v>
      </c>
      <c r="H472" s="1">
        <f t="shared" si="77"/>
        <v>2.6290173931573365E-25</v>
      </c>
      <c r="I472">
        <f t="shared" si="78"/>
        <v>60</v>
      </c>
      <c r="J472">
        <f t="shared" si="79"/>
        <v>385</v>
      </c>
      <c r="K472" s="5">
        <f t="shared" si="80"/>
        <v>0</v>
      </c>
      <c r="L472">
        <f t="shared" si="81"/>
        <v>85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IF($H$11=1,IF(D473&lt;=$A$15, E472+LN($D$11)-LN(60/$E$11)-LN(MIN(D473,$F$11)), E472-LN(60/$E$11)-LN(MIN(D473,$F$11))), IF(D473&lt;=$A$15, E472+LN($D$11)-LN(60/$E$11)-LN(MIN(D473,$F$11)), E472+LN($D$11)+LN(1-$H$11)-LN(60/$E$11)-LN(MIN(D473,$F$11))))</f>
        <v>-52.396497125752617</v>
      </c>
      <c r="F473" s="1">
        <f t="shared" ref="F473:F536" si="87">E473-$E$21</f>
        <v>-54.398529934951675</v>
      </c>
      <c r="G473" s="1">
        <f t="shared" si="84"/>
        <v>2.3714754090240672E-24</v>
      </c>
      <c r="H473" s="1">
        <f t="shared" si="77"/>
        <v>2.3277758168580543E-25</v>
      </c>
      <c r="I473">
        <f t="shared" si="78"/>
        <v>60</v>
      </c>
      <c r="J473">
        <f t="shared" si="79"/>
        <v>386</v>
      </c>
      <c r="K473" s="5">
        <f t="shared" si="80"/>
        <v>0</v>
      </c>
      <c r="L473">
        <f t="shared" si="81"/>
        <v>85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-52.518194060730139</v>
      </c>
      <c r="F474" s="1">
        <f t="shared" si="87"/>
        <v>-54.520226869929196</v>
      </c>
      <c r="G474" s="1">
        <f t="shared" si="84"/>
        <v>2.0997438517400568E-24</v>
      </c>
      <c r="H474" s="1">
        <f t="shared" si="77"/>
        <v>2.0610515045097332E-25</v>
      </c>
      <c r="I474">
        <f t="shared" si="78"/>
        <v>60</v>
      </c>
      <c r="J474">
        <f t="shared" si="79"/>
        <v>387</v>
      </c>
      <c r="K474" s="5">
        <f t="shared" si="80"/>
        <v>0</v>
      </c>
      <c r="L474">
        <f t="shared" si="81"/>
        <v>85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-52.63989099570766</v>
      </c>
      <c r="F475" s="1">
        <f t="shared" si="87"/>
        <v>-54.641923804906718</v>
      </c>
      <c r="G475" s="1">
        <f t="shared" si="84"/>
        <v>1.8591482020615058E-24</v>
      </c>
      <c r="H475" s="1">
        <f t="shared" si="77"/>
        <v>1.8248893529513235E-25</v>
      </c>
      <c r="I475">
        <f t="shared" si="78"/>
        <v>60</v>
      </c>
      <c r="J475">
        <f t="shared" si="79"/>
        <v>388</v>
      </c>
      <c r="K475" s="5">
        <f t="shared" si="80"/>
        <v>0</v>
      </c>
      <c r="L475">
        <f t="shared" si="81"/>
        <v>85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-52.761587930685181</v>
      </c>
      <c r="F476" s="1">
        <f t="shared" si="87"/>
        <v>-54.763620739884239</v>
      </c>
      <c r="G476" s="1">
        <f t="shared" si="84"/>
        <v>1.6461208039086226E-24</v>
      </c>
      <c r="H476" s="1">
        <f t="shared" si="77"/>
        <v>1.6157874479256487E-25</v>
      </c>
      <c r="I476">
        <f t="shared" si="78"/>
        <v>60</v>
      </c>
      <c r="J476">
        <f t="shared" si="79"/>
        <v>389</v>
      </c>
      <c r="K476" s="5">
        <f t="shared" si="80"/>
        <v>0</v>
      </c>
      <c r="L476">
        <f t="shared" si="81"/>
        <v>85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-52.883284865662702</v>
      </c>
      <c r="F477" s="1">
        <f t="shared" si="87"/>
        <v>-54.88531767486176</v>
      </c>
      <c r="G477" s="1">
        <f t="shared" si="84"/>
        <v>1.4575027951274242E-24</v>
      </c>
      <c r="H477" s="1">
        <f t="shared" si="77"/>
        <v>1.4306451361841662E-25</v>
      </c>
      <c r="I477">
        <f t="shared" si="78"/>
        <v>60</v>
      </c>
      <c r="J477">
        <f t="shared" si="79"/>
        <v>390</v>
      </c>
      <c r="K477" s="5">
        <f t="shared" si="80"/>
        <v>0</v>
      </c>
      <c r="L477">
        <f t="shared" si="81"/>
        <v>85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-53.004981800640223</v>
      </c>
      <c r="F478" s="1">
        <f t="shared" si="87"/>
        <v>-55.007014609839281</v>
      </c>
      <c r="G478" s="1">
        <f t="shared" si="84"/>
        <v>1.2904972665190717E-24</v>
      </c>
      <c r="H478" s="1">
        <f t="shared" si="77"/>
        <v>1.2667170476630619E-25</v>
      </c>
      <c r="I478">
        <f t="shared" si="78"/>
        <v>60</v>
      </c>
      <c r="J478">
        <f t="shared" si="79"/>
        <v>391</v>
      </c>
      <c r="K478" s="5">
        <f t="shared" si="80"/>
        <v>0</v>
      </c>
      <c r="L478">
        <f t="shared" si="81"/>
        <v>85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-53.126678735617745</v>
      </c>
      <c r="F479" s="1">
        <f t="shared" si="87"/>
        <v>-55.128711544816802</v>
      </c>
      <c r="G479" s="1">
        <f t="shared" si="84"/>
        <v>1.1426277880637598E-24</v>
      </c>
      <c r="H479" s="1">
        <f t="shared" si="77"/>
        <v>1.1215723859516677E-25</v>
      </c>
      <c r="I479">
        <f t="shared" si="78"/>
        <v>60</v>
      </c>
      <c r="J479">
        <f t="shared" si="79"/>
        <v>392</v>
      </c>
      <c r="K479" s="5">
        <f t="shared" si="80"/>
        <v>0</v>
      </c>
      <c r="L479">
        <f t="shared" si="81"/>
        <v>85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-53.248375670595266</v>
      </c>
      <c r="F480" s="1">
        <f t="shared" si="87"/>
        <v>-55.250408479794324</v>
      </c>
      <c r="G480" s="1">
        <f t="shared" si="84"/>
        <v>1.0117016873481192E-24</v>
      </c>
      <c r="H480" s="1">
        <f t="shared" si="77"/>
        <v>9.9305888339470443E-26</v>
      </c>
      <c r="I480">
        <f t="shared" si="78"/>
        <v>60</v>
      </c>
      <c r="J480">
        <f t="shared" si="79"/>
        <v>393</v>
      </c>
      <c r="K480" s="5">
        <f t="shared" si="80"/>
        <v>0</v>
      </c>
      <c r="L480">
        <f t="shared" si="81"/>
        <v>85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-53.370072605572787</v>
      </c>
      <c r="F481" s="1">
        <f t="shared" si="87"/>
        <v>-55.372105414771845</v>
      </c>
      <c r="G481" s="1">
        <f t="shared" si="84"/>
        <v>8.9577753567281261E-25</v>
      </c>
      <c r="H481" s="1">
        <f t="shared" si="77"/>
        <v>8.7927088633906001E-26</v>
      </c>
      <c r="I481">
        <f t="shared" si="78"/>
        <v>60</v>
      </c>
      <c r="J481">
        <f t="shared" si="79"/>
        <v>394</v>
      </c>
      <c r="K481" s="5">
        <f t="shared" si="80"/>
        <v>0</v>
      </c>
      <c r="L481">
        <f t="shared" si="81"/>
        <v>85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-53.491769540550308</v>
      </c>
      <c r="F482" s="1">
        <f t="shared" si="87"/>
        <v>-55.493802349749366</v>
      </c>
      <c r="G482" s="1">
        <f t="shared" si="84"/>
        <v>7.9313635971030169E-25</v>
      </c>
      <c r="H482" s="1">
        <f t="shared" si="77"/>
        <v>7.7852109727937489E-26</v>
      </c>
      <c r="I482">
        <f t="shared" si="78"/>
        <v>60</v>
      </c>
      <c r="J482">
        <f t="shared" si="79"/>
        <v>395</v>
      </c>
      <c r="K482" s="5">
        <f t="shared" si="80"/>
        <v>0</v>
      </c>
      <c r="L482">
        <f t="shared" si="81"/>
        <v>85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-53.613466475527829</v>
      </c>
      <c r="F483" s="1">
        <f t="shared" si="87"/>
        <v>-55.615499284726887</v>
      </c>
      <c r="G483" s="1">
        <f t="shared" si="84"/>
        <v>7.0225615182682859E-25</v>
      </c>
      <c r="H483" s="1">
        <f t="shared" si="77"/>
        <v>6.8931555488277892E-26</v>
      </c>
      <c r="I483">
        <f t="shared" si="78"/>
        <v>60</v>
      </c>
      <c r="J483">
        <f t="shared" si="79"/>
        <v>396</v>
      </c>
      <c r="K483" s="5">
        <f t="shared" si="80"/>
        <v>0</v>
      </c>
      <c r="L483">
        <f t="shared" si="81"/>
        <v>85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-53.735163410505351</v>
      </c>
      <c r="F484" s="1">
        <f t="shared" si="87"/>
        <v>-55.737196219704408</v>
      </c>
      <c r="G484" s="1">
        <f t="shared" si="84"/>
        <v>6.2178930109667025E-25</v>
      </c>
      <c r="H484" s="1">
        <f t="shared" si="77"/>
        <v>6.1033148088579296E-26</v>
      </c>
      <c r="I484">
        <f t="shared" si="78"/>
        <v>60</v>
      </c>
      <c r="J484">
        <f t="shared" si="79"/>
        <v>397</v>
      </c>
      <c r="K484" s="5">
        <f t="shared" si="80"/>
        <v>0</v>
      </c>
      <c r="L484">
        <f t="shared" si="81"/>
        <v>85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-53.856860345482872</v>
      </c>
      <c r="F485" s="1">
        <f t="shared" si="87"/>
        <v>-55.85889315468193</v>
      </c>
      <c r="G485" s="1">
        <f t="shared" si="84"/>
        <v>5.5054261034600933E-25</v>
      </c>
      <c r="H485" s="1">
        <f t="shared" si="77"/>
        <v>5.4039766536762832E-26</v>
      </c>
      <c r="I485">
        <f t="shared" si="78"/>
        <v>60</v>
      </c>
      <c r="J485">
        <f t="shared" si="79"/>
        <v>398</v>
      </c>
      <c r="K485" s="5">
        <f t="shared" si="80"/>
        <v>0</v>
      </c>
      <c r="L485">
        <f t="shared" si="81"/>
        <v>85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-53.978557280460393</v>
      </c>
      <c r="F486" s="1">
        <f t="shared" si="87"/>
        <v>-55.980590089659451</v>
      </c>
      <c r="G486" s="1">
        <f t="shared" si="84"/>
        <v>4.8745960291052845E-25</v>
      </c>
      <c r="H486" s="1">
        <f t="shared" si="77"/>
        <v>4.7847709954425366E-26</v>
      </c>
      <c r="I486">
        <f t="shared" si="78"/>
        <v>60</v>
      </c>
      <c r="J486">
        <f t="shared" si="79"/>
        <v>399</v>
      </c>
      <c r="K486" s="5">
        <f t="shared" si="80"/>
        <v>0</v>
      </c>
      <c r="L486">
        <f t="shared" si="81"/>
        <v>85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-54.100254215437914</v>
      </c>
      <c r="F487" s="1">
        <f t="shared" si="87"/>
        <v>-56.102287024636972</v>
      </c>
      <c r="G487" s="1">
        <f t="shared" si="84"/>
        <v>4.3160485674369644E-25</v>
      </c>
      <c r="H487" s="1">
        <f t="shared" si="77"/>
        <v>4.236515985548073E-26</v>
      </c>
      <c r="I487">
        <f t="shared" si="78"/>
        <v>60</v>
      </c>
      <c r="J487">
        <f t="shared" si="79"/>
        <v>400</v>
      </c>
      <c r="K487" s="5">
        <f t="shared" si="80"/>
        <v>0</v>
      </c>
      <c r="L487">
        <f t="shared" si="81"/>
        <v>85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-54.221951150415435</v>
      </c>
      <c r="F488" s="1">
        <f t="shared" si="87"/>
        <v>-56.223983959614493</v>
      </c>
      <c r="G488" s="1">
        <f t="shared" si="84"/>
        <v>3.8215013357514731E-25</v>
      </c>
      <c r="H488" s="1">
        <f t="shared" si="77"/>
        <v>3.7510818622040174E-26</v>
      </c>
      <c r="I488">
        <f t="shared" si="78"/>
        <v>60</v>
      </c>
      <c r="J488">
        <f t="shared" si="79"/>
        <v>401</v>
      </c>
      <c r="K488" s="5">
        <f t="shared" si="80"/>
        <v>0</v>
      </c>
      <c r="L488">
        <f t="shared" si="81"/>
        <v>85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-54.343648085392957</v>
      </c>
      <c r="F489" s="1">
        <f t="shared" si="87"/>
        <v>-56.345680894592014</v>
      </c>
      <c r="G489" s="1">
        <f t="shared" si="84"/>
        <v>3.3836209743632789E-25</v>
      </c>
      <c r="H489" s="1">
        <f t="shared" si="77"/>
        <v>3.3212703988264695E-26</v>
      </c>
      <c r="I489">
        <f t="shared" si="78"/>
        <v>60</v>
      </c>
      <c r="J489">
        <f t="shared" si="79"/>
        <v>402</v>
      </c>
      <c r="K489" s="5">
        <f t="shared" si="80"/>
        <v>0</v>
      </c>
      <c r="L489">
        <f t="shared" si="81"/>
        <v>85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-54.465345020370478</v>
      </c>
      <c r="F490" s="1">
        <f t="shared" si="87"/>
        <v>-56.467377829569536</v>
      </c>
      <c r="G490" s="1">
        <f t="shared" si="84"/>
        <v>2.9959144043841488E-25</v>
      </c>
      <c r="H490" s="1">
        <f t="shared" si="77"/>
        <v>2.9407081656275987E-26</v>
      </c>
      <c r="I490">
        <f t="shared" si="78"/>
        <v>60</v>
      </c>
      <c r="J490">
        <f t="shared" si="79"/>
        <v>403</v>
      </c>
      <c r="K490" s="5">
        <f t="shared" si="80"/>
        <v>0</v>
      </c>
      <c r="L490">
        <f t="shared" si="81"/>
        <v>85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-54.587041955347999</v>
      </c>
      <c r="F491" s="1">
        <f t="shared" si="87"/>
        <v>-56.589074764547057</v>
      </c>
      <c r="G491" s="1">
        <f t="shared" si="84"/>
        <v>2.6526325455484613E-25</v>
      </c>
      <c r="H491" s="1">
        <f t="shared" si="77"/>
        <v>2.6037520216494324E-26</v>
      </c>
      <c r="I491">
        <f t="shared" si="78"/>
        <v>60</v>
      </c>
      <c r="J491">
        <f t="shared" si="79"/>
        <v>404</v>
      </c>
      <c r="K491" s="5">
        <f t="shared" si="80"/>
        <v>0</v>
      </c>
      <c r="L491">
        <f t="shared" si="81"/>
        <v>85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-54.70873889032552</v>
      </c>
      <c r="F492" s="1">
        <f t="shared" si="87"/>
        <v>-56.710771699524578</v>
      </c>
      <c r="G492" s="1">
        <f t="shared" si="84"/>
        <v>2.3486850663710303E-25</v>
      </c>
      <c r="H492" s="1">
        <f t="shared" si="77"/>
        <v>2.305405435835432E-26</v>
      </c>
      <c r="I492">
        <f t="shared" si="78"/>
        <v>60</v>
      </c>
      <c r="J492">
        <f t="shared" si="79"/>
        <v>405</v>
      </c>
      <c r="K492" s="5">
        <f t="shared" si="80"/>
        <v>0</v>
      </c>
      <c r="L492">
        <f t="shared" si="81"/>
        <v>85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-54.830435825303041</v>
      </c>
      <c r="F493" s="1">
        <f t="shared" si="87"/>
        <v>-56.832468634502099</v>
      </c>
      <c r="G493" s="1">
        <f t="shared" si="84"/>
        <v>2.0795649025160134E-25</v>
      </c>
      <c r="H493" s="1">
        <f t="shared" si="77"/>
        <v>2.041244396312619E-26</v>
      </c>
      <c r="I493">
        <f t="shared" si="78"/>
        <v>60</v>
      </c>
      <c r="J493">
        <f t="shared" si="79"/>
        <v>406</v>
      </c>
      <c r="K493" s="5">
        <f t="shared" si="80"/>
        <v>0</v>
      </c>
      <c r="L493">
        <f t="shared" si="81"/>
        <v>85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-54.952132760280563</v>
      </c>
      <c r="F494" s="1">
        <f t="shared" si="87"/>
        <v>-56.954165569479621</v>
      </c>
      <c r="G494" s="1">
        <f t="shared" si="84"/>
        <v>1.8412814241027174E-25</v>
      </c>
      <c r="H494" s="1">
        <f t="shared" si="77"/>
        <v>1.8073518092351289E-26</v>
      </c>
      <c r="I494">
        <f t="shared" si="78"/>
        <v>60</v>
      </c>
      <c r="J494">
        <f t="shared" si="79"/>
        <v>407</v>
      </c>
      <c r="K494" s="5">
        <f t="shared" si="80"/>
        <v>0</v>
      </c>
      <c r="L494">
        <f t="shared" si="81"/>
        <v>85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-55.073829695258084</v>
      </c>
      <c r="F495" s="1">
        <f t="shared" si="87"/>
        <v>-57.075862504457142</v>
      </c>
      <c r="G495" s="1">
        <f t="shared" si="84"/>
        <v>1.6303012609242788E-25</v>
      </c>
      <c r="H495" s="1">
        <f t="shared" si="77"/>
        <v>1.6002594144269347E-26</v>
      </c>
      <c r="I495">
        <f t="shared" si="78"/>
        <v>60</v>
      </c>
      <c r="J495">
        <f t="shared" si="79"/>
        <v>408</v>
      </c>
      <c r="K495" s="5">
        <f t="shared" si="80"/>
        <v>0</v>
      </c>
      <c r="L495">
        <f t="shared" si="81"/>
        <v>85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-55.195526630235605</v>
      </c>
      <c r="F496" s="1">
        <f t="shared" si="87"/>
        <v>-57.197559439434663</v>
      </c>
      <c r="G496" s="1">
        <f t="shared" si="84"/>
        <v>1.4434959081100363E-25</v>
      </c>
      <c r="H496" s="1">
        <f t="shared" si="77"/>
        <v>1.4168963565238462E-26</v>
      </c>
      <c r="I496">
        <f t="shared" si="78"/>
        <v>60</v>
      </c>
      <c r="J496">
        <f t="shared" si="79"/>
        <v>409</v>
      </c>
      <c r="K496" s="5">
        <f t="shared" si="80"/>
        <v>0</v>
      </c>
      <c r="L496">
        <f t="shared" si="81"/>
        <v>85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-55.317223565213126</v>
      </c>
      <c r="F497" s="1">
        <f t="shared" si="87"/>
        <v>-57.319256374412184</v>
      </c>
      <c r="G497" s="1">
        <f t="shared" si="84"/>
        <v>1.2780953353057596E-25</v>
      </c>
      <c r="H497" s="1">
        <f t="shared" si="77"/>
        <v>1.2545436490054873E-26</v>
      </c>
      <c r="I497">
        <f t="shared" si="78"/>
        <v>60</v>
      </c>
      <c r="J497">
        <f t="shared" si="79"/>
        <v>410</v>
      </c>
      <c r="K497" s="5">
        <f t="shared" si="80"/>
        <v>0</v>
      </c>
      <c r="L497">
        <f t="shared" si="81"/>
        <v>85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-55.438920500190648</v>
      </c>
      <c r="F498" s="1">
        <f t="shared" si="87"/>
        <v>-57.440953309389705</v>
      </c>
      <c r="G498" s="1">
        <f t="shared" si="84"/>
        <v>1.1316469114686398E-25</v>
      </c>
      <c r="H498" s="1">
        <f t="shared" si="77"/>
        <v>1.1107938558902736E-26</v>
      </c>
      <c r="I498">
        <f t="shared" si="78"/>
        <v>60</v>
      </c>
      <c r="J498">
        <f t="shared" si="79"/>
        <v>411</v>
      </c>
      <c r="K498" s="5">
        <f t="shared" si="80"/>
        <v>0</v>
      </c>
      <c r="L498">
        <f t="shared" si="81"/>
        <v>85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-55.560617435168169</v>
      </c>
      <c r="F499" s="1">
        <f t="shared" si="87"/>
        <v>-57.562650244367227</v>
      </c>
      <c r="G499" s="1">
        <f t="shared" si="84"/>
        <v>1.00197903619619E-25</v>
      </c>
      <c r="H499" s="1">
        <f t="shared" si="77"/>
        <v>9.8351539323617837E-27</v>
      </c>
      <c r="I499">
        <f t="shared" si="78"/>
        <v>60</v>
      </c>
      <c r="J499">
        <f t="shared" si="79"/>
        <v>412</v>
      </c>
      <c r="K499" s="5">
        <f t="shared" si="80"/>
        <v>0</v>
      </c>
      <c r="L499">
        <f t="shared" si="81"/>
        <v>85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-55.68231437014569</v>
      </c>
      <c r="F500" s="1">
        <f t="shared" si="87"/>
        <v>-57.684347179344748</v>
      </c>
      <c r="G500" s="1">
        <f t="shared" si="84"/>
        <v>8.8716893829870863E-26</v>
      </c>
      <c r="H500" s="1">
        <f t="shared" si="77"/>
        <v>8.7082092109453172E-27</v>
      </c>
      <c r="I500">
        <f t="shared" si="78"/>
        <v>60</v>
      </c>
      <c r="J500">
        <f t="shared" si="79"/>
        <v>413</v>
      </c>
      <c r="K500" s="5">
        <f t="shared" si="80"/>
        <v>0</v>
      </c>
      <c r="L500">
        <f t="shared" si="81"/>
        <v>85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-55.804011305123211</v>
      </c>
      <c r="F501" s="1">
        <f t="shared" si="87"/>
        <v>-57.806044114322269</v>
      </c>
      <c r="G501" s="1">
        <f t="shared" si="84"/>
        <v>7.8551416411864709E-26</v>
      </c>
      <c r="H501" s="1">
        <f t="shared" si="77"/>
        <v>7.7103935721911543E-27</v>
      </c>
      <c r="I501">
        <f t="shared" si="78"/>
        <v>60</v>
      </c>
      <c r="J501">
        <f t="shared" si="79"/>
        <v>414</v>
      </c>
      <c r="K501" s="5">
        <f t="shared" si="80"/>
        <v>0</v>
      </c>
      <c r="L501">
        <f t="shared" si="81"/>
        <v>85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-55.925708240100732</v>
      </c>
      <c r="F502" s="1">
        <f t="shared" si="87"/>
        <v>-57.92774104929979</v>
      </c>
      <c r="G502" s="1">
        <f t="shared" si="84"/>
        <v>6.9550733281338443E-26</v>
      </c>
      <c r="H502" s="1">
        <f t="shared" si="77"/>
        <v>6.8269109753775744E-27</v>
      </c>
      <c r="I502">
        <f t="shared" si="78"/>
        <v>60</v>
      </c>
      <c r="J502">
        <f t="shared" si="79"/>
        <v>415</v>
      </c>
      <c r="K502" s="5">
        <f t="shared" si="80"/>
        <v>0</v>
      </c>
      <c r="L502">
        <f t="shared" si="81"/>
        <v>85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-56.047405175078254</v>
      </c>
      <c r="F503" s="1">
        <f t="shared" si="87"/>
        <v>-58.049437984277311</v>
      </c>
      <c r="G503" s="1">
        <f t="shared" si="84"/>
        <v>6.1581378426184994E-26</v>
      </c>
      <c r="H503" s="1">
        <f t="shared" si="77"/>
        <v>6.0446607594488857E-27</v>
      </c>
      <c r="I503">
        <f t="shared" si="78"/>
        <v>60</v>
      </c>
      <c r="J503">
        <f t="shared" si="79"/>
        <v>416</v>
      </c>
      <c r="K503" s="5">
        <f t="shared" si="80"/>
        <v>0</v>
      </c>
      <c r="L503">
        <f t="shared" si="81"/>
        <v>85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-56.169102110055775</v>
      </c>
      <c r="F504" s="1">
        <f t="shared" si="87"/>
        <v>-58.171134919254833</v>
      </c>
      <c r="G504" s="1">
        <f t="shared" si="84"/>
        <v>5.4525178814851223E-26</v>
      </c>
      <c r="H504" s="1">
        <f t="shared" si="77"/>
        <v>5.3520433807620273E-27</v>
      </c>
      <c r="I504">
        <f t="shared" si="78"/>
        <v>60</v>
      </c>
      <c r="J504">
        <f t="shared" si="79"/>
        <v>417</v>
      </c>
      <c r="K504" s="5">
        <f t="shared" si="80"/>
        <v>0</v>
      </c>
      <c r="L504">
        <f t="shared" si="81"/>
        <v>85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-56.290799045033296</v>
      </c>
      <c r="F505" s="1">
        <f t="shared" si="87"/>
        <v>-58.292831854232354</v>
      </c>
      <c r="G505" s="1">
        <f t="shared" si="84"/>
        <v>4.8277502075649448E-26</v>
      </c>
      <c r="H505" s="1">
        <f t="shared" si="77"/>
        <v>4.7387884100497044E-27</v>
      </c>
      <c r="I505">
        <f t="shared" si="78"/>
        <v>60</v>
      </c>
      <c r="J505">
        <f t="shared" si="79"/>
        <v>418</v>
      </c>
      <c r="K505" s="5">
        <f t="shared" si="80"/>
        <v>0</v>
      </c>
      <c r="L505">
        <f t="shared" si="81"/>
        <v>85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-56.412495980010817</v>
      </c>
      <c r="F506" s="1">
        <f t="shared" si="87"/>
        <v>-58.414528789209875</v>
      </c>
      <c r="G506" s="1">
        <f t="shared" si="84"/>
        <v>4.2745704962814555E-26</v>
      </c>
      <c r="H506" s="1">
        <f t="shared" si="77"/>
        <v>4.1958022380648366E-27</v>
      </c>
      <c r="I506">
        <f t="shared" si="78"/>
        <v>60</v>
      </c>
      <c r="J506">
        <f t="shared" si="79"/>
        <v>419</v>
      </c>
      <c r="K506" s="5">
        <f t="shared" si="80"/>
        <v>0</v>
      </c>
      <c r="L506">
        <f t="shared" si="81"/>
        <v>85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-56.534192914988338</v>
      </c>
      <c r="F507" s="1">
        <f t="shared" si="87"/>
        <v>-58.536225724187396</v>
      </c>
      <c r="G507" s="1">
        <f t="shared" si="84"/>
        <v>3.7847759602491998E-26</v>
      </c>
      <c r="H507" s="1">
        <f t="shared" si="77"/>
        <v>3.7150332316199019E-27</v>
      </c>
      <c r="I507">
        <f t="shared" si="78"/>
        <v>60</v>
      </c>
      <c r="J507">
        <f t="shared" si="79"/>
        <v>420</v>
      </c>
      <c r="K507" s="5">
        <f t="shared" si="80"/>
        <v>0</v>
      </c>
      <c r="L507">
        <f t="shared" si="81"/>
        <v>85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-56.65588984996586</v>
      </c>
      <c r="F508" s="1">
        <f t="shared" si="87"/>
        <v>-58.657922659164917</v>
      </c>
      <c r="G508" s="1">
        <f t="shared" si="84"/>
        <v>3.3511037148039743E-26</v>
      </c>
      <c r="H508" s="1">
        <f t="shared" si="77"/>
        <v>3.2893523404967831E-27</v>
      </c>
      <c r="I508">
        <f t="shared" si="78"/>
        <v>60</v>
      </c>
      <c r="J508">
        <f t="shared" si="79"/>
        <v>421</v>
      </c>
      <c r="K508" s="5">
        <f t="shared" si="80"/>
        <v>0</v>
      </c>
      <c r="L508">
        <f t="shared" si="81"/>
        <v>85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-56.777586784943381</v>
      </c>
      <c r="F509" s="1">
        <f t="shared" si="87"/>
        <v>-58.779619594142439</v>
      </c>
      <c r="G509" s="1">
        <f t="shared" si="84"/>
        <v>2.9671230808160148E-26</v>
      </c>
      <c r="H509" s="1">
        <f t="shared" si="77"/>
        <v>2.9124473848148563E-27</v>
      </c>
      <c r="I509">
        <f t="shared" si="78"/>
        <v>60</v>
      </c>
      <c r="J509">
        <f t="shared" si="79"/>
        <v>422</v>
      </c>
      <c r="K509" s="5">
        <f t="shared" si="80"/>
        <v>0</v>
      </c>
      <c r="L509">
        <f t="shared" si="81"/>
        <v>85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-56.899283719920902</v>
      </c>
      <c r="F510" s="1">
        <f t="shared" si="87"/>
        <v>-58.90131652911996</v>
      </c>
      <c r="G510" s="1">
        <f t="shared" si="84"/>
        <v>2.6271402278058425E-26</v>
      </c>
      <c r="H510" s="1">
        <f t="shared" si="77"/>
        <v>2.5787294553048169E-27</v>
      </c>
      <c r="I510">
        <f t="shared" si="78"/>
        <v>60</v>
      </c>
      <c r="J510">
        <f t="shared" si="79"/>
        <v>423</v>
      </c>
      <c r="K510" s="5">
        <f t="shared" si="80"/>
        <v>0</v>
      </c>
      <c r="L510">
        <f t="shared" si="81"/>
        <v>85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-57.020980654898423</v>
      </c>
      <c r="F511" s="1">
        <f t="shared" si="87"/>
        <v>-59.023013464097481</v>
      </c>
      <c r="G511" s="1">
        <f t="shared" si="84"/>
        <v>2.3261137433697533E-26</v>
      </c>
      <c r="H511" s="1">
        <f t="shared" si="77"/>
        <v>2.283250038551137E-27</v>
      </c>
      <c r="I511">
        <f t="shared" si="78"/>
        <v>60</v>
      </c>
      <c r="J511">
        <f t="shared" si="79"/>
        <v>424</v>
      </c>
      <c r="K511" s="5">
        <f t="shared" si="80"/>
        <v>0</v>
      </c>
      <c r="L511">
        <f t="shared" si="81"/>
        <v>85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-57.142677589875944</v>
      </c>
      <c r="F512" s="1">
        <f t="shared" si="87"/>
        <v>-59.144710399075002</v>
      </c>
      <c r="G512" s="1">
        <f t="shared" si="84"/>
        <v>2.059579876941966E-26</v>
      </c>
      <c r="H512" s="1">
        <f t="shared" si="77"/>
        <v>2.0216276383004828E-27</v>
      </c>
      <c r="I512">
        <f t="shared" si="78"/>
        <v>60</v>
      </c>
      <c r="J512">
        <f t="shared" si="79"/>
        <v>425</v>
      </c>
      <c r="K512" s="5">
        <f t="shared" si="80"/>
        <v>0</v>
      </c>
      <c r="L512">
        <f t="shared" si="81"/>
        <v>85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-57.264374524853466</v>
      </c>
      <c r="F513" s="1">
        <f t="shared" si="87"/>
        <v>-59.266407334052523</v>
      </c>
      <c r="G513" s="1">
        <f t="shared" si="84"/>
        <v>1.8235863493756966E-26</v>
      </c>
      <c r="H513" s="1">
        <f t="shared" si="77"/>
        <v>1.7899828047452168E-27</v>
      </c>
      <c r="I513">
        <f t="shared" si="78"/>
        <v>60</v>
      </c>
      <c r="J513">
        <f t="shared" si="79"/>
        <v>426</v>
      </c>
      <c r="K513" s="5">
        <f t="shared" si="80"/>
        <v>0</v>
      </c>
      <c r="L513">
        <f t="shared" si="81"/>
        <v>85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-57.386071459830987</v>
      </c>
      <c r="F514" s="1">
        <f t="shared" si="87"/>
        <v>-59.388104269030045</v>
      </c>
      <c r="G514" s="1">
        <f t="shared" si="84"/>
        <v>1.6146337468430622E-26</v>
      </c>
      <c r="H514" s="1">
        <f t="shared" si="77"/>
        <v>1.5848806083681582E-27</v>
      </c>
      <c r="I514">
        <f t="shared" si="78"/>
        <v>60</v>
      </c>
      <c r="J514">
        <f t="shared" si="79"/>
        <v>427</v>
      </c>
      <c r="K514" s="5">
        <f t="shared" si="80"/>
        <v>0</v>
      </c>
      <c r="L514">
        <f t="shared" si="81"/>
        <v>85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-57.507768394808508</v>
      </c>
      <c r="F515" s="1">
        <f t="shared" si="87"/>
        <v>-59.509801204007566</v>
      </c>
      <c r="G515" s="1">
        <f t="shared" si="84"/>
        <v>1.4296236300172927E-26</v>
      </c>
      <c r="H515" s="1">
        <f t="shared" si="77"/>
        <v>1.4032797053259716E-27</v>
      </c>
      <c r="I515">
        <f t="shared" si="78"/>
        <v>60</v>
      </c>
      <c r="J515">
        <f t="shared" si="79"/>
        <v>428</v>
      </c>
      <c r="K515" s="5">
        <f t="shared" si="80"/>
        <v>0</v>
      </c>
      <c r="L515">
        <f t="shared" si="81"/>
        <v>85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-57.629465329786029</v>
      </c>
      <c r="F516" s="1">
        <f t="shared" si="87"/>
        <v>-59.631498138985087</v>
      </c>
      <c r="G516" s="1">
        <f t="shared" si="84"/>
        <v>1.2658125890778095E-26</v>
      </c>
      <c r="H516" s="1">
        <f t="shared" si="77"/>
        <v>1.2424872390907022E-27</v>
      </c>
      <c r="I516">
        <f t="shared" si="78"/>
        <v>60</v>
      </c>
      <c r="J516">
        <f t="shared" si="79"/>
        <v>429</v>
      </c>
      <c r="K516" s="5">
        <f t="shared" si="80"/>
        <v>0</v>
      </c>
      <c r="L516">
        <f t="shared" si="81"/>
        <v>85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-57.751162264763551</v>
      </c>
      <c r="F517" s="1">
        <f t="shared" si="87"/>
        <v>-59.753195073962608</v>
      </c>
      <c r="G517" s="1">
        <f t="shared" si="84"/>
        <v>1.1207715632459756E-26</v>
      </c>
      <c r="H517" s="1">
        <f t="shared" si="77"/>
        <v>1.1001189096115576E-27</v>
      </c>
      <c r="I517">
        <f t="shared" si="78"/>
        <v>60</v>
      </c>
      <c r="J517">
        <f t="shared" si="79"/>
        <v>430</v>
      </c>
      <c r="K517" s="5">
        <f t="shared" si="80"/>
        <v>0</v>
      </c>
      <c r="L517">
        <f t="shared" si="81"/>
        <v>85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-57.872859199741072</v>
      </c>
      <c r="F518" s="1">
        <f t="shared" si="87"/>
        <v>-59.87489200894013</v>
      </c>
      <c r="G518" s="1">
        <f t="shared" si="84"/>
        <v>9.9234982162403943E-27</v>
      </c>
      <c r="H518" s="1">
        <f t="shared" si="77"/>
        <v>9.7406361788523186E-28</v>
      </c>
      <c r="I518">
        <f t="shared" si="78"/>
        <v>60</v>
      </c>
      <c r="J518">
        <f t="shared" si="79"/>
        <v>431</v>
      </c>
      <c r="K518" s="5">
        <f t="shared" si="80"/>
        <v>0</v>
      </c>
      <c r="L518">
        <f t="shared" si="81"/>
        <v>85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-57.994556134718593</v>
      </c>
      <c r="F519" s="1">
        <f t="shared" si="87"/>
        <v>-59.996588943917651</v>
      </c>
      <c r="G519" s="1">
        <f t="shared" si="84"/>
        <v>8.7864307122961693E-27</v>
      </c>
      <c r="H519" s="1">
        <f t="shared" si="77"/>
        <v>8.624521616692145E-28</v>
      </c>
      <c r="I519">
        <f t="shared" si="78"/>
        <v>60</v>
      </c>
      <c r="J519">
        <f t="shared" si="79"/>
        <v>432</v>
      </c>
      <c r="K519" s="5">
        <f t="shared" si="80"/>
        <v>0</v>
      </c>
      <c r="L519">
        <f t="shared" si="81"/>
        <v>85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-58.116253069696114</v>
      </c>
      <c r="F520" s="1">
        <f t="shared" si="87"/>
        <v>-60.118285878895172</v>
      </c>
      <c r="G520" s="1">
        <f t="shared" si="84"/>
        <v>7.7796521931788895E-27</v>
      </c>
      <c r="H520" s="1">
        <f t="shared" si="77"/>
        <v>7.6362951814461597E-28</v>
      </c>
      <c r="I520">
        <f t="shared" si="78"/>
        <v>60</v>
      </c>
      <c r="J520">
        <f t="shared" si="79"/>
        <v>433</v>
      </c>
      <c r="K520" s="5">
        <f t="shared" si="80"/>
        <v>0</v>
      </c>
      <c r="L520">
        <f t="shared" si="81"/>
        <v>85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-58.237950004673635</v>
      </c>
      <c r="F521" s="1">
        <f t="shared" si="87"/>
        <v>-60.239982813872693</v>
      </c>
      <c r="G521" s="1">
        <f t="shared" si="84"/>
        <v>6.8882337127104651E-27</v>
      </c>
      <c r="H521" s="1">
        <f t="shared" si="77"/>
        <v>6.7613030252387773E-28</v>
      </c>
      <c r="I521">
        <f t="shared" si="78"/>
        <v>60</v>
      </c>
      <c r="J521">
        <f t="shared" si="79"/>
        <v>434</v>
      </c>
      <c r="K521" s="5">
        <f t="shared" si="80"/>
        <v>0</v>
      </c>
      <c r="L521">
        <f t="shared" si="81"/>
        <v>85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-58.359646939651157</v>
      </c>
      <c r="F522" s="1">
        <f t="shared" si="87"/>
        <v>-60.361679748850214</v>
      </c>
      <c r="G522" s="1">
        <f t="shared" si="84"/>
        <v>6.0989569331290487E-27</v>
      </c>
      <c r="H522" s="1">
        <f t="shared" si="77"/>
        <v>5.9865703869301591E-28</v>
      </c>
      <c r="I522">
        <f t="shared" si="78"/>
        <v>60</v>
      </c>
      <c r="J522">
        <f t="shared" si="79"/>
        <v>435</v>
      </c>
      <c r="K522" s="5">
        <f t="shared" si="80"/>
        <v>0</v>
      </c>
      <c r="L522">
        <f t="shared" si="81"/>
        <v>85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-58.481343874628678</v>
      </c>
      <c r="F523" s="1">
        <f t="shared" si="87"/>
        <v>-60.483376683827736</v>
      </c>
      <c r="G523" s="1">
        <f t="shared" si="84"/>
        <v>5.4001181178746709E-27</v>
      </c>
      <c r="H523" s="1">
        <f t="shared" si="77"/>
        <v>5.3006091967610702E-28</v>
      </c>
      <c r="I523">
        <f t="shared" si="78"/>
        <v>60</v>
      </c>
      <c r="J523">
        <f t="shared" si="79"/>
        <v>436</v>
      </c>
      <c r="K523" s="5">
        <f t="shared" si="80"/>
        <v>0</v>
      </c>
      <c r="L523">
        <f t="shared" si="81"/>
        <v>85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-58.603040809606199</v>
      </c>
      <c r="F524" s="1">
        <f t="shared" si="87"/>
        <v>-60.605073618805257</v>
      </c>
      <c r="G524" s="1">
        <f t="shared" si="84"/>
        <v>4.7813545835348582E-27</v>
      </c>
      <c r="H524" s="1">
        <f t="shared" si="77"/>
        <v>4.6932477262988579E-28</v>
      </c>
      <c r="I524">
        <f t="shared" si="78"/>
        <v>60</v>
      </c>
      <c r="J524">
        <f t="shared" si="79"/>
        <v>437</v>
      </c>
      <c r="K524" s="5">
        <f t="shared" si="80"/>
        <v>0</v>
      </c>
      <c r="L524">
        <f t="shared" si="81"/>
        <v>85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-58.72473774458372</v>
      </c>
      <c r="F525" s="1">
        <f t="shared" si="87"/>
        <v>-60.726770553782778</v>
      </c>
      <c r="G525" s="1">
        <f t="shared" si="84"/>
        <v>4.233491037504816E-27</v>
      </c>
      <c r="H525" s="1">
        <f t="shared" si="77"/>
        <v>4.1554797576604411E-28</v>
      </c>
      <c r="I525">
        <f t="shared" si="78"/>
        <v>60</v>
      </c>
      <c r="J525">
        <f t="shared" si="79"/>
        <v>438</v>
      </c>
      <c r="K525" s="5">
        <f t="shared" si="80"/>
        <v>0</v>
      </c>
      <c r="L525">
        <f t="shared" si="81"/>
        <v>85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-58.846434679561241</v>
      </c>
      <c r="F526" s="1">
        <f t="shared" si="87"/>
        <v>-60.848467488760299</v>
      </c>
      <c r="G526" s="1">
        <f t="shared" si="84"/>
        <v>3.7484035227907176E-27</v>
      </c>
      <c r="H526" s="1">
        <f t="shared" si="77"/>
        <v>3.6793310354285104E-28</v>
      </c>
      <c r="I526">
        <f t="shared" si="78"/>
        <v>60</v>
      </c>
      <c r="J526">
        <f t="shared" si="79"/>
        <v>439</v>
      </c>
      <c r="K526" s="5">
        <f t="shared" si="80"/>
        <v>0</v>
      </c>
      <c r="L526">
        <f t="shared" si="81"/>
        <v>85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-58.968131614538763</v>
      </c>
      <c r="F527" s="1">
        <f t="shared" si="87"/>
        <v>-60.97016442373782</v>
      </c>
      <c r="G527" s="1">
        <f t="shared" si="84"/>
        <v>3.3188989524709433E-27</v>
      </c>
      <c r="H527" s="1">
        <f t="shared" si="77"/>
        <v>3.2577410209523227E-28</v>
      </c>
      <c r="I527">
        <f t="shared" si="78"/>
        <v>60</v>
      </c>
      <c r="J527">
        <f t="shared" si="79"/>
        <v>440</v>
      </c>
      <c r="K527" s="5">
        <f t="shared" si="80"/>
        <v>0</v>
      </c>
      <c r="L527">
        <f t="shared" si="81"/>
        <v>85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-59.089828549516284</v>
      </c>
      <c r="F528" s="1">
        <f t="shared" si="87"/>
        <v>-61.091861358715342</v>
      </c>
      <c r="G528" s="1">
        <f t="shared" si="84"/>
        <v>2.9386084475003099E-27</v>
      </c>
      <c r="H528" s="1">
        <f t="shared" si="77"/>
        <v>2.8844581956348645E-28</v>
      </c>
      <c r="I528">
        <f t="shared" si="78"/>
        <v>60</v>
      </c>
      <c r="J528">
        <f t="shared" si="79"/>
        <v>441</v>
      </c>
      <c r="K528" s="5">
        <f t="shared" si="80"/>
        <v>0</v>
      </c>
      <c r="L528">
        <f t="shared" si="81"/>
        <v>85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-59.211525484493805</v>
      </c>
      <c r="F529" s="1">
        <f t="shared" si="87"/>
        <v>-61.213558293692863</v>
      </c>
      <c r="G529" s="1">
        <f t="shared" si="84"/>
        <v>2.6018928962242292E-27</v>
      </c>
      <c r="H529" s="1">
        <f t="shared" si="77"/>
        <v>2.5539473607183661E-28</v>
      </c>
      <c r="I529">
        <f t="shared" si="78"/>
        <v>60</v>
      </c>
      <c r="J529">
        <f t="shared" si="79"/>
        <v>442</v>
      </c>
      <c r="K529" s="5">
        <f t="shared" si="80"/>
        <v>0</v>
      </c>
      <c r="L529">
        <f t="shared" si="81"/>
        <v>85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-59.333222419471326</v>
      </c>
      <c r="F530" s="1">
        <f t="shared" si="87"/>
        <v>-61.335255228670384</v>
      </c>
      <c r="G530" s="1">
        <f t="shared" si="84"/>
        <v>2.3037593351985329E-27</v>
      </c>
      <c r="H530" s="1">
        <f t="shared" si="77"/>
        <v>2.2613075589693834E-28</v>
      </c>
      <c r="I530">
        <f t="shared" si="78"/>
        <v>60</v>
      </c>
      <c r="J530">
        <f t="shared" si="79"/>
        <v>443</v>
      </c>
      <c r="K530" s="5">
        <f t="shared" si="80"/>
        <v>0</v>
      </c>
      <c r="L530">
        <f t="shared" si="81"/>
        <v>85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-59.454919354448847</v>
      </c>
      <c r="F531" s="1">
        <f t="shared" si="87"/>
        <v>-61.456952163647905</v>
      </c>
      <c r="G531" s="1">
        <f t="shared" si="84"/>
        <v>2.0397869113736981E-27</v>
      </c>
      <c r="H531" s="1">
        <f t="shared" si="77"/>
        <v>2.0021994011708055E-28</v>
      </c>
      <c r="I531">
        <f t="shared" si="78"/>
        <v>60</v>
      </c>
      <c r="J531">
        <f t="shared" si="79"/>
        <v>444</v>
      </c>
      <c r="K531" s="5">
        <f t="shared" si="80"/>
        <v>0</v>
      </c>
      <c r="L531">
        <f t="shared" si="81"/>
        <v>85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-59.576616289426369</v>
      </c>
      <c r="F532" s="1">
        <f t="shared" si="87"/>
        <v>-61.578649098625426</v>
      </c>
      <c r="G532" s="1">
        <f t="shared" si="84"/>
        <v>1.8060613277787926E-27</v>
      </c>
      <c r="H532" s="1">
        <f t="shared" si="77"/>
        <v>1.7727807197866481E-28</v>
      </c>
      <c r="I532">
        <f t="shared" si="78"/>
        <v>60</v>
      </c>
      <c r="J532">
        <f t="shared" si="79"/>
        <v>445</v>
      </c>
      <c r="K532" s="5">
        <f t="shared" si="80"/>
        <v>0</v>
      </c>
      <c r="L532">
        <f t="shared" si="81"/>
        <v>85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-59.69831322440389</v>
      </c>
      <c r="F533" s="1">
        <f t="shared" si="87"/>
        <v>-61.700346033602948</v>
      </c>
      <c r="G533" s="1">
        <f t="shared" si="84"/>
        <v>1.5991168006374704E-27</v>
      </c>
      <c r="H533" s="1">
        <f t="shared" si="77"/>
        <v>1.5696495956444259E-28</v>
      </c>
      <c r="I533">
        <f t="shared" si="78"/>
        <v>60</v>
      </c>
      <c r="J533">
        <f t="shared" si="79"/>
        <v>446</v>
      </c>
      <c r="K533" s="5">
        <f t="shared" si="80"/>
        <v>0</v>
      </c>
      <c r="L533">
        <f t="shared" si="81"/>
        <v>85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-59.820010159381411</v>
      </c>
      <c r="F534" s="1">
        <f t="shared" si="87"/>
        <v>-61.822042968580469</v>
      </c>
      <c r="G534" s="1">
        <f t="shared" si="84"/>
        <v>1.4158846672310915E-27</v>
      </c>
      <c r="H534" s="1">
        <f t="shared" si="77"/>
        <v>1.3897939128101666E-28</v>
      </c>
      <c r="I534">
        <f t="shared" si="78"/>
        <v>60</v>
      </c>
      <c r="J534">
        <f t="shared" si="79"/>
        <v>447</v>
      </c>
      <c r="K534" s="5">
        <f t="shared" si="80"/>
        <v>0</v>
      </c>
      <c r="L534">
        <f t="shared" si="81"/>
        <v>85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-59.941707094358932</v>
      </c>
      <c r="F535" s="1">
        <f t="shared" si="87"/>
        <v>-61.94373990355799</v>
      </c>
      <c r="G535" s="1">
        <f t="shared" si="84"/>
        <v>1.2536478824441939E-27</v>
      </c>
      <c r="H535" s="1">
        <f t="shared" ref="H535:H598" si="88">G535/$G$21</f>
        <v>1.230546693634E-28</v>
      </c>
      <c r="I535">
        <f t="shared" ref="I535:I598" si="89">IF($F$11&lt;=D535, IF(D535&lt;=$A$15,D535-$F$11,$C$11),0)</f>
        <v>60</v>
      </c>
      <c r="J535">
        <f t="shared" ref="J535:J598" si="90">IF(D535&lt;=$A$15,0,D535-$A$15)</f>
        <v>448</v>
      </c>
      <c r="K535" s="5">
        <f t="shared" ref="K535:K598" si="91">IF(D535&lt;$F$11,H535,0)</f>
        <v>0</v>
      </c>
      <c r="L535">
        <f t="shared" ref="L535:L598" si="92">IF(D535&lt;$A$15,$D$11,$D$11*(1-$H$11))</f>
        <v>85</v>
      </c>
      <c r="M535">
        <f t="shared" ref="M535:M598" si="93">IF(D535&lt;$A$15,0,1)</f>
        <v>1</v>
      </c>
      <c r="N535">
        <f t="shared" ref="N535:N598" si="94">IF(SUM(I535:J535)&lt;=($G$11/60*$F$11/($E$11/60)),1,0)</f>
        <v>0</v>
      </c>
    </row>
    <row r="536" spans="4:14" x14ac:dyDescent="0.2">
      <c r="D536">
        <f t="shared" si="85"/>
        <v>513</v>
      </c>
      <c r="E536" s="1">
        <f t="shared" si="86"/>
        <v>-60.063404029336454</v>
      </c>
      <c r="F536" s="1">
        <f t="shared" si="87"/>
        <v>-62.065436838535511</v>
      </c>
      <c r="G536" s="1">
        <f t="shared" ref="G536:G599" si="95">EXP(F536)</f>
        <v>1.1100007292474616E-27</v>
      </c>
      <c r="H536" s="1">
        <f t="shared" si="88"/>
        <v>1.0895465516551025E-28</v>
      </c>
      <c r="I536">
        <f t="shared" si="89"/>
        <v>60</v>
      </c>
      <c r="J536">
        <f t="shared" si="90"/>
        <v>449</v>
      </c>
      <c r="K536" s="5">
        <f t="shared" si="91"/>
        <v>0</v>
      </c>
      <c r="L536">
        <f t="shared" si="92"/>
        <v>85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IF($H$11=1,IF(D537&lt;=$A$15, E536+LN($D$11)-LN(60/$E$11)-LN(MIN(D537,$F$11)), E536-LN(60/$E$11)-LN(MIN(D537,$F$11))), IF(D537&lt;=$A$15, E536+LN($D$11)-LN(60/$E$11)-LN(MIN(D537,$F$11)), E536+LN($D$11)+LN(1-$H$11)-LN(60/$E$11)-LN(MIN(D537,$F$11))))</f>
        <v>-60.185100964313975</v>
      </c>
      <c r="F537" s="1">
        <f t="shared" ref="F537:F600" si="98">E537-$E$21</f>
        <v>-62.187133773513033</v>
      </c>
      <c r="G537" s="1">
        <f t="shared" si="95"/>
        <v>9.8281314568785526E-28</v>
      </c>
      <c r="H537" s="1">
        <f t="shared" si="88"/>
        <v>9.6470267594462064E-29</v>
      </c>
      <c r="I537">
        <f t="shared" si="89"/>
        <v>60</v>
      </c>
      <c r="J537">
        <f t="shared" si="90"/>
        <v>450</v>
      </c>
      <c r="K537" s="5">
        <f t="shared" si="91"/>
        <v>0</v>
      </c>
      <c r="L537">
        <f t="shared" si="92"/>
        <v>85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-60.306797899291496</v>
      </c>
      <c r="F538" s="1">
        <f t="shared" si="98"/>
        <v>-62.308830708490554</v>
      </c>
      <c r="G538" s="1">
        <f t="shared" si="95"/>
        <v>8.701991394111206E-28</v>
      </c>
      <c r="H538" s="1">
        <f t="shared" si="88"/>
        <v>8.5416382765929829E-29</v>
      </c>
      <c r="I538">
        <f t="shared" si="89"/>
        <v>60</v>
      </c>
      <c r="J538">
        <f t="shared" si="90"/>
        <v>451</v>
      </c>
      <c r="K538" s="5">
        <f t="shared" si="91"/>
        <v>0</v>
      </c>
      <c r="L538">
        <f t="shared" si="92"/>
        <v>85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-60.428494834269017</v>
      </c>
      <c r="F539" s="1">
        <f t="shared" si="98"/>
        <v>-62.430527643468075</v>
      </c>
      <c r="G539" s="1">
        <f t="shared" si="95"/>
        <v>7.7048882135359532E-28</v>
      </c>
      <c r="H539" s="1">
        <f t="shared" si="88"/>
        <v>7.5629088907333605E-29</v>
      </c>
      <c r="I539">
        <f t="shared" si="89"/>
        <v>60</v>
      </c>
      <c r="J539">
        <f t="shared" si="90"/>
        <v>452</v>
      </c>
      <c r="K539" s="5">
        <f t="shared" si="91"/>
        <v>0</v>
      </c>
      <c r="L539">
        <f t="shared" si="92"/>
        <v>85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-60.550191769246538</v>
      </c>
      <c r="F540" s="1">
        <f t="shared" si="98"/>
        <v>-62.552224578445596</v>
      </c>
      <c r="G540" s="1">
        <f t="shared" si="95"/>
        <v>6.822036439068282E-28</v>
      </c>
      <c r="H540" s="1">
        <f t="shared" si="88"/>
        <v>6.6963255803368199E-29</v>
      </c>
      <c r="I540">
        <f t="shared" si="89"/>
        <v>60</v>
      </c>
      <c r="J540">
        <f t="shared" si="90"/>
        <v>453</v>
      </c>
      <c r="K540" s="5">
        <f t="shared" si="91"/>
        <v>0</v>
      </c>
      <c r="L540">
        <f t="shared" si="92"/>
        <v>85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-60.67188870422406</v>
      </c>
      <c r="F541" s="1">
        <f t="shared" si="98"/>
        <v>-62.673921513423117</v>
      </c>
      <c r="G541" s="1">
        <f t="shared" si="95"/>
        <v>6.0403447637583664E-28</v>
      </c>
      <c r="H541" s="1">
        <f t="shared" si="88"/>
        <v>5.9290382742565512E-29</v>
      </c>
      <c r="I541">
        <f t="shared" si="89"/>
        <v>60</v>
      </c>
      <c r="J541">
        <f t="shared" si="90"/>
        <v>454</v>
      </c>
      <c r="K541" s="5">
        <f t="shared" si="91"/>
        <v>0</v>
      </c>
      <c r="L541">
        <f t="shared" si="92"/>
        <v>85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-60.793585639201581</v>
      </c>
      <c r="F542" s="1">
        <f t="shared" si="98"/>
        <v>-62.795618448400639</v>
      </c>
      <c r="G542" s="1">
        <f t="shared" si="95"/>
        <v>5.3482219262443792E-28</v>
      </c>
      <c r="H542" s="1">
        <f t="shared" si="88"/>
        <v>5.2496693053313132E-29</v>
      </c>
      <c r="I542">
        <f t="shared" si="89"/>
        <v>60</v>
      </c>
      <c r="J542">
        <f t="shared" si="90"/>
        <v>455</v>
      </c>
      <c r="K542" s="5">
        <f t="shared" si="91"/>
        <v>0</v>
      </c>
      <c r="L542">
        <f t="shared" si="92"/>
        <v>85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-60.915282574179102</v>
      </c>
      <c r="F543" s="1">
        <f t="shared" si="98"/>
        <v>-62.91731538337816</v>
      </c>
      <c r="G543" s="1">
        <f t="shared" si="95"/>
        <v>4.7354048305288701E-28</v>
      </c>
      <c r="H543" s="1">
        <f t="shared" si="88"/>
        <v>4.6481446974287602E-29</v>
      </c>
      <c r="I543">
        <f t="shared" si="89"/>
        <v>60</v>
      </c>
      <c r="J543">
        <f t="shared" si="90"/>
        <v>456</v>
      </c>
      <c r="K543" s="5">
        <f t="shared" si="91"/>
        <v>0</v>
      </c>
      <c r="L543">
        <f t="shared" si="92"/>
        <v>85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-61.036979509156623</v>
      </c>
      <c r="F544" s="1">
        <f t="shared" si="98"/>
        <v>-63.039012318355681</v>
      </c>
      <c r="G544" s="1">
        <f t="shared" si="95"/>
        <v>4.1928063603640982E-28</v>
      </c>
      <c r="H544" s="1">
        <f t="shared" si="88"/>
        <v>4.1155447841817092E-29</v>
      </c>
      <c r="I544">
        <f t="shared" si="89"/>
        <v>60</v>
      </c>
      <c r="J544">
        <f t="shared" si="90"/>
        <v>457</v>
      </c>
      <c r="K544" s="5">
        <f t="shared" si="91"/>
        <v>0</v>
      </c>
      <c r="L544">
        <f t="shared" si="92"/>
        <v>85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-61.158676444134144</v>
      </c>
      <c r="F545" s="1">
        <f t="shared" si="98"/>
        <v>-63.160709253333202</v>
      </c>
      <c r="G545" s="1">
        <f t="shared" si="95"/>
        <v>3.712380631572373E-28</v>
      </c>
      <c r="H545" s="1">
        <f t="shared" si="88"/>
        <v>3.6439719443275496E-29</v>
      </c>
      <c r="I545">
        <f t="shared" si="89"/>
        <v>60</v>
      </c>
      <c r="J545">
        <f t="shared" si="90"/>
        <v>458</v>
      </c>
      <c r="K545" s="5">
        <f t="shared" si="91"/>
        <v>0</v>
      </c>
      <c r="L545">
        <f t="shared" si="92"/>
        <v>85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-61.280373379111666</v>
      </c>
      <c r="F546" s="1">
        <f t="shared" si="98"/>
        <v>-63.282406188310723</v>
      </c>
      <c r="G546" s="1">
        <f t="shared" si="95"/>
        <v>3.2870036842047008E-28</v>
      </c>
      <c r="H546" s="1">
        <f t="shared" si="88"/>
        <v>3.2264334923733466E-29</v>
      </c>
      <c r="I546">
        <f t="shared" si="89"/>
        <v>60</v>
      </c>
      <c r="J546">
        <f t="shared" si="90"/>
        <v>459</v>
      </c>
      <c r="K546" s="5">
        <f t="shared" si="91"/>
        <v>0</v>
      </c>
      <c r="L546">
        <f t="shared" si="92"/>
        <v>85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-61.402070314089187</v>
      </c>
      <c r="F547" s="1">
        <f t="shared" si="98"/>
        <v>-63.404103123288245</v>
      </c>
      <c r="G547" s="1">
        <f t="shared" si="95"/>
        <v>2.9103678453895746E-28</v>
      </c>
      <c r="H547" s="1">
        <f t="shared" si="88"/>
        <v>2.8567379880388963E-29</v>
      </c>
      <c r="I547">
        <f t="shared" si="89"/>
        <v>60</v>
      </c>
      <c r="J547">
        <f t="shared" si="90"/>
        <v>460</v>
      </c>
      <c r="K547" s="5">
        <f t="shared" si="91"/>
        <v>0</v>
      </c>
      <c r="L547">
        <f t="shared" si="92"/>
        <v>85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-61.523767249066708</v>
      </c>
      <c r="F548" s="1">
        <f t="shared" si="98"/>
        <v>-63.525800058265766</v>
      </c>
      <c r="G548" s="1">
        <f t="shared" si="95"/>
        <v>2.5768881964386822E-28</v>
      </c>
      <c r="H548" s="1">
        <f t="shared" si="88"/>
        <v>2.5294034269094362E-29</v>
      </c>
      <c r="I548">
        <f t="shared" si="89"/>
        <v>60</v>
      </c>
      <c r="J548">
        <f t="shared" si="90"/>
        <v>461</v>
      </c>
      <c r="K548" s="5">
        <f t="shared" si="91"/>
        <v>0</v>
      </c>
      <c r="L548">
        <f t="shared" si="92"/>
        <v>85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-61.645464184044229</v>
      </c>
      <c r="F549" s="1">
        <f t="shared" si="98"/>
        <v>-63.647496993243287</v>
      </c>
      <c r="G549" s="1">
        <f t="shared" si="95"/>
        <v>2.2816197572634133E-28</v>
      </c>
      <c r="H549" s="1">
        <f t="shared" si="88"/>
        <v>2.2395759509093935E-29</v>
      </c>
      <c r="I549">
        <f t="shared" si="89"/>
        <v>60</v>
      </c>
      <c r="J549">
        <f t="shared" si="90"/>
        <v>462</v>
      </c>
      <c r="K549" s="5">
        <f t="shared" si="91"/>
        <v>0</v>
      </c>
      <c r="L549">
        <f t="shared" si="92"/>
        <v>85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-61.76716111902175</v>
      </c>
      <c r="F550" s="1">
        <f t="shared" si="98"/>
        <v>-63.769193928220808</v>
      </c>
      <c r="G550" s="1">
        <f t="shared" si="95"/>
        <v>2.0201841600769777E-28</v>
      </c>
      <c r="H550" s="1">
        <f t="shared" si="88"/>
        <v>1.9829578732010226E-29</v>
      </c>
      <c r="I550">
        <f t="shared" si="89"/>
        <v>60</v>
      </c>
      <c r="J550">
        <f t="shared" si="90"/>
        <v>463</v>
      </c>
      <c r="K550" s="5">
        <f t="shared" si="91"/>
        <v>0</v>
      </c>
      <c r="L550">
        <f t="shared" si="92"/>
        <v>85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-61.888858053999272</v>
      </c>
      <c r="F551" s="1">
        <f t="shared" si="98"/>
        <v>-63.890890863198329</v>
      </c>
      <c r="G551" s="1">
        <f t="shared" si="95"/>
        <v>1.7887047250681547E-28</v>
      </c>
      <c r="H551" s="1">
        <f t="shared" si="88"/>
        <v>1.7557439502300695E-29</v>
      </c>
      <c r="I551">
        <f t="shared" si="89"/>
        <v>60</v>
      </c>
      <c r="J551">
        <f t="shared" si="90"/>
        <v>464</v>
      </c>
      <c r="K551" s="5">
        <f t="shared" si="91"/>
        <v>0</v>
      </c>
      <c r="L551">
        <f t="shared" si="92"/>
        <v>85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-62.010554988976793</v>
      </c>
      <c r="F552" s="1">
        <f t="shared" si="98"/>
        <v>-64.012587798175858</v>
      </c>
      <c r="G552" s="1">
        <f t="shared" si="95"/>
        <v>1.5837489753207484E-28</v>
      </c>
      <c r="H552" s="1">
        <f t="shared" si="88"/>
        <v>1.5545649559328607E-29</v>
      </c>
      <c r="I552">
        <f t="shared" si="89"/>
        <v>60</v>
      </c>
      <c r="J552">
        <f t="shared" si="90"/>
        <v>465</v>
      </c>
      <c r="K552" s="5">
        <f t="shared" si="91"/>
        <v>0</v>
      </c>
      <c r="L552">
        <f t="shared" si="92"/>
        <v>85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-62.132251923954314</v>
      </c>
      <c r="F553" s="1">
        <f t="shared" si="98"/>
        <v>-64.134284733153379</v>
      </c>
      <c r="G553" s="1">
        <f t="shared" si="95"/>
        <v>1.402277738565244E-28</v>
      </c>
      <c r="H553" s="1">
        <f t="shared" si="88"/>
        <v>1.3764377213988851E-29</v>
      </c>
      <c r="I553">
        <f t="shared" si="89"/>
        <v>60</v>
      </c>
      <c r="J553">
        <f t="shared" si="90"/>
        <v>466</v>
      </c>
      <c r="K553" s="5">
        <f t="shared" si="91"/>
        <v>0</v>
      </c>
      <c r="L553">
        <f t="shared" si="92"/>
        <v>85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-62.253948858931835</v>
      </c>
      <c r="F554" s="1">
        <f t="shared" si="98"/>
        <v>-64.2559816681309</v>
      </c>
      <c r="G554" s="1">
        <f t="shared" si="95"/>
        <v>1.2416000810213081E-28</v>
      </c>
      <c r="H554" s="1">
        <f t="shared" si="88"/>
        <v>1.2187208991552612E-29</v>
      </c>
      <c r="I554">
        <f t="shared" si="89"/>
        <v>60</v>
      </c>
      <c r="J554">
        <f t="shared" si="90"/>
        <v>467</v>
      </c>
      <c r="K554" s="5">
        <f t="shared" si="91"/>
        <v>0</v>
      </c>
      <c r="L554">
        <f t="shared" si="92"/>
        <v>85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-62.375645793909356</v>
      </c>
      <c r="F555" s="1">
        <f t="shared" si="98"/>
        <v>-64.377678603108421</v>
      </c>
      <c r="G555" s="1">
        <f t="shared" si="95"/>
        <v>1.0993334050709483E-28</v>
      </c>
      <c r="H555" s="1">
        <f t="shared" si="88"/>
        <v>1.0790757961270526E-29</v>
      </c>
      <c r="I555">
        <f t="shared" si="89"/>
        <v>60</v>
      </c>
      <c r="J555">
        <f t="shared" si="90"/>
        <v>468</v>
      </c>
      <c r="K555" s="5">
        <f t="shared" si="91"/>
        <v>0</v>
      </c>
      <c r="L555">
        <f t="shared" si="92"/>
        <v>85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-62.497342728886878</v>
      </c>
      <c r="F556" s="1">
        <f t="shared" si="98"/>
        <v>-64.499375538085943</v>
      </c>
      <c r="G556" s="1">
        <f t="shared" si="95"/>
        <v>9.7336811907323414E-29</v>
      </c>
      <c r="H556" s="1">
        <f t="shared" si="88"/>
        <v>9.5543169448749331E-30</v>
      </c>
      <c r="I556">
        <f t="shared" si="89"/>
        <v>60</v>
      </c>
      <c r="J556">
        <f t="shared" si="90"/>
        <v>469</v>
      </c>
      <c r="K556" s="5">
        <f t="shared" si="91"/>
        <v>0</v>
      </c>
      <c r="L556">
        <f t="shared" si="92"/>
        <v>85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-62.619039663864399</v>
      </c>
      <c r="F557" s="1">
        <f t="shared" si="98"/>
        <v>-64.621072473063464</v>
      </c>
      <c r="G557" s="1">
        <f t="shared" si="95"/>
        <v>8.6183635542942473E-29</v>
      </c>
      <c r="H557" s="1">
        <f t="shared" si="88"/>
        <v>8.4595514616079996E-30</v>
      </c>
      <c r="I557">
        <f t="shared" si="89"/>
        <v>60</v>
      </c>
      <c r="J557">
        <f t="shared" si="90"/>
        <v>470</v>
      </c>
      <c r="K557" s="5">
        <f t="shared" si="91"/>
        <v>0</v>
      </c>
      <c r="L557">
        <f t="shared" si="92"/>
        <v>85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-62.74073659884192</v>
      </c>
      <c r="F558" s="1">
        <f t="shared" si="98"/>
        <v>-64.742769408040985</v>
      </c>
      <c r="G558" s="1">
        <f t="shared" si="95"/>
        <v>7.6308427303646879E-29</v>
      </c>
      <c r="H558" s="1">
        <f t="shared" si="88"/>
        <v>7.4902278566320734E-30</v>
      </c>
      <c r="I558">
        <f t="shared" si="89"/>
        <v>60</v>
      </c>
      <c r="J558">
        <f t="shared" si="90"/>
        <v>471</v>
      </c>
      <c r="K558" s="5">
        <f t="shared" si="91"/>
        <v>0</v>
      </c>
      <c r="L558">
        <f t="shared" si="92"/>
        <v>85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-62.862433533819441</v>
      </c>
      <c r="F559" s="1">
        <f t="shared" si="98"/>
        <v>-64.864466343018506</v>
      </c>
      <c r="G559" s="1">
        <f t="shared" si="95"/>
        <v>6.7564753341770574E-29</v>
      </c>
      <c r="H559" s="1">
        <f t="shared" si="88"/>
        <v>6.631972581392972E-30</v>
      </c>
      <c r="I559">
        <f t="shared" si="89"/>
        <v>60</v>
      </c>
      <c r="J559">
        <f t="shared" si="90"/>
        <v>472</v>
      </c>
      <c r="K559" s="5">
        <f t="shared" si="91"/>
        <v>0</v>
      </c>
      <c r="L559">
        <f t="shared" si="92"/>
        <v>85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-62.984130468796963</v>
      </c>
      <c r="F560" s="1">
        <f t="shared" si="98"/>
        <v>-64.986163277996027</v>
      </c>
      <c r="G560" s="1">
        <f t="shared" si="95"/>
        <v>5.9822958688025949E-29</v>
      </c>
      <c r="H560" s="1">
        <f t="shared" si="88"/>
        <v>5.8720590564416859E-30</v>
      </c>
      <c r="I560">
        <f t="shared" si="89"/>
        <v>60</v>
      </c>
      <c r="J560">
        <f t="shared" si="90"/>
        <v>473</v>
      </c>
      <c r="K560" s="5">
        <f t="shared" si="91"/>
        <v>0</v>
      </c>
      <c r="L560">
        <f t="shared" si="92"/>
        <v>85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-63.105827403774484</v>
      </c>
      <c r="F561" s="1">
        <f t="shared" si="98"/>
        <v>-65.107860212973549</v>
      </c>
      <c r="G561" s="1">
        <f t="shared" si="95"/>
        <v>5.2968244671689561E-29</v>
      </c>
      <c r="H561" s="1">
        <f t="shared" si="88"/>
        <v>5.1992189562244015E-30</v>
      </c>
      <c r="I561">
        <f t="shared" si="89"/>
        <v>60</v>
      </c>
      <c r="J561">
        <f t="shared" si="90"/>
        <v>474</v>
      </c>
      <c r="K561" s="5">
        <f t="shared" si="91"/>
        <v>0</v>
      </c>
      <c r="L561">
        <f t="shared" si="92"/>
        <v>85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-63.227524338752005</v>
      </c>
      <c r="F562" s="1">
        <f t="shared" si="98"/>
        <v>-65.22955714795107</v>
      </c>
      <c r="G562" s="1">
        <f t="shared" si="95"/>
        <v>4.6898966636391735E-29</v>
      </c>
      <c r="H562" s="1">
        <f t="shared" si="88"/>
        <v>4.6034751174903496E-30</v>
      </c>
      <c r="I562">
        <f t="shared" si="89"/>
        <v>60</v>
      </c>
      <c r="J562">
        <f t="shared" si="90"/>
        <v>475</v>
      </c>
      <c r="K562" s="5">
        <f t="shared" si="91"/>
        <v>0</v>
      </c>
      <c r="L562">
        <f t="shared" si="92"/>
        <v>85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-63.349221273729526</v>
      </c>
      <c r="F563" s="1">
        <f t="shared" si="98"/>
        <v>-65.351254082928591</v>
      </c>
      <c r="G563" s="1">
        <f t="shared" si="95"/>
        <v>4.1525126709305125E-29</v>
      </c>
      <c r="H563" s="1">
        <f t="shared" si="88"/>
        <v>4.0759935936112413E-30</v>
      </c>
      <c r="I563">
        <f t="shared" si="89"/>
        <v>60</v>
      </c>
      <c r="J563">
        <f t="shared" si="90"/>
        <v>476</v>
      </c>
      <c r="K563" s="5">
        <f t="shared" si="91"/>
        <v>0</v>
      </c>
      <c r="L563">
        <f t="shared" si="92"/>
        <v>85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-63.470918208707047</v>
      </c>
      <c r="F564" s="1">
        <f t="shared" si="98"/>
        <v>-65.472951017906112</v>
      </c>
      <c r="G564" s="1">
        <f t="shared" si="95"/>
        <v>3.6767039273863857E-29</v>
      </c>
      <c r="H564" s="1">
        <f t="shared" si="88"/>
        <v>3.6089526610099477E-30</v>
      </c>
      <c r="I564">
        <f t="shared" si="89"/>
        <v>60</v>
      </c>
      <c r="J564">
        <f t="shared" si="90"/>
        <v>477</v>
      </c>
      <c r="K564" s="5">
        <f t="shared" si="91"/>
        <v>0</v>
      </c>
      <c r="L564">
        <f t="shared" si="92"/>
        <v>85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-63.592615143684569</v>
      </c>
      <c r="F565" s="1">
        <f t="shared" si="98"/>
        <v>-65.594647952883633</v>
      </c>
      <c r="G565" s="1">
        <f t="shared" si="95"/>
        <v>3.2554149357066914E-29</v>
      </c>
      <c r="H565" s="1">
        <f t="shared" si="88"/>
        <v>3.1954268352692203E-30</v>
      </c>
      <c r="I565">
        <f t="shared" si="89"/>
        <v>60</v>
      </c>
      <c r="J565">
        <f t="shared" si="90"/>
        <v>478</v>
      </c>
      <c r="K565" s="5">
        <f t="shared" si="91"/>
        <v>0</v>
      </c>
      <c r="L565">
        <f t="shared" si="92"/>
        <v>85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-63.71431207866209</v>
      </c>
      <c r="F566" s="1">
        <f t="shared" si="98"/>
        <v>-65.716344887861155</v>
      </c>
      <c r="G566" s="1">
        <f t="shared" si="95"/>
        <v>2.8823986409902955E-29</v>
      </c>
      <c r="H566" s="1">
        <f t="shared" si="88"/>
        <v>2.8292841770612847E-30</v>
      </c>
      <c r="I566">
        <f t="shared" si="89"/>
        <v>60</v>
      </c>
      <c r="J566">
        <f t="shared" si="90"/>
        <v>479</v>
      </c>
      <c r="K566" s="5">
        <f t="shared" si="91"/>
        <v>0</v>
      </c>
      <c r="L566">
        <f t="shared" si="92"/>
        <v>85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-63.836009013639611</v>
      </c>
      <c r="F567" s="1">
        <f t="shared" si="98"/>
        <v>-65.838041822838676</v>
      </c>
      <c r="G567" s="1">
        <f t="shared" si="95"/>
        <v>2.5521237967101535E-29</v>
      </c>
      <c r="H567" s="1">
        <f t="shared" si="88"/>
        <v>2.5050953651063418E-30</v>
      </c>
      <c r="I567">
        <f t="shared" si="89"/>
        <v>60</v>
      </c>
      <c r="J567">
        <f t="shared" si="90"/>
        <v>480</v>
      </c>
      <c r="K567" s="5">
        <f t="shared" si="91"/>
        <v>0</v>
      </c>
      <c r="L567">
        <f t="shared" si="92"/>
        <v>85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-63.957705948617132</v>
      </c>
      <c r="F568" s="1">
        <f t="shared" si="98"/>
        <v>-65.959738757816197</v>
      </c>
      <c r="G568" s="1">
        <f t="shared" si="95"/>
        <v>2.2596929450037788E-29</v>
      </c>
      <c r="H568" s="1">
        <f t="shared" si="88"/>
        <v>2.2180531878545707E-30</v>
      </c>
      <c r="I568">
        <f t="shared" si="89"/>
        <v>60</v>
      </c>
      <c r="J568">
        <f t="shared" si="90"/>
        <v>481</v>
      </c>
      <c r="K568" s="5">
        <f t="shared" si="91"/>
        <v>0</v>
      </c>
      <c r="L568">
        <f t="shared" si="92"/>
        <v>85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-64.079402883594653</v>
      </c>
      <c r="F569" s="1">
        <f t="shared" si="98"/>
        <v>-66.081435692793718</v>
      </c>
      <c r="G569" s="1">
        <f t="shared" si="95"/>
        <v>2.0007697950554262E-29</v>
      </c>
      <c r="H569" s="1">
        <f t="shared" si="88"/>
        <v>1.9639012600795647E-30</v>
      </c>
      <c r="I569">
        <f t="shared" si="89"/>
        <v>60</v>
      </c>
      <c r="J569">
        <f t="shared" si="90"/>
        <v>482</v>
      </c>
      <c r="K569" s="5">
        <f t="shared" si="91"/>
        <v>0</v>
      </c>
      <c r="L569">
        <f t="shared" si="92"/>
        <v>85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-64.201099818572175</v>
      </c>
      <c r="F570" s="1">
        <f t="shared" si="98"/>
        <v>-66.20313262777124</v>
      </c>
      <c r="G570" s="1">
        <f t="shared" si="95"/>
        <v>1.7715149227053228E-29</v>
      </c>
      <c r="H570" s="1">
        <f t="shared" si="88"/>
        <v>1.7388709073621122E-30</v>
      </c>
      <c r="I570">
        <f t="shared" si="89"/>
        <v>60</v>
      </c>
      <c r="J570">
        <f t="shared" si="90"/>
        <v>483</v>
      </c>
      <c r="K570" s="5">
        <f t="shared" si="91"/>
        <v>0</v>
      </c>
      <c r="L570">
        <f t="shared" si="92"/>
        <v>85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-64.322796753549696</v>
      </c>
      <c r="F571" s="1">
        <f t="shared" si="98"/>
        <v>-66.324829562748761</v>
      </c>
      <c r="G571" s="1">
        <f t="shared" si="95"/>
        <v>1.5685288378120024E-29</v>
      </c>
      <c r="H571" s="1">
        <f t="shared" si="88"/>
        <v>1.5396252825602014E-30</v>
      </c>
      <c r="I571">
        <f t="shared" si="89"/>
        <v>60</v>
      </c>
      <c r="J571">
        <f t="shared" si="90"/>
        <v>484</v>
      </c>
      <c r="K571" s="5">
        <f t="shared" si="91"/>
        <v>0</v>
      </c>
      <c r="L571">
        <f t="shared" si="92"/>
        <v>85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-64.444493688527217</v>
      </c>
      <c r="F572" s="1">
        <f t="shared" si="98"/>
        <v>-66.446526497726282</v>
      </c>
      <c r="G572" s="1">
        <f t="shared" si="95"/>
        <v>1.3888015751460417E-29</v>
      </c>
      <c r="H572" s="1">
        <f t="shared" si="88"/>
        <v>1.3632098856001764E-30</v>
      </c>
      <c r="I572">
        <f t="shared" si="89"/>
        <v>60</v>
      </c>
      <c r="J572">
        <f t="shared" si="90"/>
        <v>485</v>
      </c>
      <c r="K572" s="5">
        <f t="shared" si="91"/>
        <v>0</v>
      </c>
      <c r="L572">
        <f t="shared" si="92"/>
        <v>85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-64.566190623504738</v>
      </c>
      <c r="F573" s="1">
        <f t="shared" si="98"/>
        <v>-66.568223432703803</v>
      </c>
      <c r="G573" s="1">
        <f t="shared" si="95"/>
        <v>1.2296680613272227E-29</v>
      </c>
      <c r="H573" s="1">
        <f t="shared" si="88"/>
        <v>1.2070087528751544E-30</v>
      </c>
      <c r="I573">
        <f t="shared" si="89"/>
        <v>60</v>
      </c>
      <c r="J573">
        <f t="shared" si="90"/>
        <v>486</v>
      </c>
      <c r="K573" s="5">
        <f t="shared" si="91"/>
        <v>0</v>
      </c>
      <c r="L573">
        <f t="shared" si="92"/>
        <v>85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-64.687887558482259</v>
      </c>
      <c r="F574" s="1">
        <f t="shared" si="98"/>
        <v>-66.689920367681324</v>
      </c>
      <c r="G574" s="1">
        <f t="shared" si="95"/>
        <v>1.0887685959668101E-29</v>
      </c>
      <c r="H574" s="1">
        <f t="shared" si="88"/>
        <v>1.0687056666082081E-30</v>
      </c>
      <c r="I574">
        <f t="shared" si="89"/>
        <v>60</v>
      </c>
      <c r="J574">
        <f t="shared" si="90"/>
        <v>487</v>
      </c>
      <c r="K574" s="5">
        <f t="shared" si="91"/>
        <v>0</v>
      </c>
      <c r="L574">
        <f t="shared" si="92"/>
        <v>85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-64.809584493459781</v>
      </c>
      <c r="F575" s="1">
        <f t="shared" si="98"/>
        <v>-66.811617302658846</v>
      </c>
      <c r="G575" s="1">
        <f t="shared" si="95"/>
        <v>9.6401386101227851E-30</v>
      </c>
      <c r="H575" s="1">
        <f t="shared" si="88"/>
        <v>9.4624980897601626E-31</v>
      </c>
      <c r="I575">
        <f t="shared" si="89"/>
        <v>60</v>
      </c>
      <c r="J575">
        <f t="shared" si="90"/>
        <v>488</v>
      </c>
      <c r="K575" s="5">
        <f t="shared" si="91"/>
        <v>0</v>
      </c>
      <c r="L575">
        <f t="shared" si="92"/>
        <v>85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-64.931281428437302</v>
      </c>
      <c r="F576" s="1">
        <f t="shared" si="98"/>
        <v>-66.933314237636367</v>
      </c>
      <c r="G576" s="1">
        <f t="shared" si="95"/>
        <v>8.5355393943795368E-30</v>
      </c>
      <c r="H576" s="1">
        <f t="shared" si="88"/>
        <v>8.3782535169751314E-31</v>
      </c>
      <c r="I576">
        <f t="shared" si="89"/>
        <v>60</v>
      </c>
      <c r="J576">
        <f t="shared" si="90"/>
        <v>489</v>
      </c>
      <c r="K576" s="5">
        <f t="shared" si="91"/>
        <v>0</v>
      </c>
      <c r="L576">
        <f t="shared" si="92"/>
        <v>85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-65.052978363414823</v>
      </c>
      <c r="F577" s="1">
        <f t="shared" si="98"/>
        <v>-67.055011172613888</v>
      </c>
      <c r="G577" s="1">
        <f t="shared" si="95"/>
        <v>7.5575088387735378E-30</v>
      </c>
      <c r="H577" s="1">
        <f t="shared" si="88"/>
        <v>7.4182453014883875E-31</v>
      </c>
      <c r="I577">
        <f t="shared" si="89"/>
        <v>60</v>
      </c>
      <c r="J577">
        <f t="shared" si="90"/>
        <v>490</v>
      </c>
      <c r="K577" s="5">
        <f t="shared" si="91"/>
        <v>0</v>
      </c>
      <c r="L577">
        <f t="shared" si="92"/>
        <v>85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-65.174675298392344</v>
      </c>
      <c r="F578" s="1">
        <f t="shared" si="98"/>
        <v>-67.176708107591409</v>
      </c>
      <c r="G578" s="1">
        <f t="shared" si="95"/>
        <v>6.6915442843307272E-30</v>
      </c>
      <c r="H578" s="1">
        <f t="shared" si="88"/>
        <v>6.5682380273595005E-31</v>
      </c>
      <c r="I578">
        <f t="shared" si="89"/>
        <v>60</v>
      </c>
      <c r="J578">
        <f t="shared" si="90"/>
        <v>491</v>
      </c>
      <c r="K578" s="5">
        <f t="shared" si="91"/>
        <v>0</v>
      </c>
      <c r="L578">
        <f t="shared" si="92"/>
        <v>85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-65.296372233369866</v>
      </c>
      <c r="F579" s="1">
        <f t="shared" si="98"/>
        <v>-67.29840504256893</v>
      </c>
      <c r="G579" s="1">
        <f t="shared" si="95"/>
        <v>5.924804835084489E-30</v>
      </c>
      <c r="H579" s="1">
        <f t="shared" si="88"/>
        <v>5.815627420057882E-31</v>
      </c>
      <c r="I579">
        <f t="shared" si="89"/>
        <v>60</v>
      </c>
      <c r="J579">
        <f t="shared" si="90"/>
        <v>492</v>
      </c>
      <c r="K579" s="5">
        <f t="shared" si="91"/>
        <v>0</v>
      </c>
      <c r="L579">
        <f t="shared" si="92"/>
        <v>85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-65.418069168347387</v>
      </c>
      <c r="F580" s="1">
        <f t="shared" si="98"/>
        <v>-67.420101977546452</v>
      </c>
      <c r="G580" s="1">
        <f t="shared" si="95"/>
        <v>5.2459209477310504E-30</v>
      </c>
      <c r="H580" s="1">
        <f t="shared" si="88"/>
        <v>5.149253444842909E-31</v>
      </c>
      <c r="I580">
        <f t="shared" si="89"/>
        <v>60</v>
      </c>
      <c r="J580">
        <f t="shared" si="90"/>
        <v>493</v>
      </c>
      <c r="K580" s="5">
        <f t="shared" si="91"/>
        <v>0</v>
      </c>
      <c r="L580">
        <f t="shared" si="92"/>
        <v>85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-65.539766103324908</v>
      </c>
      <c r="F581" s="1">
        <f t="shared" si="98"/>
        <v>-67.541798912523973</v>
      </c>
      <c r="G581" s="1">
        <f t="shared" si="95"/>
        <v>4.6448258391368611E-30</v>
      </c>
      <c r="H581" s="1">
        <f t="shared" si="88"/>
        <v>4.5592348209546531E-31</v>
      </c>
      <c r="I581">
        <f t="shared" si="89"/>
        <v>60</v>
      </c>
      <c r="J581">
        <f t="shared" si="90"/>
        <v>494</v>
      </c>
      <c r="K581" s="5">
        <f t="shared" si="91"/>
        <v>0</v>
      </c>
      <c r="L581">
        <f t="shared" si="92"/>
        <v>85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-65.661463038302429</v>
      </c>
      <c r="F582" s="1">
        <f t="shared" si="98"/>
        <v>-67.663495847501494</v>
      </c>
      <c r="G582" s="1">
        <f t="shared" si="95"/>
        <v>4.1126062117357567E-30</v>
      </c>
      <c r="H582" s="1">
        <f t="shared" si="88"/>
        <v>4.0368224977202601E-31</v>
      </c>
      <c r="I582">
        <f t="shared" si="89"/>
        <v>60</v>
      </c>
      <c r="J582">
        <f t="shared" si="90"/>
        <v>495</v>
      </c>
      <c r="K582" s="5">
        <f t="shared" si="91"/>
        <v>0</v>
      </c>
      <c r="L582">
        <f t="shared" si="92"/>
        <v>85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-65.78315997327995</v>
      </c>
      <c r="F583" s="1">
        <f t="shared" si="98"/>
        <v>-67.785192782479015</v>
      </c>
      <c r="G583" s="1">
        <f t="shared" si="95"/>
        <v>3.641370083307696E-30</v>
      </c>
      <c r="H583" s="1">
        <f t="shared" si="88"/>
        <v>3.5742699198564749E-31</v>
      </c>
      <c r="I583">
        <f t="shared" si="89"/>
        <v>60</v>
      </c>
      <c r="J583">
        <f t="shared" si="90"/>
        <v>496</v>
      </c>
      <c r="K583" s="5">
        <f t="shared" si="91"/>
        <v>0</v>
      </c>
      <c r="L583">
        <f t="shared" si="92"/>
        <v>85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-65.904856908257472</v>
      </c>
      <c r="F584" s="1">
        <f t="shared" si="98"/>
        <v>-67.906889717456536</v>
      </c>
      <c r="G584" s="1">
        <f t="shared" si="95"/>
        <v>3.2241297612620177E-30</v>
      </c>
      <c r="H584" s="1">
        <f t="shared" si="88"/>
        <v>3.1647181582062494E-31</v>
      </c>
      <c r="I584">
        <f t="shared" si="89"/>
        <v>60</v>
      </c>
      <c r="J584">
        <f t="shared" si="90"/>
        <v>497</v>
      </c>
      <c r="K584" s="5">
        <f t="shared" si="91"/>
        <v>0</v>
      </c>
      <c r="L584">
        <f t="shared" si="92"/>
        <v>85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-66.026553843234993</v>
      </c>
      <c r="F585" s="1">
        <f t="shared" si="98"/>
        <v>-68.028586652434058</v>
      </c>
      <c r="G585" s="1">
        <f t="shared" si="95"/>
        <v>2.8546982261174076E-30</v>
      </c>
      <c r="H585" s="1">
        <f t="shared" si="88"/>
        <v>2.8020942025784461E-31</v>
      </c>
      <c r="I585">
        <f t="shared" si="89"/>
        <v>60</v>
      </c>
      <c r="J585">
        <f t="shared" si="90"/>
        <v>498</v>
      </c>
      <c r="K585" s="5">
        <f t="shared" si="91"/>
        <v>0</v>
      </c>
      <c r="L585">
        <f t="shared" si="92"/>
        <v>85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-66.148250778212514</v>
      </c>
      <c r="F586" s="1">
        <f t="shared" si="98"/>
        <v>-68.150283587411579</v>
      </c>
      <c r="G586" s="1">
        <f t="shared" si="95"/>
        <v>2.5275973877081177E-30</v>
      </c>
      <c r="H586" s="1">
        <f t="shared" si="88"/>
        <v>2.4810209085329957E-31</v>
      </c>
      <c r="I586">
        <f t="shared" si="89"/>
        <v>60</v>
      </c>
      <c r="J586">
        <f t="shared" si="90"/>
        <v>499</v>
      </c>
      <c r="K586" s="5">
        <f t="shared" si="91"/>
        <v>0</v>
      </c>
      <c r="L586">
        <f t="shared" si="92"/>
        <v>85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-66.269947713190035</v>
      </c>
      <c r="F587" s="1">
        <f t="shared" si="98"/>
        <v>-68.2719805223891</v>
      </c>
      <c r="G587" s="1">
        <f t="shared" si="95"/>
        <v>2.2379768536998928E-30</v>
      </c>
      <c r="H587" s="1">
        <f t="shared" si="88"/>
        <v>2.1967372627635867E-31</v>
      </c>
      <c r="I587">
        <f t="shared" si="89"/>
        <v>60</v>
      </c>
      <c r="J587">
        <f t="shared" si="90"/>
        <v>500</v>
      </c>
      <c r="K587" s="5">
        <f t="shared" si="91"/>
        <v>0</v>
      </c>
      <c r="L587">
        <f t="shared" si="92"/>
        <v>85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-66.391644648167556</v>
      </c>
      <c r="F588" s="1">
        <f t="shared" si="98"/>
        <v>-68.393677457366621</v>
      </c>
      <c r="G588" s="1">
        <f t="shared" si="95"/>
        <v>1.9815420058801106E-30</v>
      </c>
      <c r="H588" s="1">
        <f t="shared" si="88"/>
        <v>1.9450277847385897E-31</v>
      </c>
      <c r="I588">
        <f t="shared" si="89"/>
        <v>60</v>
      </c>
      <c r="J588">
        <f t="shared" si="90"/>
        <v>501</v>
      </c>
      <c r="K588" s="5">
        <f t="shared" si="91"/>
        <v>0</v>
      </c>
      <c r="L588">
        <f t="shared" si="92"/>
        <v>85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-66.513341583145078</v>
      </c>
      <c r="F589" s="1">
        <f t="shared" si="98"/>
        <v>-68.515374392344143</v>
      </c>
      <c r="G589" s="1">
        <f t="shared" si="95"/>
        <v>1.7544903177063454E-30</v>
      </c>
      <c r="H589" s="1">
        <f t="shared" si="88"/>
        <v>1.7221600177372905E-31</v>
      </c>
      <c r="I589">
        <f t="shared" si="89"/>
        <v>60</v>
      </c>
      <c r="J589">
        <f t="shared" si="90"/>
        <v>502</v>
      </c>
      <c r="K589" s="5">
        <f t="shared" si="91"/>
        <v>0</v>
      </c>
      <c r="L589">
        <f t="shared" si="92"/>
        <v>85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-66.635038518122599</v>
      </c>
      <c r="F590" s="1">
        <f t="shared" si="98"/>
        <v>-68.637071327321664</v>
      </c>
      <c r="G590" s="1">
        <f t="shared" si="95"/>
        <v>1.5534549688024911E-30</v>
      </c>
      <c r="H590" s="1">
        <f t="shared" si="88"/>
        <v>1.524829182371557E-31</v>
      </c>
      <c r="I590">
        <f t="shared" si="89"/>
        <v>60</v>
      </c>
      <c r="J590">
        <f t="shared" si="90"/>
        <v>503</v>
      </c>
      <c r="K590" s="5">
        <f t="shared" si="91"/>
        <v>0</v>
      </c>
      <c r="L590">
        <f t="shared" si="92"/>
        <v>85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-66.75673545310012</v>
      </c>
      <c r="F591" s="1">
        <f t="shared" si="98"/>
        <v>-68.758768262299185</v>
      </c>
      <c r="G591" s="1">
        <f t="shared" si="95"/>
        <v>1.3754549202938702E-30</v>
      </c>
      <c r="H591" s="1">
        <f t="shared" si="88"/>
        <v>1.3501091718914809E-31</v>
      </c>
      <c r="I591">
        <f t="shared" si="89"/>
        <v>60</v>
      </c>
      <c r="J591">
        <f t="shared" si="90"/>
        <v>504</v>
      </c>
      <c r="K591" s="5">
        <f t="shared" si="91"/>
        <v>0</v>
      </c>
      <c r="L591">
        <f t="shared" si="92"/>
        <v>85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-66.878432388077641</v>
      </c>
      <c r="F592" s="1">
        <f t="shared" si="98"/>
        <v>-68.880465197276706</v>
      </c>
      <c r="G592" s="1">
        <f t="shared" si="95"/>
        <v>1.2178507106768627E-30</v>
      </c>
      <c r="H592" s="1">
        <f t="shared" si="88"/>
        <v>1.195409162612247E-31</v>
      </c>
      <c r="I592">
        <f t="shared" si="89"/>
        <v>60</v>
      </c>
      <c r="J592">
        <f t="shared" si="90"/>
        <v>505</v>
      </c>
      <c r="K592" s="5">
        <f t="shared" si="91"/>
        <v>0</v>
      </c>
      <c r="L592">
        <f t="shared" si="92"/>
        <v>85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-67.000129323055162</v>
      </c>
      <c r="F593" s="1">
        <f t="shared" si="98"/>
        <v>-69.002162132254227</v>
      </c>
      <c r="G593" s="1">
        <f t="shared" si="95"/>
        <v>1.0783053167451372E-30</v>
      </c>
      <c r="H593" s="1">
        <f t="shared" si="88"/>
        <v>1.0584351960629255E-31</v>
      </c>
      <c r="I593">
        <f t="shared" si="89"/>
        <v>60</v>
      </c>
      <c r="J593">
        <f t="shared" si="90"/>
        <v>506</v>
      </c>
      <c r="K593" s="5">
        <f t="shared" si="91"/>
        <v>0</v>
      </c>
      <c r="L593">
        <f t="shared" si="92"/>
        <v>85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-67.121826258032684</v>
      </c>
      <c r="F594" s="1">
        <f t="shared" si="98"/>
        <v>-69.123859067231749</v>
      </c>
      <c r="G594" s="1">
        <f t="shared" si="95"/>
        <v>9.5474949920142219E-31</v>
      </c>
      <c r="H594" s="1">
        <f t="shared" si="88"/>
        <v>9.3715616318071387E-32</v>
      </c>
      <c r="I594">
        <f t="shared" si="89"/>
        <v>60</v>
      </c>
      <c r="J594">
        <f t="shared" si="90"/>
        <v>507</v>
      </c>
      <c r="K594" s="5">
        <f t="shared" si="91"/>
        <v>0</v>
      </c>
      <c r="L594">
        <f t="shared" si="92"/>
        <v>85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-67.243523193010205</v>
      </c>
      <c r="F595" s="1">
        <f t="shared" si="98"/>
        <v>-69.24555600220927</v>
      </c>
      <c r="G595" s="1">
        <f t="shared" si="95"/>
        <v>8.4535111908459143E-31</v>
      </c>
      <c r="H595" s="1">
        <f t="shared" si="88"/>
        <v>8.297736861495893E-32</v>
      </c>
      <c r="I595">
        <f t="shared" si="89"/>
        <v>60</v>
      </c>
      <c r="J595">
        <f t="shared" si="90"/>
        <v>508</v>
      </c>
      <c r="K595" s="5">
        <f t="shared" si="91"/>
        <v>0</v>
      </c>
      <c r="L595">
        <f t="shared" si="92"/>
        <v>85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-67.365220127987726</v>
      </c>
      <c r="F596" s="1">
        <f t="shared" si="98"/>
        <v>-69.367252937186791</v>
      </c>
      <c r="G596" s="1">
        <f t="shared" si="95"/>
        <v>7.4848797002281421E-31</v>
      </c>
      <c r="H596" s="1">
        <f t="shared" si="88"/>
        <v>7.3469545127828118E-32</v>
      </c>
      <c r="I596">
        <f t="shared" si="89"/>
        <v>60</v>
      </c>
      <c r="J596">
        <f t="shared" si="90"/>
        <v>509</v>
      </c>
      <c r="K596" s="5">
        <f t="shared" si="91"/>
        <v>0</v>
      </c>
      <c r="L596">
        <f t="shared" si="92"/>
        <v>85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-67.486917062965247</v>
      </c>
      <c r="F597" s="1">
        <f t="shared" si="98"/>
        <v>-69.488949872164312</v>
      </c>
      <c r="G597" s="1">
        <f t="shared" si="95"/>
        <v>6.6272372345769916E-31</v>
      </c>
      <c r="H597" s="1">
        <f t="shared" si="88"/>
        <v>6.5051159748597721E-32</v>
      </c>
      <c r="I597">
        <f t="shared" si="89"/>
        <v>60</v>
      </c>
      <c r="J597">
        <f t="shared" si="90"/>
        <v>510</v>
      </c>
      <c r="K597" s="5">
        <f t="shared" si="91"/>
        <v>0</v>
      </c>
      <c r="L597">
        <f t="shared" si="92"/>
        <v>85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-67.608613997942768</v>
      </c>
      <c r="F598" s="1">
        <f t="shared" si="98"/>
        <v>-69.610646807141833</v>
      </c>
      <c r="G598" s="1">
        <f t="shared" si="95"/>
        <v>5.8678663014483696E-31</v>
      </c>
      <c r="H598" s="1">
        <f t="shared" si="88"/>
        <v>5.7597381027404144E-32</v>
      </c>
      <c r="I598">
        <f t="shared" si="89"/>
        <v>60</v>
      </c>
      <c r="J598">
        <f t="shared" si="90"/>
        <v>511</v>
      </c>
      <c r="K598" s="5">
        <f t="shared" si="91"/>
        <v>0</v>
      </c>
      <c r="L598">
        <f t="shared" si="92"/>
        <v>85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-67.73031093292029</v>
      </c>
      <c r="F599" s="1">
        <f t="shared" si="98"/>
        <v>-69.732343742119355</v>
      </c>
      <c r="G599" s="1">
        <f t="shared" si="95"/>
        <v>5.1955066210740697E-31</v>
      </c>
      <c r="H599" s="1">
        <f t="shared" ref="H599:H662" si="99">G599/$G$21</f>
        <v>5.0997681118014013E-32</v>
      </c>
      <c r="I599">
        <f t="shared" ref="I599:I662" si="100">IF($F$11&lt;=D599, IF(D599&lt;=$A$15,D599-$F$11,$C$11),0)</f>
        <v>60</v>
      </c>
      <c r="J599">
        <f t="shared" ref="J599:J662" si="101">IF(D599&lt;=$A$15,0,D599-$A$15)</f>
        <v>512</v>
      </c>
      <c r="K599" s="5">
        <f t="shared" ref="K599:K662" si="102">IF(D599&lt;$F$11,H599,0)</f>
        <v>0</v>
      </c>
      <c r="L599">
        <f t="shared" ref="L599:L662" si="103">IF(D599&lt;$A$15,$D$11,$D$11*(1-$H$11))</f>
        <v>85</v>
      </c>
      <c r="M599">
        <f t="shared" ref="M599:M662" si="104">IF(D599&lt;$A$15,0,1)</f>
        <v>1</v>
      </c>
      <c r="N599">
        <f t="shared" ref="N599:N662" si="105">IF(SUM(I599:J599)&lt;=($G$11/60*$F$11/($E$11/60)),1,0)</f>
        <v>0</v>
      </c>
    </row>
    <row r="600" spans="4:14" x14ac:dyDescent="0.2">
      <c r="D600">
        <f t="shared" si="96"/>
        <v>577</v>
      </c>
      <c r="E600" s="1">
        <f t="shared" si="97"/>
        <v>-67.852007867897811</v>
      </c>
      <c r="F600" s="1">
        <f t="shared" si="98"/>
        <v>-69.854040677096876</v>
      </c>
      <c r="G600" s="1">
        <f t="shared" ref="G600:G663" si="106">EXP(F600)</f>
        <v>4.6001881540759923E-31</v>
      </c>
      <c r="H600" s="1">
        <f t="shared" si="99"/>
        <v>4.5154196823241509E-32</v>
      </c>
      <c r="I600">
        <f t="shared" si="100"/>
        <v>60</v>
      </c>
      <c r="J600">
        <f t="shared" si="101"/>
        <v>513</v>
      </c>
      <c r="K600" s="5">
        <f t="shared" si="102"/>
        <v>0</v>
      </c>
      <c r="L600">
        <f t="shared" si="103"/>
        <v>85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IF($H$11=1,IF(D601&lt;=$A$15, E600+LN($D$11)-LN(60/$E$11)-LN(MIN(D601,$F$11)), E600-LN(60/$E$11)-LN(MIN(D601,$F$11))), IF(D601&lt;=$A$15, E600+LN($D$11)-LN(60/$E$11)-LN(MIN(D601,$F$11)), E600+LN($D$11)+LN(1-$H$11)-LN(60/$E$11)-LN(MIN(D601,$F$11))))</f>
        <v>-67.973704802875332</v>
      </c>
      <c r="F601" s="1">
        <f t="shared" ref="F601:F664" si="109">E601-$E$21</f>
        <v>-69.975737612074397</v>
      </c>
      <c r="G601" s="1">
        <f t="shared" si="106"/>
        <v>4.0730832614214461E-31</v>
      </c>
      <c r="H601" s="1">
        <f t="shared" si="99"/>
        <v>3.9980278437245033E-32</v>
      </c>
      <c r="I601">
        <f t="shared" si="100"/>
        <v>60</v>
      </c>
      <c r="J601">
        <f t="shared" si="101"/>
        <v>514</v>
      </c>
      <c r="K601" s="5">
        <f t="shared" si="102"/>
        <v>0</v>
      </c>
      <c r="L601">
        <f t="shared" si="103"/>
        <v>85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-68.095401737852853</v>
      </c>
      <c r="F602" s="1">
        <f t="shared" si="109"/>
        <v>-70.097434547051918</v>
      </c>
      <c r="G602" s="1">
        <f t="shared" si="106"/>
        <v>3.6063758043835671E-31</v>
      </c>
      <c r="H602" s="1">
        <f t="shared" si="99"/>
        <v>3.5399204866310655E-32</v>
      </c>
      <c r="I602">
        <f t="shared" si="100"/>
        <v>60</v>
      </c>
      <c r="J602">
        <f t="shared" si="101"/>
        <v>515</v>
      </c>
      <c r="K602" s="5">
        <f t="shared" si="102"/>
        <v>0</v>
      </c>
      <c r="L602">
        <f t="shared" si="103"/>
        <v>85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-68.217098672830375</v>
      </c>
      <c r="F603" s="1">
        <f t="shared" si="109"/>
        <v>-70.219131482029439</v>
      </c>
      <c r="G603" s="1">
        <f t="shared" si="106"/>
        <v>3.1931452434646121E-31</v>
      </c>
      <c r="H603" s="1">
        <f t="shared" si="99"/>
        <v>3.1343045975379181E-32</v>
      </c>
      <c r="I603">
        <f t="shared" si="100"/>
        <v>60</v>
      </c>
      <c r="J603">
        <f t="shared" si="101"/>
        <v>516</v>
      </c>
      <c r="K603" s="5">
        <f t="shared" si="102"/>
        <v>0</v>
      </c>
      <c r="L603">
        <f t="shared" si="103"/>
        <v>85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-68.338795607807896</v>
      </c>
      <c r="F604" s="1">
        <f t="shared" si="109"/>
        <v>-70.340828417006961</v>
      </c>
      <c r="G604" s="1">
        <f t="shared" si="106"/>
        <v>2.8272640176509544E-31</v>
      </c>
      <c r="H604" s="1">
        <f t="shared" si="99"/>
        <v>2.7751655290700273E-32</v>
      </c>
      <c r="I604">
        <f t="shared" si="100"/>
        <v>60</v>
      </c>
      <c r="J604">
        <f t="shared" si="101"/>
        <v>517</v>
      </c>
      <c r="K604" s="5">
        <f t="shared" si="102"/>
        <v>0</v>
      </c>
      <c r="L604">
        <f t="shared" si="103"/>
        <v>85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-68.460492542785417</v>
      </c>
      <c r="F605" s="1">
        <f t="shared" si="109"/>
        <v>-70.462525351984482</v>
      </c>
      <c r="G605" s="1">
        <f t="shared" si="106"/>
        <v>2.5033066822951125E-31</v>
      </c>
      <c r="H605" s="1">
        <f t="shared" si="99"/>
        <v>2.457177812197417E-32</v>
      </c>
      <c r="I605">
        <f t="shared" si="100"/>
        <v>60</v>
      </c>
      <c r="J605">
        <f t="shared" si="101"/>
        <v>518</v>
      </c>
      <c r="K605" s="5">
        <f t="shared" si="102"/>
        <v>0</v>
      </c>
      <c r="L605">
        <f t="shared" si="103"/>
        <v>85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-68.582189477762938</v>
      </c>
      <c r="F606" s="1">
        <f t="shared" si="109"/>
        <v>-70.584222286962003</v>
      </c>
      <c r="G606" s="1">
        <f t="shared" si="106"/>
        <v>2.2164694582821277E-31</v>
      </c>
      <c r="H606" s="1">
        <f t="shared" si="99"/>
        <v>2.1756261878831265E-32</v>
      </c>
      <c r="I606">
        <f t="shared" si="100"/>
        <v>60</v>
      </c>
      <c r="J606">
        <f t="shared" si="101"/>
        <v>519</v>
      </c>
      <c r="K606" s="5">
        <f t="shared" si="102"/>
        <v>0</v>
      </c>
      <c r="L606">
        <f t="shared" si="103"/>
        <v>85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-68.703886412740459</v>
      </c>
      <c r="F607" s="1">
        <f t="shared" si="109"/>
        <v>-70.705919221939524</v>
      </c>
      <c r="G607" s="1">
        <f t="shared" si="106"/>
        <v>1.962498999520631E-31</v>
      </c>
      <c r="H607" s="1">
        <f t="shared" si="99"/>
        <v>1.926335687188182E-32</v>
      </c>
      <c r="I607">
        <f t="shared" si="100"/>
        <v>60</v>
      </c>
      <c r="J607">
        <f t="shared" si="101"/>
        <v>520</v>
      </c>
      <c r="K607" s="5">
        <f t="shared" si="102"/>
        <v>0</v>
      </c>
      <c r="L607">
        <f t="shared" si="103"/>
        <v>85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-68.825583347717981</v>
      </c>
      <c r="F608" s="1">
        <f t="shared" si="109"/>
        <v>-70.827616156917045</v>
      </c>
      <c r="G608" s="1">
        <f t="shared" si="106"/>
        <v>1.7376293224922228E-31</v>
      </c>
      <c r="H608" s="1">
        <f t="shared" si="99"/>
        <v>1.7056097230312004E-32</v>
      </c>
      <c r="I608">
        <f t="shared" si="100"/>
        <v>60</v>
      </c>
      <c r="J608">
        <f t="shared" si="101"/>
        <v>521</v>
      </c>
      <c r="K608" s="5">
        <f t="shared" si="102"/>
        <v>0</v>
      </c>
      <c r="L608">
        <f t="shared" si="103"/>
        <v>85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-68.947280282695502</v>
      </c>
      <c r="F609" s="1">
        <f t="shared" si="109"/>
        <v>-70.949313091894567</v>
      </c>
      <c r="G609" s="1">
        <f t="shared" si="106"/>
        <v>1.5385259626233202E-31</v>
      </c>
      <c r="H609" s="1">
        <f t="shared" si="99"/>
        <v>1.51017527560054E-32</v>
      </c>
      <c r="I609">
        <f t="shared" si="100"/>
        <v>60</v>
      </c>
      <c r="J609">
        <f t="shared" si="101"/>
        <v>522</v>
      </c>
      <c r="K609" s="5">
        <f t="shared" si="102"/>
        <v>0</v>
      </c>
      <c r="L609">
        <f t="shared" si="103"/>
        <v>85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-69.068977217673023</v>
      </c>
      <c r="F610" s="1">
        <f t="shared" si="109"/>
        <v>-71.071010026872088</v>
      </c>
      <c r="G610" s="1">
        <f t="shared" si="106"/>
        <v>1.3622365294060627E-31</v>
      </c>
      <c r="H610" s="1">
        <f t="shared" si="99"/>
        <v>1.3371343586046427E-32</v>
      </c>
      <c r="I610">
        <f t="shared" si="100"/>
        <v>60</v>
      </c>
      <c r="J610">
        <f t="shared" si="101"/>
        <v>523</v>
      </c>
      <c r="K610" s="5">
        <f t="shared" si="102"/>
        <v>0</v>
      </c>
      <c r="L610">
        <f t="shared" si="103"/>
        <v>85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-69.190674152650544</v>
      </c>
      <c r="F611" s="1">
        <f t="shared" si="109"/>
        <v>-71.192706961849609</v>
      </c>
      <c r="G611" s="1">
        <f t="shared" si="106"/>
        <v>1.206146927078283E-31</v>
      </c>
      <c r="H611" s="1">
        <f t="shared" si="99"/>
        <v>1.1839210466811925E-32</v>
      </c>
      <c r="I611">
        <f t="shared" si="100"/>
        <v>60</v>
      </c>
      <c r="J611">
        <f t="shared" si="101"/>
        <v>524</v>
      </c>
      <c r="K611" s="5">
        <f t="shared" si="102"/>
        <v>0</v>
      </c>
      <c r="L611">
        <f t="shared" si="103"/>
        <v>85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-69.312371087628065</v>
      </c>
      <c r="F612" s="1">
        <f t="shared" si="109"/>
        <v>-71.31440389682713</v>
      </c>
      <c r="G612" s="1">
        <f t="shared" si="106"/>
        <v>1.067942591683895E-31</v>
      </c>
      <c r="H612" s="1">
        <f t="shared" si="99"/>
        <v>1.048263426748971E-32</v>
      </c>
      <c r="I612">
        <f t="shared" si="100"/>
        <v>60</v>
      </c>
      <c r="J612">
        <f t="shared" si="101"/>
        <v>525</v>
      </c>
      <c r="K612" s="5">
        <f t="shared" si="102"/>
        <v>0</v>
      </c>
      <c r="L612">
        <f t="shared" si="103"/>
        <v>85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-69.434068022605587</v>
      </c>
      <c r="F613" s="1">
        <f t="shared" si="109"/>
        <v>-71.436100831804652</v>
      </c>
      <c r="G613" s="1">
        <f t="shared" si="106"/>
        <v>9.4557416972011399E-32</v>
      </c>
      <c r="H613" s="1">
        <f t="shared" si="99"/>
        <v>9.2814990910065008E-33</v>
      </c>
      <c r="I613">
        <f t="shared" si="100"/>
        <v>60</v>
      </c>
      <c r="J613">
        <f t="shared" si="101"/>
        <v>526</v>
      </c>
      <c r="K613" s="5">
        <f t="shared" si="102"/>
        <v>0</v>
      </c>
      <c r="L613">
        <f t="shared" si="103"/>
        <v>85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-69.555764957583108</v>
      </c>
      <c r="F614" s="1">
        <f t="shared" si="109"/>
        <v>-71.557797766782173</v>
      </c>
      <c r="G614" s="1">
        <f t="shared" si="106"/>
        <v>8.3722712943968299E-32</v>
      </c>
      <c r="H614" s="1">
        <f t="shared" si="99"/>
        <v>8.2179939868286605E-33</v>
      </c>
      <c r="I614">
        <f t="shared" si="100"/>
        <v>60</v>
      </c>
      <c r="J614">
        <f t="shared" si="101"/>
        <v>527</v>
      </c>
      <c r="K614" s="5">
        <f t="shared" si="102"/>
        <v>0</v>
      </c>
      <c r="L614">
        <f t="shared" si="103"/>
        <v>85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-69.677461892560629</v>
      </c>
      <c r="F615" s="1">
        <f t="shared" si="109"/>
        <v>-71.679494701759694</v>
      </c>
      <c r="G615" s="1">
        <f t="shared" si="106"/>
        <v>7.4129485419138497E-32</v>
      </c>
      <c r="H615" s="1">
        <f t="shared" si="99"/>
        <v>7.2763488425045335E-33</v>
      </c>
      <c r="I615">
        <f t="shared" si="100"/>
        <v>60</v>
      </c>
      <c r="J615">
        <f t="shared" si="101"/>
        <v>528</v>
      </c>
      <c r="K615" s="5">
        <f t="shared" si="102"/>
        <v>0</v>
      </c>
      <c r="L615">
        <f t="shared" si="103"/>
        <v>85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-69.79915882753815</v>
      </c>
      <c r="F616" s="1">
        <f t="shared" si="109"/>
        <v>-71.801191636737215</v>
      </c>
      <c r="G616" s="1">
        <f t="shared" si="106"/>
        <v>6.5635481881528788E-32</v>
      </c>
      <c r="H616" s="1">
        <f t="shared" si="99"/>
        <v>6.4426005376342132E-33</v>
      </c>
      <c r="I616">
        <f t="shared" si="100"/>
        <v>60</v>
      </c>
      <c r="J616">
        <f t="shared" si="101"/>
        <v>529</v>
      </c>
      <c r="K616" s="5">
        <f t="shared" si="102"/>
        <v>0</v>
      </c>
      <c r="L616">
        <f t="shared" si="103"/>
        <v>85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-69.920855762515671</v>
      </c>
      <c r="F617" s="1">
        <f t="shared" si="109"/>
        <v>-71.922888571714736</v>
      </c>
      <c r="G617" s="1">
        <f t="shared" si="106"/>
        <v>5.8114749582603529E-32</v>
      </c>
      <c r="H617" s="1">
        <f t="shared" si="99"/>
        <v>5.7043858926969516E-33</v>
      </c>
      <c r="I617">
        <f t="shared" si="100"/>
        <v>60</v>
      </c>
      <c r="J617">
        <f t="shared" si="101"/>
        <v>530</v>
      </c>
      <c r="K617" s="5">
        <f t="shared" si="102"/>
        <v>0</v>
      </c>
      <c r="L617">
        <f t="shared" si="103"/>
        <v>85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-70.042552697493193</v>
      </c>
      <c r="F618" s="1">
        <f t="shared" si="109"/>
        <v>-72.044585506692258</v>
      </c>
      <c r="G618" s="1">
        <f t="shared" si="106"/>
        <v>5.1455767859596797E-32</v>
      </c>
      <c r="H618" s="1">
        <f t="shared" si="99"/>
        <v>5.0507583424920846E-33</v>
      </c>
      <c r="I618">
        <f t="shared" si="100"/>
        <v>60</v>
      </c>
      <c r="J618">
        <f t="shared" si="101"/>
        <v>531</v>
      </c>
      <c r="K618" s="5">
        <f t="shared" si="102"/>
        <v>0</v>
      </c>
      <c r="L618">
        <f t="shared" si="103"/>
        <v>85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-70.164249632470714</v>
      </c>
      <c r="F619" s="1">
        <f t="shared" si="109"/>
        <v>-72.166282441669779</v>
      </c>
      <c r="G619" s="1">
        <f t="shared" si="106"/>
        <v>4.5559794459017936E-32</v>
      </c>
      <c r="H619" s="1">
        <f t="shared" si="99"/>
        <v>4.4720256157481941E-33</v>
      </c>
      <c r="I619">
        <f t="shared" si="100"/>
        <v>60</v>
      </c>
      <c r="J619">
        <f t="shared" si="101"/>
        <v>532</v>
      </c>
      <c r="K619" s="5">
        <f t="shared" si="102"/>
        <v>0</v>
      </c>
      <c r="L619">
        <f t="shared" si="103"/>
        <v>85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-70.285946567448235</v>
      </c>
      <c r="F620" s="1">
        <f t="shared" si="109"/>
        <v>-72.2879793766473</v>
      </c>
      <c r="G620" s="1">
        <f t="shared" si="106"/>
        <v>4.0339401343922073E-32</v>
      </c>
      <c r="H620" s="1">
        <f t="shared" si="99"/>
        <v>3.9596060139437078E-33</v>
      </c>
      <c r="I620">
        <f t="shared" si="100"/>
        <v>60</v>
      </c>
      <c r="J620">
        <f t="shared" si="101"/>
        <v>533</v>
      </c>
      <c r="K620" s="5">
        <f t="shared" si="102"/>
        <v>0</v>
      </c>
      <c r="L620">
        <f t="shared" si="103"/>
        <v>85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-70.407643502425756</v>
      </c>
      <c r="F621" s="1">
        <f t="shared" si="109"/>
        <v>-72.409676311624821</v>
      </c>
      <c r="G621" s="1">
        <f t="shared" si="106"/>
        <v>3.5717178273264285E-32</v>
      </c>
      <c r="H621" s="1">
        <f t="shared" si="99"/>
        <v>3.5059011581793193E-33</v>
      </c>
      <c r="I621">
        <f t="shared" si="100"/>
        <v>60</v>
      </c>
      <c r="J621">
        <f t="shared" si="101"/>
        <v>534</v>
      </c>
      <c r="K621" s="5">
        <f t="shared" si="102"/>
        <v>0</v>
      </c>
      <c r="L621">
        <f t="shared" si="103"/>
        <v>85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-70.529340437403278</v>
      </c>
      <c r="F622" s="1">
        <f t="shared" si="109"/>
        <v>-72.531373246602342</v>
      </c>
      <c r="G622" s="1">
        <f t="shared" si="106"/>
        <v>3.1624584929452707E-32</v>
      </c>
      <c r="H622" s="1">
        <f t="shared" si="99"/>
        <v>3.1041833171379347E-33</v>
      </c>
      <c r="I622">
        <f t="shared" si="100"/>
        <v>60</v>
      </c>
      <c r="J622">
        <f t="shared" si="101"/>
        <v>535</v>
      </c>
      <c r="K622" s="5">
        <f t="shared" si="102"/>
        <v>0</v>
      </c>
      <c r="L622">
        <f t="shared" si="103"/>
        <v>85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-70.651037372380799</v>
      </c>
      <c r="F623" s="1">
        <f t="shared" si="109"/>
        <v>-72.653070181579864</v>
      </c>
      <c r="G623" s="1">
        <f t="shared" si="106"/>
        <v>2.8000934572952879E-32</v>
      </c>
      <c r="H623" s="1">
        <f t="shared" si="99"/>
        <v>2.7484956453825428E-33</v>
      </c>
      <c r="I623">
        <f t="shared" si="100"/>
        <v>60</v>
      </c>
      <c r="J623">
        <f t="shared" si="101"/>
        <v>536</v>
      </c>
      <c r="K623" s="5">
        <f t="shared" si="102"/>
        <v>0</v>
      </c>
      <c r="L623">
        <f t="shared" si="103"/>
        <v>85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-70.77273430735832</v>
      </c>
      <c r="F624" s="1">
        <f t="shared" si="109"/>
        <v>-72.774767116557385</v>
      </c>
      <c r="G624" s="1">
        <f t="shared" si="106"/>
        <v>2.4792494153135323E-32</v>
      </c>
      <c r="H624" s="1">
        <f t="shared" si="99"/>
        <v>2.4335638526824559E-33</v>
      </c>
      <c r="I624">
        <f t="shared" si="100"/>
        <v>60</v>
      </c>
      <c r="J624">
        <f t="shared" si="101"/>
        <v>537</v>
      </c>
      <c r="K624" s="5">
        <f t="shared" si="102"/>
        <v>0</v>
      </c>
      <c r="L624">
        <f t="shared" si="103"/>
        <v>85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-70.894431242335841</v>
      </c>
      <c r="F625" s="1">
        <f t="shared" si="109"/>
        <v>-72.896464051534906</v>
      </c>
      <c r="G625" s="1">
        <f t="shared" si="106"/>
        <v>2.1951687531421872E-32</v>
      </c>
      <c r="H625" s="1">
        <f t="shared" si="99"/>
        <v>2.1547179945625884E-33</v>
      </c>
      <c r="I625">
        <f t="shared" si="100"/>
        <v>60</v>
      </c>
      <c r="J625">
        <f t="shared" si="101"/>
        <v>538</v>
      </c>
      <c r="K625" s="5">
        <f t="shared" si="102"/>
        <v>0</v>
      </c>
      <c r="L625">
        <f t="shared" si="103"/>
        <v>85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-71.016128177313362</v>
      </c>
      <c r="F626" s="1">
        <f t="shared" si="109"/>
        <v>-73.018160986512427</v>
      </c>
      <c r="G626" s="1">
        <f t="shared" si="106"/>
        <v>1.9436390001779753E-32</v>
      </c>
      <c r="H626" s="1">
        <f t="shared" si="99"/>
        <v>1.9078232243522887E-33</v>
      </c>
      <c r="I626">
        <f t="shared" si="100"/>
        <v>60</v>
      </c>
      <c r="J626">
        <f t="shared" si="101"/>
        <v>539</v>
      </c>
      <c r="K626" s="5">
        <f t="shared" si="102"/>
        <v>0</v>
      </c>
      <c r="L626">
        <f t="shared" si="103"/>
        <v>85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-71.137825112290884</v>
      </c>
      <c r="F627" s="1">
        <f t="shared" si="109"/>
        <v>-73.139857921489948</v>
      </c>
      <c r="G627" s="1">
        <f t="shared" si="106"/>
        <v>1.7209303647409133E-32</v>
      </c>
      <c r="H627" s="1">
        <f t="shared" si="99"/>
        <v>1.6892184798952536E-33</v>
      </c>
      <c r="I627">
        <f t="shared" si="100"/>
        <v>60</v>
      </c>
      <c r="J627">
        <f t="shared" si="101"/>
        <v>540</v>
      </c>
      <c r="K627" s="5">
        <f t="shared" si="102"/>
        <v>0</v>
      </c>
      <c r="L627">
        <f t="shared" si="103"/>
        <v>85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-71.259522047268405</v>
      </c>
      <c r="F628" s="1">
        <f t="shared" si="109"/>
        <v>-73.26155485646747</v>
      </c>
      <c r="G628" s="1">
        <f t="shared" si="106"/>
        <v>1.5237404271143482E-32</v>
      </c>
      <c r="H628" s="1">
        <f t="shared" si="99"/>
        <v>1.495662195740587E-33</v>
      </c>
      <c r="I628">
        <f t="shared" si="100"/>
        <v>60</v>
      </c>
      <c r="J628">
        <f t="shared" si="101"/>
        <v>541</v>
      </c>
      <c r="K628" s="5">
        <f t="shared" si="102"/>
        <v>0</v>
      </c>
      <c r="L628">
        <f t="shared" si="103"/>
        <v>85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-71.381218982245926</v>
      </c>
      <c r="F629" s="1">
        <f t="shared" si="109"/>
        <v>-73.383251791444991</v>
      </c>
      <c r="G629" s="1">
        <f t="shared" si="106"/>
        <v>1.3491451698408272E-32</v>
      </c>
      <c r="H629" s="1">
        <f t="shared" si="99"/>
        <v>1.324284235811976E-33</v>
      </c>
      <c r="I629">
        <f t="shared" si="100"/>
        <v>60</v>
      </c>
      <c r="J629">
        <f t="shared" si="101"/>
        <v>542</v>
      </c>
      <c r="K629" s="5">
        <f t="shared" si="102"/>
        <v>0</v>
      </c>
      <c r="L629">
        <f t="shared" si="103"/>
        <v>85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-71.502915917223447</v>
      </c>
      <c r="F630" s="1">
        <f t="shared" si="109"/>
        <v>-73.504948726422512</v>
      </c>
      <c r="G630" s="1">
        <f t="shared" si="106"/>
        <v>1.1945556191298973E-32</v>
      </c>
      <c r="H630" s="1">
        <f t="shared" si="99"/>
        <v>1.1725433337918521E-33</v>
      </c>
      <c r="I630">
        <f t="shared" si="100"/>
        <v>60</v>
      </c>
      <c r="J630">
        <f t="shared" si="101"/>
        <v>543</v>
      </c>
      <c r="K630" s="5">
        <f t="shared" si="102"/>
        <v>0</v>
      </c>
      <c r="L630">
        <f t="shared" si="103"/>
        <v>85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-71.624612852200968</v>
      </c>
      <c r="F631" s="1">
        <f t="shared" si="109"/>
        <v>-73.626645661400033</v>
      </c>
      <c r="G631" s="1">
        <f t="shared" si="106"/>
        <v>1.0576794544379283E-32</v>
      </c>
      <c r="H631" s="1">
        <f t="shared" si="99"/>
        <v>1.0381894101282008E-33</v>
      </c>
      <c r="I631">
        <f t="shared" si="100"/>
        <v>60</v>
      </c>
      <c r="J631">
        <f t="shared" si="101"/>
        <v>544</v>
      </c>
      <c r="K631" s="5">
        <f t="shared" si="102"/>
        <v>0</v>
      </c>
      <c r="L631">
        <f t="shared" si="103"/>
        <v>85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-71.74630978717849</v>
      </c>
      <c r="F632" s="1">
        <f t="shared" si="109"/>
        <v>-73.748342596377555</v>
      </c>
      <c r="G632" s="1">
        <f t="shared" si="106"/>
        <v>9.364870169502478E-33</v>
      </c>
      <c r="H632" s="1">
        <f t="shared" si="99"/>
        <v>9.1923020688434322E-34</v>
      </c>
      <c r="I632">
        <f t="shared" si="100"/>
        <v>60</v>
      </c>
      <c r="J632">
        <f t="shared" si="101"/>
        <v>545</v>
      </c>
      <c r="K632" s="5">
        <f t="shared" si="102"/>
        <v>0</v>
      </c>
      <c r="L632">
        <f t="shared" si="103"/>
        <v>85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-71.868006722156011</v>
      </c>
      <c r="F633" s="1">
        <f t="shared" si="109"/>
        <v>-73.870039531355076</v>
      </c>
      <c r="G633" s="1">
        <f t="shared" si="106"/>
        <v>8.2918121292469734E-33</v>
      </c>
      <c r="H633" s="1">
        <f t="shared" si="99"/>
        <v>8.1390174567884441E-34</v>
      </c>
      <c r="I633">
        <f t="shared" si="100"/>
        <v>60</v>
      </c>
      <c r="J633">
        <f t="shared" si="101"/>
        <v>546</v>
      </c>
      <c r="K633" s="5">
        <f t="shared" si="102"/>
        <v>0</v>
      </c>
      <c r="L633">
        <f t="shared" si="103"/>
        <v>85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-71.989703657133532</v>
      </c>
      <c r="F634" s="1">
        <f t="shared" si="109"/>
        <v>-73.991736466332597</v>
      </c>
      <c r="G634" s="1">
        <f t="shared" si="106"/>
        <v>7.3417086561040801E-33</v>
      </c>
      <c r="H634" s="1">
        <f t="shared" si="99"/>
        <v>7.2064217065314243E-34</v>
      </c>
      <c r="I634">
        <f t="shared" si="100"/>
        <v>60</v>
      </c>
      <c r="J634">
        <f t="shared" si="101"/>
        <v>547</v>
      </c>
      <c r="K634" s="5">
        <f t="shared" si="102"/>
        <v>0</v>
      </c>
      <c r="L634">
        <f t="shared" si="103"/>
        <v>85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-72.111400592111053</v>
      </c>
      <c r="F635" s="1">
        <f t="shared" si="109"/>
        <v>-74.113433401310118</v>
      </c>
      <c r="G635" s="1">
        <f t="shared" si="106"/>
        <v>6.5004712059254786E-33</v>
      </c>
      <c r="H635" s="1">
        <f t="shared" si="99"/>
        <v>6.3806858859913562E-34</v>
      </c>
      <c r="I635">
        <f t="shared" si="100"/>
        <v>60</v>
      </c>
      <c r="J635">
        <f t="shared" si="101"/>
        <v>548</v>
      </c>
      <c r="K635" s="5">
        <f t="shared" si="102"/>
        <v>0</v>
      </c>
      <c r="L635">
        <f t="shared" si="103"/>
        <v>85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-72.233097527088574</v>
      </c>
      <c r="F636" s="1">
        <f t="shared" si="109"/>
        <v>-74.235130336287639</v>
      </c>
      <c r="G636" s="1">
        <f t="shared" si="106"/>
        <v>5.7556255469131765E-33</v>
      </c>
      <c r="H636" s="1">
        <f t="shared" si="99"/>
        <v>5.6495656282215054E-34</v>
      </c>
      <c r="I636">
        <f t="shared" si="100"/>
        <v>60</v>
      </c>
      <c r="J636">
        <f t="shared" si="101"/>
        <v>549</v>
      </c>
      <c r="K636" s="5">
        <f t="shared" si="102"/>
        <v>0</v>
      </c>
      <c r="L636">
        <f t="shared" si="103"/>
        <v>85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-72.354794462066096</v>
      </c>
      <c r="F637" s="1">
        <f t="shared" si="109"/>
        <v>-74.356827271265161</v>
      </c>
      <c r="G637" s="1">
        <f t="shared" si="106"/>
        <v>5.0961267863293675E-33</v>
      </c>
      <c r="H637" s="1">
        <f t="shared" si="99"/>
        <v>5.0022195666544511E-34</v>
      </c>
      <c r="I637">
        <f t="shared" si="100"/>
        <v>60</v>
      </c>
      <c r="J637">
        <f t="shared" si="101"/>
        <v>550</v>
      </c>
      <c r="K637" s="5">
        <f t="shared" si="102"/>
        <v>0</v>
      </c>
      <c r="L637">
        <f t="shared" si="103"/>
        <v>85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-72.476491397043617</v>
      </c>
      <c r="F638" s="1">
        <f t="shared" si="109"/>
        <v>-74.478524206242682</v>
      </c>
      <c r="G638" s="1">
        <f t="shared" si="106"/>
        <v>4.5121955920624544E-33</v>
      </c>
      <c r="H638" s="1">
        <f t="shared" si="99"/>
        <v>4.4290485746419557E-34</v>
      </c>
      <c r="I638">
        <f t="shared" si="100"/>
        <v>60</v>
      </c>
      <c r="J638">
        <f t="shared" si="101"/>
        <v>551</v>
      </c>
      <c r="K638" s="5">
        <f t="shared" si="102"/>
        <v>0</v>
      </c>
      <c r="L638">
        <f t="shared" si="103"/>
        <v>85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-72.598188332021138</v>
      </c>
      <c r="F639" s="1">
        <f t="shared" si="109"/>
        <v>-74.600221141220203</v>
      </c>
      <c r="G639" s="1">
        <f t="shared" si="106"/>
        <v>3.995173180471959E-33</v>
      </c>
      <c r="H639" s="1">
        <f t="shared" si="99"/>
        <v>3.9215534254642253E-34</v>
      </c>
      <c r="I639">
        <f t="shared" si="100"/>
        <v>60</v>
      </c>
      <c r="J639">
        <f t="shared" si="101"/>
        <v>552</v>
      </c>
      <c r="K639" s="5">
        <f t="shared" si="102"/>
        <v>0</v>
      </c>
      <c r="L639">
        <f t="shared" si="103"/>
        <v>85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-72.719885266998659</v>
      </c>
      <c r="F640" s="1">
        <f t="shared" si="109"/>
        <v>-74.721918076197724</v>
      </c>
      <c r="G640" s="1">
        <f t="shared" si="106"/>
        <v>3.5373929202095422E-33</v>
      </c>
      <c r="H640" s="1">
        <f t="shared" si="99"/>
        <v>3.4722087621297784E-34</v>
      </c>
      <c r="I640">
        <f t="shared" si="100"/>
        <v>60</v>
      </c>
      <c r="J640">
        <f t="shared" si="101"/>
        <v>553</v>
      </c>
      <c r="K640" s="5">
        <f t="shared" si="102"/>
        <v>0</v>
      </c>
      <c r="L640">
        <f t="shared" si="103"/>
        <v>85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-72.84158220197618</v>
      </c>
      <c r="F641" s="1">
        <f t="shared" si="109"/>
        <v>-74.843615011175245</v>
      </c>
      <c r="G641" s="1">
        <f t="shared" si="106"/>
        <v>3.1320666481021944E-33</v>
      </c>
      <c r="H641" s="1">
        <f t="shared" si="99"/>
        <v>3.0743515081357368E-34</v>
      </c>
      <c r="I641">
        <f t="shared" si="100"/>
        <v>60</v>
      </c>
      <c r="J641">
        <f t="shared" si="101"/>
        <v>554</v>
      </c>
      <c r="K641" s="5">
        <f t="shared" si="102"/>
        <v>0</v>
      </c>
      <c r="L641">
        <f t="shared" si="103"/>
        <v>85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-72.963279136953702</v>
      </c>
      <c r="F642" s="1">
        <f t="shared" si="109"/>
        <v>-74.965311946152767</v>
      </c>
      <c r="G642" s="1">
        <f t="shared" si="106"/>
        <v>2.7731840113404805E-33</v>
      </c>
      <c r="H642" s="1">
        <f t="shared" si="99"/>
        <v>2.7220820644951795E-34</v>
      </c>
      <c r="I642">
        <f t="shared" si="100"/>
        <v>60</v>
      </c>
      <c r="J642">
        <f t="shared" si="101"/>
        <v>555</v>
      </c>
      <c r="K642" s="5">
        <f t="shared" si="102"/>
        <v>0</v>
      </c>
      <c r="L642">
        <f t="shared" si="103"/>
        <v>85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-73.084976071931223</v>
      </c>
      <c r="F643" s="1">
        <f t="shared" si="109"/>
        <v>-75.087008881130288</v>
      </c>
      <c r="G643" s="1">
        <f t="shared" si="106"/>
        <v>2.4554233433743802E-33</v>
      </c>
      <c r="H643" s="1">
        <f t="shared" si="99"/>
        <v>2.410176827938437E-34</v>
      </c>
      <c r="I643">
        <f t="shared" si="100"/>
        <v>60</v>
      </c>
      <c r="J643">
        <f t="shared" si="101"/>
        <v>556</v>
      </c>
      <c r="K643" s="5">
        <f t="shared" si="102"/>
        <v>0</v>
      </c>
      <c r="L643">
        <f t="shared" si="103"/>
        <v>85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-73.206673006908744</v>
      </c>
      <c r="F644" s="1">
        <f t="shared" si="109"/>
        <v>-75.208705816107809</v>
      </c>
      <c r="G644" s="1">
        <f t="shared" si="106"/>
        <v>2.1740727519460626E-33</v>
      </c>
      <c r="H644" s="1">
        <f t="shared" si="99"/>
        <v>2.1340107330704877E-34</v>
      </c>
      <c r="I644">
        <f t="shared" si="100"/>
        <v>60</v>
      </c>
      <c r="J644">
        <f t="shared" si="101"/>
        <v>557</v>
      </c>
      <c r="K644" s="5">
        <f t="shared" si="102"/>
        <v>0</v>
      </c>
      <c r="L644">
        <f t="shared" si="103"/>
        <v>85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-73.328369941886265</v>
      </c>
      <c r="F645" s="1">
        <f t="shared" si="109"/>
        <v>-75.33040275108533</v>
      </c>
      <c r="G645" s="1">
        <f t="shared" si="106"/>
        <v>1.9249602491189071E-33</v>
      </c>
      <c r="H645" s="1">
        <f t="shared" si="99"/>
        <v>1.8894886699061585E-34</v>
      </c>
      <c r="I645">
        <f t="shared" si="100"/>
        <v>60</v>
      </c>
      <c r="J645">
        <f t="shared" si="101"/>
        <v>558</v>
      </c>
      <c r="K645" s="5">
        <f t="shared" si="102"/>
        <v>0</v>
      </c>
      <c r="L645">
        <f t="shared" si="103"/>
        <v>85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-73.450066876863787</v>
      </c>
      <c r="F646" s="1">
        <f t="shared" si="109"/>
        <v>-75.452099686062851</v>
      </c>
      <c r="G646" s="1">
        <f t="shared" si="106"/>
        <v>1.7043918872406964E-33</v>
      </c>
      <c r="H646" s="1">
        <f t="shared" si="99"/>
        <v>1.6729847598127421E-34</v>
      </c>
      <c r="I646">
        <f t="shared" si="100"/>
        <v>60</v>
      </c>
      <c r="J646">
        <f t="shared" si="101"/>
        <v>559</v>
      </c>
      <c r="K646" s="5">
        <f t="shared" si="102"/>
        <v>0</v>
      </c>
      <c r="L646">
        <f t="shared" si="103"/>
        <v>85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-73.571763811841308</v>
      </c>
      <c r="F647" s="1">
        <f t="shared" si="109"/>
        <v>-75.573796621040373</v>
      </c>
      <c r="G647" s="1">
        <f t="shared" si="106"/>
        <v>1.5090969834943645E-33</v>
      </c>
      <c r="H647" s="1">
        <f t="shared" si="99"/>
        <v>1.4812885894175298E-34</v>
      </c>
      <c r="I647">
        <f t="shared" si="100"/>
        <v>60</v>
      </c>
      <c r="J647">
        <f t="shared" si="101"/>
        <v>560</v>
      </c>
      <c r="K647" s="5">
        <f t="shared" si="102"/>
        <v>0</v>
      </c>
      <c r="L647">
        <f t="shared" si="103"/>
        <v>85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-73.693460746818829</v>
      </c>
      <c r="F648" s="1">
        <f t="shared" si="109"/>
        <v>-75.695493556017894</v>
      </c>
      <c r="G648" s="1">
        <f t="shared" si="106"/>
        <v>1.3361796208023E-33</v>
      </c>
      <c r="H648" s="1">
        <f t="shared" si="99"/>
        <v>1.3115576052134362E-34</v>
      </c>
      <c r="I648">
        <f t="shared" si="100"/>
        <v>60</v>
      </c>
      <c r="J648">
        <f t="shared" si="101"/>
        <v>561</v>
      </c>
      <c r="K648" s="5">
        <f t="shared" si="102"/>
        <v>0</v>
      </c>
      <c r="L648">
        <f t="shared" si="103"/>
        <v>85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-73.81515768179635</v>
      </c>
      <c r="F649" s="1">
        <f t="shared" si="109"/>
        <v>-75.817190490995415</v>
      </c>
      <c r="G649" s="1">
        <f t="shared" si="106"/>
        <v>1.1830757059187015E-33</v>
      </c>
      <c r="H649" s="1">
        <f t="shared" si="99"/>
        <v>1.161274962949395E-34</v>
      </c>
      <c r="I649">
        <f t="shared" si="100"/>
        <v>60</v>
      </c>
      <c r="J649">
        <f t="shared" si="101"/>
        <v>562</v>
      </c>
      <c r="K649" s="5">
        <f t="shared" si="102"/>
        <v>0</v>
      </c>
      <c r="L649">
        <f t="shared" si="103"/>
        <v>85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-73.936854616773871</v>
      </c>
      <c r="F650" s="1">
        <f t="shared" si="109"/>
        <v>-75.938887425972936</v>
      </c>
      <c r="G650" s="1">
        <f t="shared" si="106"/>
        <v>1.0475149479488488E-33</v>
      </c>
      <c r="H650" s="1">
        <f t="shared" si="99"/>
        <v>1.0282122067781086E-34</v>
      </c>
      <c r="I650">
        <f t="shared" si="100"/>
        <v>60</v>
      </c>
      <c r="J650">
        <f t="shared" si="101"/>
        <v>563</v>
      </c>
      <c r="K650" s="5">
        <f t="shared" si="102"/>
        <v>0</v>
      </c>
      <c r="L650">
        <f t="shared" si="103"/>
        <v>85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-74.058551551751393</v>
      </c>
      <c r="F651" s="1">
        <f t="shared" si="109"/>
        <v>-76.060584360950457</v>
      </c>
      <c r="G651" s="1">
        <f t="shared" si="106"/>
        <v>9.2748719349637515E-34</v>
      </c>
      <c r="H651" s="1">
        <f t="shared" si="99"/>
        <v>9.1039622475144905E-35</v>
      </c>
      <c r="I651">
        <f t="shared" si="100"/>
        <v>60</v>
      </c>
      <c r="J651">
        <f t="shared" si="101"/>
        <v>564</v>
      </c>
      <c r="K651" s="5">
        <f t="shared" si="102"/>
        <v>0</v>
      </c>
      <c r="L651">
        <f t="shared" si="103"/>
        <v>85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-74.180248486728914</v>
      </c>
      <c r="F652" s="1">
        <f t="shared" si="109"/>
        <v>-76.182281295927979</v>
      </c>
      <c r="G652" s="1">
        <f t="shared" si="106"/>
        <v>8.2121261924158101E-34</v>
      </c>
      <c r="H652" s="1">
        <f t="shared" si="99"/>
        <v>8.0607999066534434E-35</v>
      </c>
      <c r="I652">
        <f t="shared" si="100"/>
        <v>60</v>
      </c>
      <c r="J652">
        <f t="shared" si="101"/>
        <v>565</v>
      </c>
      <c r="K652" s="5">
        <f t="shared" si="102"/>
        <v>0</v>
      </c>
      <c r="L652">
        <f t="shared" si="103"/>
        <v>85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-74.301945421706435</v>
      </c>
      <c r="F653" s="1">
        <f t="shared" si="109"/>
        <v>-76.3039782309055</v>
      </c>
      <c r="G653" s="1">
        <f t="shared" si="106"/>
        <v>7.2711533995348215E-34</v>
      </c>
      <c r="H653" s="1">
        <f t="shared" si="99"/>
        <v>7.1371665840160594E-35</v>
      </c>
      <c r="I653">
        <f t="shared" si="100"/>
        <v>60</v>
      </c>
      <c r="J653">
        <f t="shared" si="101"/>
        <v>566</v>
      </c>
      <c r="K653" s="5">
        <f t="shared" si="102"/>
        <v>0</v>
      </c>
      <c r="L653">
        <f t="shared" si="103"/>
        <v>85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-74.423642356683956</v>
      </c>
      <c r="F654" s="1">
        <f t="shared" si="109"/>
        <v>-76.425675165883021</v>
      </c>
      <c r="G654" s="1">
        <f t="shared" si="106"/>
        <v>6.4380004058381141E-34</v>
      </c>
      <c r="H654" s="1">
        <f t="shared" si="99"/>
        <v>6.3193662462642108E-35</v>
      </c>
      <c r="I654">
        <f t="shared" si="100"/>
        <v>60</v>
      </c>
      <c r="J654">
        <f t="shared" si="101"/>
        <v>567</v>
      </c>
      <c r="K654" s="5">
        <f t="shared" si="102"/>
        <v>0</v>
      </c>
      <c r="L654">
        <f t="shared" si="103"/>
        <v>85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-74.545339291661477</v>
      </c>
      <c r="F655" s="1">
        <f t="shared" si="109"/>
        <v>-76.547372100860542</v>
      </c>
      <c r="G655" s="1">
        <f t="shared" si="106"/>
        <v>5.7003128593358222E-34</v>
      </c>
      <c r="H655" s="1">
        <f t="shared" si="99"/>
        <v>5.5952721972130951E-35</v>
      </c>
      <c r="I655">
        <f t="shared" si="100"/>
        <v>60</v>
      </c>
      <c r="J655">
        <f t="shared" si="101"/>
        <v>568</v>
      </c>
      <c r="K655" s="5">
        <f t="shared" si="102"/>
        <v>0</v>
      </c>
      <c r="L655">
        <f t="shared" si="103"/>
        <v>85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-74.667036226638999</v>
      </c>
      <c r="F656" s="1">
        <f t="shared" si="109"/>
        <v>-76.669069035838064</v>
      </c>
      <c r="G656" s="1">
        <f t="shared" si="106"/>
        <v>5.0471520108702521E-34</v>
      </c>
      <c r="H656" s="1">
        <f t="shared" si="99"/>
        <v>4.9541472579490881E-35</v>
      </c>
      <c r="I656">
        <f t="shared" si="100"/>
        <v>60</v>
      </c>
      <c r="J656">
        <f t="shared" si="101"/>
        <v>569</v>
      </c>
      <c r="K656" s="5">
        <f t="shared" si="102"/>
        <v>0</v>
      </c>
      <c r="L656">
        <f t="shared" si="103"/>
        <v>85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-74.78873316161652</v>
      </c>
      <c r="F657" s="1">
        <f t="shared" si="109"/>
        <v>-76.790765970815585</v>
      </c>
      <c r="G657" s="1">
        <f t="shared" si="106"/>
        <v>4.468832509624696E-34</v>
      </c>
      <c r="H657" s="1">
        <f t="shared" si="99"/>
        <v>4.386484551309082E-35</v>
      </c>
      <c r="I657">
        <f t="shared" si="100"/>
        <v>60</v>
      </c>
      <c r="J657">
        <f t="shared" si="101"/>
        <v>570</v>
      </c>
      <c r="K657" s="5">
        <f t="shared" si="102"/>
        <v>0</v>
      </c>
      <c r="L657">
        <f t="shared" si="103"/>
        <v>85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-74.910430096594041</v>
      </c>
      <c r="F658" s="1">
        <f t="shared" si="109"/>
        <v>-76.912462905793106</v>
      </c>
      <c r="G658" s="1">
        <f t="shared" si="106"/>
        <v>3.9567787845635272E-34</v>
      </c>
      <c r="H658" s="1">
        <f t="shared" si="99"/>
        <v>3.8838665298049105E-35</v>
      </c>
      <c r="I658">
        <f t="shared" si="100"/>
        <v>60</v>
      </c>
      <c r="J658">
        <f t="shared" si="101"/>
        <v>571</v>
      </c>
      <c r="K658" s="5">
        <f t="shared" si="102"/>
        <v>0</v>
      </c>
      <c r="L658">
        <f t="shared" si="103"/>
        <v>85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-75.032127031571562</v>
      </c>
      <c r="F659" s="1">
        <f t="shared" si="109"/>
        <v>-77.034159840770627</v>
      </c>
      <c r="G659" s="1">
        <f t="shared" si="106"/>
        <v>3.5033978821656178E-34</v>
      </c>
      <c r="H659" s="1">
        <f t="shared" si="99"/>
        <v>3.4388401565980927E-35</v>
      </c>
      <c r="I659">
        <f t="shared" si="100"/>
        <v>60</v>
      </c>
      <c r="J659">
        <f t="shared" si="101"/>
        <v>572</v>
      </c>
      <c r="K659" s="5">
        <f t="shared" si="102"/>
        <v>0</v>
      </c>
      <c r="L659">
        <f t="shared" si="103"/>
        <v>85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-75.153823966549083</v>
      </c>
      <c r="F660" s="1">
        <f t="shared" si="109"/>
        <v>-77.155856775748148</v>
      </c>
      <c r="G660" s="1">
        <f t="shared" si="106"/>
        <v>3.1019668748341364E-34</v>
      </c>
      <c r="H660" s="1">
        <f t="shared" si="99"/>
        <v>3.0448063886545572E-35</v>
      </c>
      <c r="I660">
        <f t="shared" si="100"/>
        <v>60</v>
      </c>
      <c r="J660">
        <f t="shared" si="101"/>
        <v>573</v>
      </c>
      <c r="K660" s="5">
        <f t="shared" si="102"/>
        <v>0</v>
      </c>
      <c r="L660">
        <f t="shared" si="103"/>
        <v>85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-75.275520901526605</v>
      </c>
      <c r="F661" s="1">
        <f t="shared" si="109"/>
        <v>-77.27755371072567</v>
      </c>
      <c r="G661" s="1">
        <f t="shared" si="106"/>
        <v>2.7465331704260544E-34</v>
      </c>
      <c r="H661" s="1">
        <f t="shared" si="99"/>
        <v>2.695922323287885E-35</v>
      </c>
      <c r="I661">
        <f t="shared" si="100"/>
        <v>60</v>
      </c>
      <c r="J661">
        <f t="shared" si="101"/>
        <v>574</v>
      </c>
      <c r="K661" s="5">
        <f t="shared" si="102"/>
        <v>0</v>
      </c>
      <c r="L661">
        <f t="shared" si="103"/>
        <v>85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-75.397217836504126</v>
      </c>
      <c r="F662" s="1">
        <f t="shared" si="109"/>
        <v>-77.399250645703191</v>
      </c>
      <c r="G662" s="1">
        <f t="shared" si="106"/>
        <v>2.4318262446480656E-34</v>
      </c>
      <c r="H662" s="1">
        <f t="shared" si="99"/>
        <v>2.3870145570778117E-35</v>
      </c>
      <c r="I662">
        <f t="shared" si="100"/>
        <v>60</v>
      </c>
      <c r="J662">
        <f t="shared" si="101"/>
        <v>575</v>
      </c>
      <c r="K662" s="5">
        <f t="shared" si="102"/>
        <v>0</v>
      </c>
      <c r="L662">
        <f t="shared" si="103"/>
        <v>85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-75.518914771481647</v>
      </c>
      <c r="F663" s="1">
        <f t="shared" si="109"/>
        <v>-77.520947580680712</v>
      </c>
      <c r="G663" s="1">
        <f t="shared" si="106"/>
        <v>2.1531794874488052E-34</v>
      </c>
      <c r="H663" s="1">
        <f t="shared" ref="H663:H726" si="110">G663/$G$21</f>
        <v>2.1135024724126429E-35</v>
      </c>
      <c r="I663">
        <f t="shared" ref="I663:I726" si="111">IF($F$11&lt;=D663, IF(D663&lt;=$A$15,D663-$F$11,$C$11),0)</f>
        <v>60</v>
      </c>
      <c r="J663">
        <f t="shared" ref="J663:J726" si="112">IF(D663&lt;=$A$15,0,D663-$A$15)</f>
        <v>576</v>
      </c>
      <c r="K663" s="5">
        <f t="shared" ref="K663:K726" si="113">IF(D663&lt;$F$11,H663,0)</f>
        <v>0</v>
      </c>
      <c r="L663">
        <f t="shared" ref="L663:L726" si="114">IF(D663&lt;$A$15,$D$11,$D$11*(1-$H$11))</f>
        <v>85</v>
      </c>
      <c r="M663">
        <f t="shared" ref="M663:M726" si="115">IF(D663&lt;$A$15,0,1)</f>
        <v>1</v>
      </c>
      <c r="N663">
        <f t="shared" ref="N663:N726" si="116">IF(SUM(I663:J663)&lt;=($G$11/60*$F$11/($E$11/60)),1,0)</f>
        <v>0</v>
      </c>
    </row>
    <row r="664" spans="4:14" x14ac:dyDescent="0.2">
      <c r="D664">
        <f t="shared" si="107"/>
        <v>641</v>
      </c>
      <c r="E664" s="1">
        <f t="shared" si="108"/>
        <v>-75.640611706459168</v>
      </c>
      <c r="F664" s="1">
        <f t="shared" si="109"/>
        <v>-77.642644515658233</v>
      </c>
      <c r="G664" s="1">
        <f t="shared" ref="G664:G727" si="117">EXP(F664)</f>
        <v>1.90646100451196E-34</v>
      </c>
      <c r="H664" s="1">
        <f t="shared" si="110"/>
        <v>1.8713303141153582E-35</v>
      </c>
      <c r="I664">
        <f t="shared" si="111"/>
        <v>60</v>
      </c>
      <c r="J664">
        <f t="shared" si="112"/>
        <v>577</v>
      </c>
      <c r="K664" s="5">
        <f t="shared" si="113"/>
        <v>0</v>
      </c>
      <c r="L664">
        <f t="shared" si="114"/>
        <v>85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IF($H$11=1,IF(D665&lt;=$A$15, E664+LN($D$11)-LN(60/$E$11)-LN(MIN(D665,$F$11)), E664-LN(60/$E$11)-LN(MIN(D665,$F$11))), IF(D665&lt;=$A$15, E664+LN($D$11)-LN(60/$E$11)-LN(MIN(D665,$F$11)), E664+LN($D$11)+LN(1-$H$11)-LN(60/$E$11)-LN(MIN(D665,$F$11))))</f>
        <v>-75.76230864143669</v>
      </c>
      <c r="F665" s="1">
        <f t="shared" ref="F665:F728" si="120">E665-$E$21</f>
        <v>-77.764341450635754</v>
      </c>
      <c r="G665" s="1">
        <f t="shared" si="117"/>
        <v>1.6880123477449622E-34</v>
      </c>
      <c r="H665" s="1">
        <f t="shared" si="110"/>
        <v>1.6569070489563042E-35</v>
      </c>
      <c r="I665">
        <f t="shared" si="111"/>
        <v>60</v>
      </c>
      <c r="J665">
        <f t="shared" si="112"/>
        <v>578</v>
      </c>
      <c r="K665" s="5">
        <f t="shared" si="113"/>
        <v>0</v>
      </c>
      <c r="L665">
        <f t="shared" si="114"/>
        <v>85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-75.884005576414211</v>
      </c>
      <c r="F666" s="1">
        <f t="shared" si="120"/>
        <v>-77.886038385613276</v>
      </c>
      <c r="G666" s="1">
        <f t="shared" si="117"/>
        <v>1.4945942662325164E-34</v>
      </c>
      <c r="H666" s="1">
        <f t="shared" si="110"/>
        <v>1.4670531162633922E-35</v>
      </c>
      <c r="I666">
        <f t="shared" si="111"/>
        <v>60</v>
      </c>
      <c r="J666">
        <f t="shared" si="112"/>
        <v>579</v>
      </c>
      <c r="K666" s="5">
        <f t="shared" si="113"/>
        <v>0</v>
      </c>
      <c r="L666">
        <f t="shared" si="114"/>
        <v>85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-76.005702511391732</v>
      </c>
      <c r="F667" s="1">
        <f t="shared" si="120"/>
        <v>-78.007735320590797</v>
      </c>
      <c r="G667" s="1">
        <f t="shared" si="117"/>
        <v>1.3233386732267054E-34</v>
      </c>
      <c r="H667" s="1">
        <f t="shared" si="110"/>
        <v>1.2989532800248768E-35</v>
      </c>
      <c r="I667">
        <f t="shared" si="111"/>
        <v>60</v>
      </c>
      <c r="J667">
        <f t="shared" si="112"/>
        <v>580</v>
      </c>
      <c r="K667" s="5">
        <f t="shared" si="113"/>
        <v>0</v>
      </c>
      <c r="L667">
        <f t="shared" si="114"/>
        <v>85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-76.127399446369253</v>
      </c>
      <c r="F668" s="1">
        <f t="shared" si="120"/>
        <v>-78.129432255568318</v>
      </c>
      <c r="G668" s="1">
        <f t="shared" si="117"/>
        <v>1.171706116919477E-34</v>
      </c>
      <c r="H668" s="1">
        <f t="shared" si="110"/>
        <v>1.150114883355358E-35</v>
      </c>
      <c r="I668">
        <f t="shared" si="111"/>
        <v>60</v>
      </c>
      <c r="J668">
        <f t="shared" si="112"/>
        <v>581</v>
      </c>
      <c r="K668" s="5">
        <f t="shared" si="113"/>
        <v>0</v>
      </c>
      <c r="L668">
        <f t="shared" si="114"/>
        <v>85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-76.249096381346774</v>
      </c>
      <c r="F669" s="1">
        <f t="shared" si="120"/>
        <v>-78.251129190545839</v>
      </c>
      <c r="G669" s="1">
        <f t="shared" si="117"/>
        <v>1.0374481243557855E-34</v>
      </c>
      <c r="H669" s="1">
        <f t="shared" si="110"/>
        <v>1.0183308863042217E-35</v>
      </c>
      <c r="I669">
        <f t="shared" si="111"/>
        <v>60</v>
      </c>
      <c r="J669">
        <f t="shared" si="112"/>
        <v>582</v>
      </c>
      <c r="K669" s="5">
        <f t="shared" si="113"/>
        <v>0</v>
      </c>
      <c r="L669">
        <f t="shared" si="114"/>
        <v>85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-76.370793316324296</v>
      </c>
      <c r="F670" s="1">
        <f t="shared" si="120"/>
        <v>-78.37282612552336</v>
      </c>
      <c r="G670" s="1">
        <f t="shared" si="117"/>
        <v>9.1857386010668377E-35</v>
      </c>
      <c r="H670" s="1">
        <f t="shared" si="110"/>
        <v>9.0164713891519505E-36</v>
      </c>
      <c r="I670">
        <f t="shared" si="111"/>
        <v>60</v>
      </c>
      <c r="J670">
        <f t="shared" si="112"/>
        <v>583</v>
      </c>
      <c r="K670" s="5">
        <f t="shared" si="113"/>
        <v>0</v>
      </c>
      <c r="L670">
        <f t="shared" si="114"/>
        <v>85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-76.492490251301817</v>
      </c>
      <c r="F671" s="1">
        <f t="shared" si="120"/>
        <v>-78.494523060500882</v>
      </c>
      <c r="G671" s="1">
        <f t="shared" si="117"/>
        <v>8.1332060530279179E-35</v>
      </c>
      <c r="H671" s="1">
        <f t="shared" si="110"/>
        <v>7.9833340424782791E-36</v>
      </c>
      <c r="I671">
        <f t="shared" si="111"/>
        <v>60</v>
      </c>
      <c r="J671">
        <f t="shared" si="112"/>
        <v>584</v>
      </c>
      <c r="K671" s="5">
        <f t="shared" si="113"/>
        <v>0</v>
      </c>
      <c r="L671">
        <f t="shared" si="114"/>
        <v>85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-76.614187186279338</v>
      </c>
      <c r="F672" s="1">
        <f t="shared" si="120"/>
        <v>-78.616219995478403</v>
      </c>
      <c r="G672" s="1">
        <f t="shared" si="117"/>
        <v>7.2012761927851249E-35</v>
      </c>
      <c r="H672" s="1">
        <f t="shared" si="110"/>
        <v>7.0685770167776315E-36</v>
      </c>
      <c r="I672">
        <f t="shared" si="111"/>
        <v>60</v>
      </c>
      <c r="J672">
        <f t="shared" si="112"/>
        <v>585</v>
      </c>
      <c r="K672" s="5">
        <f t="shared" si="113"/>
        <v>0</v>
      </c>
      <c r="L672">
        <f t="shared" si="114"/>
        <v>85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-76.735884121256859</v>
      </c>
      <c r="F673" s="1">
        <f t="shared" si="120"/>
        <v>-78.737916930455924</v>
      </c>
      <c r="G673" s="1">
        <f t="shared" si="117"/>
        <v>6.3761299623618209E-35</v>
      </c>
      <c r="H673" s="1">
        <f t="shared" si="110"/>
        <v>6.2586359002718533E-36</v>
      </c>
      <c r="I673">
        <f t="shared" si="111"/>
        <v>60</v>
      </c>
      <c r="J673">
        <f t="shared" si="112"/>
        <v>586</v>
      </c>
      <c r="K673" s="5">
        <f t="shared" si="113"/>
        <v>0</v>
      </c>
      <c r="L673">
        <f t="shared" si="114"/>
        <v>85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-76.85758105623438</v>
      </c>
      <c r="F674" s="1">
        <f t="shared" si="120"/>
        <v>-78.859613865433445</v>
      </c>
      <c r="G674" s="1">
        <f t="shared" si="117"/>
        <v>5.6455317375078543E-35</v>
      </c>
      <c r="H674" s="1">
        <f t="shared" si="110"/>
        <v>5.5415005366990289E-36</v>
      </c>
      <c r="I674">
        <f t="shared" si="111"/>
        <v>60</v>
      </c>
      <c r="J674">
        <f t="shared" si="112"/>
        <v>587</v>
      </c>
      <c r="K674" s="5">
        <f t="shared" si="113"/>
        <v>0</v>
      </c>
      <c r="L674">
        <f t="shared" si="114"/>
        <v>85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-76.979277991211902</v>
      </c>
      <c r="F675" s="1">
        <f t="shared" si="120"/>
        <v>-78.981310800410967</v>
      </c>
      <c r="G675" s="1">
        <f t="shared" si="117"/>
        <v>4.998647892585072E-35</v>
      </c>
      <c r="H675" s="1">
        <f t="shared" si="110"/>
        <v>4.9065369335355914E-36</v>
      </c>
      <c r="I675">
        <f t="shared" si="111"/>
        <v>60</v>
      </c>
      <c r="J675">
        <f t="shared" si="112"/>
        <v>588</v>
      </c>
      <c r="K675" s="5">
        <f t="shared" si="113"/>
        <v>0</v>
      </c>
      <c r="L675">
        <f t="shared" si="114"/>
        <v>85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-77.100974926189423</v>
      </c>
      <c r="F676" s="1">
        <f t="shared" si="120"/>
        <v>-79.103007735388488</v>
      </c>
      <c r="G676" s="1">
        <f t="shared" si="117"/>
        <v>4.4258861548930262E-35</v>
      </c>
      <c r="H676" s="1">
        <f t="shared" si="110"/>
        <v>4.3443295765679653E-36</v>
      </c>
      <c r="I676">
        <f t="shared" si="111"/>
        <v>60</v>
      </c>
      <c r="J676">
        <f t="shared" si="112"/>
        <v>589</v>
      </c>
      <c r="K676" s="5">
        <f t="shared" si="113"/>
        <v>0</v>
      </c>
      <c r="L676">
        <f t="shared" si="114"/>
        <v>85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-77.222671861166944</v>
      </c>
      <c r="F677" s="1">
        <f t="shared" si="120"/>
        <v>-79.224704670366009</v>
      </c>
      <c r="G677" s="1">
        <f t="shared" si="117"/>
        <v>3.9187533663115281E-35</v>
      </c>
      <c r="H677" s="1">
        <f t="shared" si="110"/>
        <v>3.8465418125862136E-36</v>
      </c>
      <c r="I677">
        <f t="shared" si="111"/>
        <v>60</v>
      </c>
      <c r="J677">
        <f t="shared" si="112"/>
        <v>590</v>
      </c>
      <c r="K677" s="5">
        <f t="shared" si="113"/>
        <v>0</v>
      </c>
      <c r="L677">
        <f t="shared" si="114"/>
        <v>85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-77.344368796144465</v>
      </c>
      <c r="F678" s="1">
        <f t="shared" si="120"/>
        <v>-79.34640160534353</v>
      </c>
      <c r="G678" s="1">
        <f t="shared" si="117"/>
        <v>3.4697295430883274E-35</v>
      </c>
      <c r="H678" s="1">
        <f t="shared" si="110"/>
        <v>3.405792229894039E-36</v>
      </c>
      <c r="I678">
        <f t="shared" si="111"/>
        <v>60</v>
      </c>
      <c r="J678">
        <f t="shared" si="112"/>
        <v>591</v>
      </c>
      <c r="K678" s="5">
        <f t="shared" si="113"/>
        <v>0</v>
      </c>
      <c r="L678">
        <f t="shared" si="114"/>
        <v>85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-77.466065731121986</v>
      </c>
      <c r="F679" s="1">
        <f t="shared" si="120"/>
        <v>-79.468098540321051</v>
      </c>
      <c r="G679" s="1">
        <f t="shared" si="117"/>
        <v>3.0721563662761188E-35</v>
      </c>
      <c r="H679" s="1">
        <f t="shared" si="110"/>
        <v>3.0155452035520092E-36</v>
      </c>
      <c r="I679">
        <f t="shared" si="111"/>
        <v>60</v>
      </c>
      <c r="J679">
        <f t="shared" si="112"/>
        <v>592</v>
      </c>
      <c r="K679" s="5">
        <f t="shared" si="113"/>
        <v>0</v>
      </c>
      <c r="L679">
        <f t="shared" si="114"/>
        <v>85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-77.587762666099508</v>
      </c>
      <c r="F680" s="1">
        <f t="shared" si="120"/>
        <v>-79.589795475298573</v>
      </c>
      <c r="G680" s="1">
        <f t="shared" si="117"/>
        <v>2.7201384493069763E-35</v>
      </c>
      <c r="H680" s="1">
        <f t="shared" si="110"/>
        <v>2.670013982311671E-36</v>
      </c>
      <c r="I680">
        <f t="shared" si="111"/>
        <v>60</v>
      </c>
      <c r="J680">
        <f t="shared" si="112"/>
        <v>593</v>
      </c>
      <c r="K680" s="5">
        <f t="shared" si="113"/>
        <v>0</v>
      </c>
      <c r="L680">
        <f t="shared" si="114"/>
        <v>85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-77.709459601077029</v>
      </c>
      <c r="F681" s="1">
        <f t="shared" si="120"/>
        <v>-79.711492410276094</v>
      </c>
      <c r="G681" s="1">
        <f t="shared" si="117"/>
        <v>2.4084559186572149E-35</v>
      </c>
      <c r="H681" s="1">
        <f t="shared" si="110"/>
        <v>2.3640748801717883E-36</v>
      </c>
      <c r="I681">
        <f t="shared" si="111"/>
        <v>60</v>
      </c>
      <c r="J681">
        <f t="shared" si="112"/>
        <v>594</v>
      </c>
      <c r="K681" s="5">
        <f t="shared" si="113"/>
        <v>0</v>
      </c>
      <c r="L681">
        <f t="shared" si="114"/>
        <v>85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-77.83115653605455</v>
      </c>
      <c r="F682" s="1">
        <f t="shared" si="120"/>
        <v>-79.833189345253615</v>
      </c>
      <c r="G682" s="1">
        <f t="shared" si="117"/>
        <v>2.1324870113110727E-35</v>
      </c>
      <c r="H682" s="1">
        <f t="shared" si="110"/>
        <v>2.0931913001521014E-36</v>
      </c>
      <c r="I682">
        <f t="shared" si="111"/>
        <v>60</v>
      </c>
      <c r="J682">
        <f t="shared" si="112"/>
        <v>595</v>
      </c>
      <c r="K682" s="5">
        <f t="shared" si="113"/>
        <v>0</v>
      </c>
      <c r="L682">
        <f t="shared" si="114"/>
        <v>85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-77.952853471032071</v>
      </c>
      <c r="F683" s="1">
        <f t="shared" si="120"/>
        <v>-79.954886280231136</v>
      </c>
      <c r="G683" s="1">
        <f t="shared" si="117"/>
        <v>1.8881395412650097E-35</v>
      </c>
      <c r="H683" s="1">
        <f t="shared" si="110"/>
        <v>1.8533464636763373E-36</v>
      </c>
      <c r="I683">
        <f t="shared" si="111"/>
        <v>60</v>
      </c>
      <c r="J683">
        <f t="shared" si="112"/>
        <v>596</v>
      </c>
      <c r="K683" s="5">
        <f t="shared" si="113"/>
        <v>0</v>
      </c>
      <c r="L683">
        <f t="shared" si="114"/>
        <v>85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-78.074550406009593</v>
      </c>
      <c r="F684" s="1">
        <f t="shared" si="120"/>
        <v>-80.076583215208657</v>
      </c>
      <c r="G684" s="1">
        <f t="shared" si="117"/>
        <v>1.6717902188283916E-35</v>
      </c>
      <c r="H684" s="1">
        <f t="shared" si="110"/>
        <v>1.6409838480467546E-36</v>
      </c>
      <c r="I684">
        <f t="shared" si="111"/>
        <v>60</v>
      </c>
      <c r="J684">
        <f t="shared" si="112"/>
        <v>597</v>
      </c>
      <c r="K684" s="5">
        <f t="shared" si="113"/>
        <v>0</v>
      </c>
      <c r="L684">
        <f t="shared" si="114"/>
        <v>85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-78.196247340987114</v>
      </c>
      <c r="F685" s="1">
        <f t="shared" si="120"/>
        <v>-80.198280150186179</v>
      </c>
      <c r="G685" s="1">
        <f t="shared" si="117"/>
        <v>1.4802309229209695E-35</v>
      </c>
      <c r="H685" s="1">
        <f t="shared" si="110"/>
        <v>1.4529544487913951E-36</v>
      </c>
      <c r="I685">
        <f t="shared" si="111"/>
        <v>60</v>
      </c>
      <c r="J685">
        <f t="shared" si="112"/>
        <v>598</v>
      </c>
      <c r="K685" s="5">
        <f t="shared" si="113"/>
        <v>0</v>
      </c>
      <c r="L685">
        <f t="shared" si="114"/>
        <v>85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-78.317944275964635</v>
      </c>
      <c r="F686" s="1">
        <f t="shared" si="120"/>
        <v>-80.3199770851637</v>
      </c>
      <c r="G686" s="1">
        <f t="shared" si="117"/>
        <v>1.3106211296696067E-35</v>
      </c>
      <c r="H686" s="1">
        <f t="shared" si="110"/>
        <v>1.2864700848673794E-36</v>
      </c>
      <c r="I686">
        <f t="shared" si="111"/>
        <v>60</v>
      </c>
      <c r="J686">
        <f t="shared" si="112"/>
        <v>599</v>
      </c>
      <c r="K686" s="5">
        <f t="shared" si="113"/>
        <v>0</v>
      </c>
      <c r="L686">
        <f t="shared" si="114"/>
        <v>85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-78.439641210942156</v>
      </c>
      <c r="F687" s="1">
        <f t="shared" si="120"/>
        <v>-80.441674020141221</v>
      </c>
      <c r="G687" s="1">
        <f t="shared" si="117"/>
        <v>1.1604457918949625E-35</v>
      </c>
      <c r="H687" s="1">
        <f t="shared" si="110"/>
        <v>1.1390620543096571E-36</v>
      </c>
      <c r="I687">
        <f t="shared" si="111"/>
        <v>60</v>
      </c>
      <c r="J687">
        <f t="shared" si="112"/>
        <v>600</v>
      </c>
      <c r="K687" s="5">
        <f t="shared" si="113"/>
        <v>0</v>
      </c>
      <c r="L687">
        <f t="shared" si="114"/>
        <v>85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-78.561338145919677</v>
      </c>
      <c r="F688" s="1">
        <f t="shared" si="120"/>
        <v>-80.563370955118742</v>
      </c>
      <c r="G688" s="1">
        <f t="shared" si="117"/>
        <v>1.0274780449069966E-35</v>
      </c>
      <c r="H688" s="1">
        <f t="shared" si="110"/>
        <v>1.0085445272533407E-36</v>
      </c>
      <c r="I688">
        <f t="shared" si="111"/>
        <v>60</v>
      </c>
      <c r="J688">
        <f t="shared" si="112"/>
        <v>601</v>
      </c>
      <c r="K688" s="5">
        <f t="shared" si="113"/>
        <v>0</v>
      </c>
      <c r="L688">
        <f t="shared" si="114"/>
        <v>85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-78.683035080897199</v>
      </c>
      <c r="F689" s="1">
        <f t="shared" si="120"/>
        <v>-80.685067890096263</v>
      </c>
      <c r="G689" s="1">
        <f t="shared" si="117"/>
        <v>9.0974618559473523E-36</v>
      </c>
      <c r="H689" s="1">
        <f t="shared" si="110"/>
        <v>8.9298213350556084E-37</v>
      </c>
      <c r="I689">
        <f t="shared" si="111"/>
        <v>60</v>
      </c>
      <c r="J689">
        <f t="shared" si="112"/>
        <v>602</v>
      </c>
      <c r="K689" s="5">
        <f t="shared" si="113"/>
        <v>0</v>
      </c>
      <c r="L689">
        <f t="shared" si="114"/>
        <v>85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-78.80473201587472</v>
      </c>
      <c r="F690" s="1">
        <f t="shared" si="120"/>
        <v>-80.806764825073785</v>
      </c>
      <c r="G690" s="1">
        <f t="shared" si="117"/>
        <v>8.0550443516200405E-36</v>
      </c>
      <c r="H690" s="1">
        <f t="shared" si="110"/>
        <v>7.9066126404138095E-37</v>
      </c>
      <c r="I690">
        <f t="shared" si="111"/>
        <v>60</v>
      </c>
      <c r="J690">
        <f t="shared" si="112"/>
        <v>603</v>
      </c>
      <c r="K690" s="5">
        <f t="shared" si="113"/>
        <v>0</v>
      </c>
      <c r="L690">
        <f t="shared" si="114"/>
        <v>85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-78.926428950852241</v>
      </c>
      <c r="F691" s="1">
        <f t="shared" si="120"/>
        <v>-80.928461760051306</v>
      </c>
      <c r="G691" s="1">
        <f t="shared" si="117"/>
        <v>7.1320705196635675E-36</v>
      </c>
      <c r="H691" s="1">
        <f t="shared" si="110"/>
        <v>7.000646608699717E-37</v>
      </c>
      <c r="I691">
        <f t="shared" si="111"/>
        <v>60</v>
      </c>
      <c r="J691">
        <f t="shared" si="112"/>
        <v>604</v>
      </c>
      <c r="K691" s="5">
        <f t="shared" si="113"/>
        <v>0</v>
      </c>
      <c r="L691">
        <f t="shared" si="114"/>
        <v>85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-79.048125885829762</v>
      </c>
      <c r="F692" s="1">
        <f t="shared" si="120"/>
        <v>-81.050158695028827</v>
      </c>
      <c r="G692" s="1">
        <f t="shared" si="117"/>
        <v>6.3148541059521082E-36</v>
      </c>
      <c r="H692" s="1">
        <f t="shared" si="110"/>
        <v>6.1984891847861991E-37</v>
      </c>
      <c r="I692">
        <f t="shared" si="111"/>
        <v>60</v>
      </c>
      <c r="J692">
        <f t="shared" si="112"/>
        <v>605</v>
      </c>
      <c r="K692" s="5">
        <f t="shared" si="113"/>
        <v>0</v>
      </c>
      <c r="L692">
        <f t="shared" si="114"/>
        <v>85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-79.169822820807283</v>
      </c>
      <c r="F693" s="1">
        <f t="shared" si="120"/>
        <v>-81.171855630006348</v>
      </c>
      <c r="G693" s="1">
        <f t="shared" si="117"/>
        <v>5.5912770729784207E-36</v>
      </c>
      <c r="H693" s="1">
        <f t="shared" si="110"/>
        <v>5.4882456323627721E-37</v>
      </c>
      <c r="I693">
        <f t="shared" si="111"/>
        <v>60</v>
      </c>
      <c r="J693">
        <f t="shared" si="112"/>
        <v>606</v>
      </c>
      <c r="K693" s="5">
        <f t="shared" si="113"/>
        <v>0</v>
      </c>
      <c r="L693">
        <f t="shared" si="114"/>
        <v>85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-79.291519755784805</v>
      </c>
      <c r="F694" s="1">
        <f t="shared" si="120"/>
        <v>-81.29355256498387</v>
      </c>
      <c r="G694" s="1">
        <f t="shared" si="117"/>
        <v>4.9506099083663032E-36</v>
      </c>
      <c r="H694" s="1">
        <f t="shared" si="110"/>
        <v>4.8593841536545311E-37</v>
      </c>
      <c r="I694">
        <f t="shared" si="111"/>
        <v>60</v>
      </c>
      <c r="J694">
        <f t="shared" si="112"/>
        <v>607</v>
      </c>
      <c r="K694" s="5">
        <f t="shared" si="113"/>
        <v>0</v>
      </c>
      <c r="L694">
        <f t="shared" si="114"/>
        <v>85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-79.413216690762326</v>
      </c>
      <c r="F695" s="1">
        <f t="shared" si="120"/>
        <v>-81.415249499961391</v>
      </c>
      <c r="G695" s="1">
        <f t="shared" si="117"/>
        <v>4.3833525230326583E-36</v>
      </c>
      <c r="H695" s="1">
        <f t="shared" si="110"/>
        <v>4.3025797193816103E-37</v>
      </c>
      <c r="I695">
        <f t="shared" si="111"/>
        <v>60</v>
      </c>
      <c r="J695">
        <f t="shared" si="112"/>
        <v>608</v>
      </c>
      <c r="K695" s="5">
        <f t="shared" si="113"/>
        <v>0</v>
      </c>
      <c r="L695">
        <f t="shared" si="114"/>
        <v>85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-79.534913625739847</v>
      </c>
      <c r="F696" s="1">
        <f t="shared" si="120"/>
        <v>-81.536946434938912</v>
      </c>
      <c r="G696" s="1">
        <f t="shared" si="117"/>
        <v>3.8810933797684936E-36</v>
      </c>
      <c r="H696" s="1">
        <f t="shared" si="110"/>
        <v>3.8095757932024617E-37</v>
      </c>
      <c r="I696">
        <f t="shared" si="111"/>
        <v>60</v>
      </c>
      <c r="J696">
        <f t="shared" si="112"/>
        <v>609</v>
      </c>
      <c r="K696" s="5">
        <f t="shared" si="113"/>
        <v>0</v>
      </c>
      <c r="L696">
        <f t="shared" si="114"/>
        <v>85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-79.656610560717368</v>
      </c>
      <c r="F697" s="1">
        <f t="shared" si="120"/>
        <v>-81.658643369916433</v>
      </c>
      <c r="G697" s="1">
        <f t="shared" si="117"/>
        <v>3.4363847633366822E-36</v>
      </c>
      <c r="H697" s="1">
        <f t="shared" si="110"/>
        <v>3.3730619002313416E-37</v>
      </c>
      <c r="I697">
        <f t="shared" si="111"/>
        <v>60</v>
      </c>
      <c r="J697">
        <f t="shared" si="112"/>
        <v>610</v>
      </c>
      <c r="K697" s="5">
        <f t="shared" si="113"/>
        <v>0</v>
      </c>
      <c r="L697">
        <f t="shared" si="114"/>
        <v>85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-79.778307495694889</v>
      </c>
      <c r="F698" s="1">
        <f t="shared" si="120"/>
        <v>-81.780340304893954</v>
      </c>
      <c r="G698" s="1">
        <f t="shared" si="117"/>
        <v>3.0426323425376829E-36</v>
      </c>
      <c r="H698" s="1">
        <f t="shared" si="110"/>
        <v>2.9865652241631624E-37</v>
      </c>
      <c r="I698">
        <f t="shared" si="111"/>
        <v>60</v>
      </c>
      <c r="J698">
        <f t="shared" si="112"/>
        <v>611</v>
      </c>
      <c r="K698" s="5">
        <f t="shared" si="113"/>
        <v>0</v>
      </c>
      <c r="L698">
        <f t="shared" si="114"/>
        <v>85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-79.900004430672411</v>
      </c>
      <c r="F699" s="1">
        <f t="shared" si="120"/>
        <v>-81.902037239871476</v>
      </c>
      <c r="G699" s="1">
        <f t="shared" si="117"/>
        <v>2.6939973866219032E-36</v>
      </c>
      <c r="H699" s="1">
        <f t="shared" si="110"/>
        <v>2.6443546255611301E-37</v>
      </c>
      <c r="I699">
        <f t="shared" si="111"/>
        <v>60</v>
      </c>
      <c r="J699">
        <f t="shared" si="112"/>
        <v>612</v>
      </c>
      <c r="K699" s="5">
        <f t="shared" si="113"/>
        <v>0</v>
      </c>
      <c r="L699">
        <f t="shared" si="114"/>
        <v>85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-80.021701365649932</v>
      </c>
      <c r="F700" s="1">
        <f t="shared" si="120"/>
        <v>-82.023734174848997</v>
      </c>
      <c r="G700" s="1">
        <f t="shared" si="117"/>
        <v>2.3853101860714734E-36</v>
      </c>
      <c r="H700" s="1">
        <f t="shared" si="110"/>
        <v>2.3413556580489141E-37</v>
      </c>
      <c r="I700">
        <f t="shared" si="111"/>
        <v>60</v>
      </c>
      <c r="J700">
        <f t="shared" si="112"/>
        <v>613</v>
      </c>
      <c r="K700" s="5">
        <f t="shared" si="113"/>
        <v>0</v>
      </c>
      <c r="L700">
        <f t="shared" si="114"/>
        <v>85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-80.143398300627453</v>
      </c>
      <c r="F701" s="1">
        <f t="shared" si="120"/>
        <v>-82.145431109826518</v>
      </c>
      <c r="G701" s="1">
        <f t="shared" si="117"/>
        <v>2.1119933939174473E-36</v>
      </c>
      <c r="H701" s="1">
        <f t="shared" si="110"/>
        <v>2.073075322230806E-37</v>
      </c>
      <c r="I701">
        <f t="shared" si="111"/>
        <v>60</v>
      </c>
      <c r="J701">
        <f t="shared" si="112"/>
        <v>614</v>
      </c>
      <c r="K701" s="5">
        <f t="shared" si="113"/>
        <v>0</v>
      </c>
      <c r="L701">
        <f t="shared" si="114"/>
        <v>85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-80.265095235604974</v>
      </c>
      <c r="F702" s="1">
        <f t="shared" si="120"/>
        <v>-82.267128044804039</v>
      </c>
      <c r="G702" s="1">
        <f t="shared" si="117"/>
        <v>1.8699941508644038E-36</v>
      </c>
      <c r="H702" s="1">
        <f t="shared" si="110"/>
        <v>1.8355354415585235E-37</v>
      </c>
      <c r="I702">
        <f t="shared" si="111"/>
        <v>60</v>
      </c>
      <c r="J702">
        <f t="shared" si="112"/>
        <v>615</v>
      </c>
      <c r="K702" s="5">
        <f t="shared" si="113"/>
        <v>0</v>
      </c>
      <c r="L702">
        <f t="shared" si="114"/>
        <v>85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-80.386792170582495</v>
      </c>
      <c r="F703" s="1">
        <f t="shared" si="120"/>
        <v>-82.38882497978156</v>
      </c>
      <c r="G703" s="1">
        <f t="shared" si="117"/>
        <v>1.6557239877445218E-36</v>
      </c>
      <c r="H703" s="1">
        <f t="shared" si="110"/>
        <v>1.6252136722132738E-37</v>
      </c>
      <c r="I703">
        <f t="shared" si="111"/>
        <v>60</v>
      </c>
      <c r="J703">
        <f t="shared" si="112"/>
        <v>616</v>
      </c>
      <c r="K703" s="5">
        <f t="shared" si="113"/>
        <v>0</v>
      </c>
      <c r="L703">
        <f t="shared" si="114"/>
        <v>85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-80.508489105560017</v>
      </c>
      <c r="F704" s="1">
        <f t="shared" si="120"/>
        <v>-82.510521914759082</v>
      </c>
      <c r="G704" s="1">
        <f t="shared" si="117"/>
        <v>1.4660056141487933E-36</v>
      </c>
      <c r="H704" s="1">
        <f t="shared" si="110"/>
        <v>1.4389912722721675E-37</v>
      </c>
      <c r="I704">
        <f t="shared" si="111"/>
        <v>60</v>
      </c>
      <c r="J704">
        <f t="shared" si="112"/>
        <v>617</v>
      </c>
      <c r="K704" s="5">
        <f t="shared" si="113"/>
        <v>0</v>
      </c>
      <c r="L704">
        <f t="shared" si="114"/>
        <v>85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-80.630186040537538</v>
      </c>
      <c r="F705" s="1">
        <f t="shared" si="120"/>
        <v>-82.632218849736603</v>
      </c>
      <c r="G705" s="1">
        <f t="shared" si="117"/>
        <v>1.2980258041942422E-36</v>
      </c>
      <c r="H705" s="1">
        <f t="shared" si="110"/>
        <v>1.2741068556576465E-37</v>
      </c>
      <c r="I705">
        <f t="shared" si="111"/>
        <v>60</v>
      </c>
      <c r="J705">
        <f t="shared" si="112"/>
        <v>618</v>
      </c>
      <c r="K705" s="5">
        <f t="shared" si="113"/>
        <v>0</v>
      </c>
      <c r="L705">
        <f t="shared" si="114"/>
        <v>85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-80.751882975515059</v>
      </c>
      <c r="F706" s="1">
        <f t="shared" si="120"/>
        <v>-82.753915784714124</v>
      </c>
      <c r="G706" s="1">
        <f t="shared" si="117"/>
        <v>1.1492936807969836E-36</v>
      </c>
      <c r="H706" s="1">
        <f t="shared" si="110"/>
        <v>1.1281154451135394E-37</v>
      </c>
      <c r="I706">
        <f t="shared" si="111"/>
        <v>60</v>
      </c>
      <c r="J706">
        <f t="shared" si="112"/>
        <v>619</v>
      </c>
      <c r="K706" s="5">
        <f t="shared" si="113"/>
        <v>0</v>
      </c>
      <c r="L706">
        <f t="shared" si="114"/>
        <v>85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-80.87357991049258</v>
      </c>
      <c r="F707" s="1">
        <f t="shared" si="120"/>
        <v>-82.875612719691645</v>
      </c>
      <c r="G707" s="1">
        <f t="shared" si="117"/>
        <v>1.0176037798723277E-36</v>
      </c>
      <c r="H707" s="1">
        <f t="shared" si="110"/>
        <v>9.9885221702761155E-38</v>
      </c>
      <c r="I707">
        <f t="shared" si="111"/>
        <v>60</v>
      </c>
      <c r="J707">
        <f t="shared" si="112"/>
        <v>620</v>
      </c>
      <c r="K707" s="5">
        <f t="shared" si="113"/>
        <v>0</v>
      </c>
      <c r="L707">
        <f t="shared" si="114"/>
        <v>85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-80.995276845470102</v>
      </c>
      <c r="F708" s="1">
        <f t="shared" si="120"/>
        <v>-82.997309654669166</v>
      </c>
      <c r="G708" s="1">
        <f t="shared" si="117"/>
        <v>9.0100334676195563E-37</v>
      </c>
      <c r="H708" s="1">
        <f t="shared" si="110"/>
        <v>8.8440040049319662E-38</v>
      </c>
      <c r="I708">
        <f t="shared" si="111"/>
        <v>60</v>
      </c>
      <c r="J708">
        <f t="shared" si="112"/>
        <v>621</v>
      </c>
      <c r="K708" s="5">
        <f t="shared" si="113"/>
        <v>0</v>
      </c>
      <c r="L708">
        <f t="shared" si="114"/>
        <v>85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-81.116973780447623</v>
      </c>
      <c r="F709" s="1">
        <f t="shared" si="120"/>
        <v>-83.119006589646688</v>
      </c>
      <c r="G709" s="1">
        <f t="shared" si="117"/>
        <v>7.9776337994548042E-37</v>
      </c>
      <c r="H709" s="1">
        <f t="shared" si="110"/>
        <v>7.8306285460335006E-38</v>
      </c>
      <c r="I709">
        <f t="shared" si="111"/>
        <v>60</v>
      </c>
      <c r="J709">
        <f t="shared" si="112"/>
        <v>622</v>
      </c>
      <c r="K709" s="5">
        <f t="shared" si="113"/>
        <v>0</v>
      </c>
      <c r="L709">
        <f t="shared" si="114"/>
        <v>85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-81.238670715425144</v>
      </c>
      <c r="F710" s="1">
        <f t="shared" si="120"/>
        <v>-83.240703524624209</v>
      </c>
      <c r="G710" s="1">
        <f t="shared" si="117"/>
        <v>7.0635299266005978E-37</v>
      </c>
      <c r="H710" s="1">
        <f t="shared" si="110"/>
        <v>6.9333690251338181E-38</v>
      </c>
      <c r="I710">
        <f t="shared" si="111"/>
        <v>60</v>
      </c>
      <c r="J710">
        <f t="shared" si="112"/>
        <v>623</v>
      </c>
      <c r="K710" s="5">
        <f t="shared" si="113"/>
        <v>0</v>
      </c>
      <c r="L710">
        <f t="shared" si="114"/>
        <v>85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-81.360367650402665</v>
      </c>
      <c r="F711" s="1">
        <f t="shared" si="120"/>
        <v>-83.36240045960173</v>
      </c>
      <c r="G711" s="1">
        <f t="shared" si="117"/>
        <v>6.254167122510937E-37</v>
      </c>
      <c r="H711" s="1">
        <f t="shared" si="110"/>
        <v>6.1389204910038931E-38</v>
      </c>
      <c r="I711">
        <f t="shared" si="111"/>
        <v>60</v>
      </c>
      <c r="J711">
        <f t="shared" si="112"/>
        <v>624</v>
      </c>
      <c r="K711" s="5">
        <f t="shared" si="113"/>
        <v>0</v>
      </c>
      <c r="L711">
        <f t="shared" si="114"/>
        <v>85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-81.482064585380186</v>
      </c>
      <c r="F712" s="1">
        <f t="shared" si="120"/>
        <v>-83.484097394579251</v>
      </c>
      <c r="G712" s="1">
        <f t="shared" si="117"/>
        <v>5.5375438063898842E-37</v>
      </c>
      <c r="H712" s="1">
        <f t="shared" si="110"/>
        <v>5.4355025180763562E-38</v>
      </c>
      <c r="I712">
        <f t="shared" si="111"/>
        <v>60</v>
      </c>
      <c r="J712">
        <f t="shared" si="112"/>
        <v>625</v>
      </c>
      <c r="K712" s="5">
        <f t="shared" si="113"/>
        <v>0</v>
      </c>
      <c r="L712">
        <f t="shared" si="114"/>
        <v>85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-81.603761520357708</v>
      </c>
      <c r="F713" s="1">
        <f t="shared" si="120"/>
        <v>-83.605794329556772</v>
      </c>
      <c r="G713" s="1">
        <f t="shared" si="117"/>
        <v>4.9030335785743698E-37</v>
      </c>
      <c r="H713" s="1">
        <f t="shared" si="110"/>
        <v>4.8126845212134334E-38</v>
      </c>
      <c r="I713">
        <f t="shared" si="111"/>
        <v>60</v>
      </c>
      <c r="J713">
        <f t="shared" si="112"/>
        <v>626</v>
      </c>
      <c r="K713" s="5">
        <f t="shared" si="113"/>
        <v>0</v>
      </c>
      <c r="L713">
        <f t="shared" si="114"/>
        <v>85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-81.725458455335229</v>
      </c>
      <c r="F714" s="1">
        <f t="shared" si="120"/>
        <v>-83.727491264534294</v>
      </c>
      <c r="G714" s="1">
        <f t="shared" si="117"/>
        <v>4.34122764769605E-37</v>
      </c>
      <c r="H714" s="1">
        <f t="shared" si="110"/>
        <v>4.2612310864910541E-38</v>
      </c>
      <c r="I714">
        <f t="shared" si="111"/>
        <v>60</v>
      </c>
      <c r="J714">
        <f t="shared" si="112"/>
        <v>627</v>
      </c>
      <c r="K714" s="5">
        <f t="shared" si="113"/>
        <v>0</v>
      </c>
      <c r="L714">
        <f t="shared" si="114"/>
        <v>85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-81.84715539031275</v>
      </c>
      <c r="F715" s="1">
        <f t="shared" si="120"/>
        <v>-83.849188199511815</v>
      </c>
      <c r="G715" s="1">
        <f t="shared" si="117"/>
        <v>3.8437953130642057E-37</v>
      </c>
      <c r="H715" s="1">
        <f t="shared" si="110"/>
        <v>3.7729650244972827E-38</v>
      </c>
      <c r="I715">
        <f t="shared" si="111"/>
        <v>60</v>
      </c>
      <c r="J715">
        <f t="shared" si="112"/>
        <v>628</v>
      </c>
      <c r="K715" s="5">
        <f t="shared" si="113"/>
        <v>0</v>
      </c>
      <c r="L715">
        <f t="shared" si="114"/>
        <v>85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-81.968852325290271</v>
      </c>
      <c r="F716" s="1">
        <f t="shared" si="120"/>
        <v>-83.970885134489336</v>
      </c>
      <c r="G716" s="1">
        <f t="shared" si="117"/>
        <v>3.4033604334422608E-37</v>
      </c>
      <c r="H716" s="1">
        <f t="shared" si="110"/>
        <v>3.3406461154402977E-38</v>
      </c>
      <c r="I716">
        <f t="shared" si="111"/>
        <v>60</v>
      </c>
      <c r="J716">
        <f t="shared" si="112"/>
        <v>629</v>
      </c>
      <c r="K716" s="5">
        <f t="shared" si="113"/>
        <v>0</v>
      </c>
      <c r="L716">
        <f t="shared" si="114"/>
        <v>85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-82.090549260267792</v>
      </c>
      <c r="F717" s="1">
        <f t="shared" si="120"/>
        <v>-84.092582069466857</v>
      </c>
      <c r="G717" s="1">
        <f t="shared" si="117"/>
        <v>3.013392050443664E-37</v>
      </c>
      <c r="H717" s="1">
        <f t="shared" si="110"/>
        <v>2.9578637480460924E-38</v>
      </c>
      <c r="I717">
        <f t="shared" si="111"/>
        <v>60</v>
      </c>
      <c r="J717">
        <f t="shared" si="112"/>
        <v>630</v>
      </c>
      <c r="K717" s="5">
        <f t="shared" si="113"/>
        <v>0</v>
      </c>
      <c r="L717">
        <f t="shared" si="114"/>
        <v>85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-82.212246195245314</v>
      </c>
      <c r="F718" s="1">
        <f t="shared" si="120"/>
        <v>-84.214279004444379</v>
      </c>
      <c r="G718" s="1">
        <f t="shared" si="117"/>
        <v>2.6681075446636569E-37</v>
      </c>
      <c r="H718" s="1">
        <f t="shared" si="110"/>
        <v>2.6189418602491407E-38</v>
      </c>
      <c r="I718">
        <f t="shared" si="111"/>
        <v>60</v>
      </c>
      <c r="J718">
        <f t="shared" si="112"/>
        <v>631</v>
      </c>
      <c r="K718" s="5">
        <f t="shared" si="113"/>
        <v>0</v>
      </c>
      <c r="L718">
        <f t="shared" si="114"/>
        <v>85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-82.333943130222835</v>
      </c>
      <c r="F719" s="1">
        <f t="shared" si="120"/>
        <v>-84.3359759394219</v>
      </c>
      <c r="G719" s="1">
        <f t="shared" si="117"/>
        <v>2.362386888504276E-37</v>
      </c>
      <c r="H719" s="1">
        <f t="shared" si="110"/>
        <v>2.3188547720955898E-38</v>
      </c>
      <c r="I719">
        <f t="shared" si="111"/>
        <v>60</v>
      </c>
      <c r="J719">
        <f t="shared" si="112"/>
        <v>632</v>
      </c>
      <c r="K719" s="5">
        <f t="shared" si="113"/>
        <v>0</v>
      </c>
      <c r="L719">
        <f t="shared" si="114"/>
        <v>85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-82.455640065200356</v>
      </c>
      <c r="F720" s="1">
        <f t="shared" si="120"/>
        <v>-84.457672874399421</v>
      </c>
      <c r="G720" s="1">
        <f t="shared" si="117"/>
        <v>2.0916967241964914E-37</v>
      </c>
      <c r="H720" s="1">
        <f t="shared" si="110"/>
        <v>2.0531526627929673E-38</v>
      </c>
      <c r="I720">
        <f t="shared" si="111"/>
        <v>60</v>
      </c>
      <c r="J720">
        <f t="shared" si="112"/>
        <v>633</v>
      </c>
      <c r="K720" s="5">
        <f t="shared" si="113"/>
        <v>0</v>
      </c>
      <c r="L720">
        <f t="shared" si="114"/>
        <v>85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-82.577337000177877</v>
      </c>
      <c r="F721" s="1">
        <f t="shared" si="120"/>
        <v>-84.579369809376942</v>
      </c>
      <c r="G721" s="1">
        <f t="shared" si="117"/>
        <v>1.8520231412156409E-37</v>
      </c>
      <c r="H721" s="1">
        <f t="shared" si="110"/>
        <v>1.8178955868479372E-38</v>
      </c>
      <c r="I721">
        <f t="shared" si="111"/>
        <v>60</v>
      </c>
      <c r="J721">
        <f t="shared" si="112"/>
        <v>634</v>
      </c>
      <c r="K721" s="5">
        <f t="shared" si="113"/>
        <v>0</v>
      </c>
      <c r="L721">
        <f t="shared" si="114"/>
        <v>85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-82.699033935155398</v>
      </c>
      <c r="F722" s="1">
        <f t="shared" si="120"/>
        <v>-84.701066744354463</v>
      </c>
      <c r="G722" s="1">
        <f t="shared" si="117"/>
        <v>1.6398121562846797E-37</v>
      </c>
      <c r="H722" s="1">
        <f t="shared" si="110"/>
        <v>1.6095950508549421E-38</v>
      </c>
      <c r="I722">
        <f t="shared" si="111"/>
        <v>60</v>
      </c>
      <c r="J722">
        <f t="shared" si="112"/>
        <v>635</v>
      </c>
      <c r="K722" s="5">
        <f t="shared" si="113"/>
        <v>0</v>
      </c>
      <c r="L722">
        <f t="shared" si="114"/>
        <v>85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-82.82073087013292</v>
      </c>
      <c r="F723" s="1">
        <f t="shared" si="120"/>
        <v>-84.822763679331985</v>
      </c>
      <c r="G723" s="1">
        <f t="shared" si="117"/>
        <v>1.4519170133770582E-37</v>
      </c>
      <c r="H723" s="1">
        <f t="shared" si="110"/>
        <v>1.4251622846111447E-38</v>
      </c>
      <c r="I723">
        <f t="shared" si="111"/>
        <v>60</v>
      </c>
      <c r="J723">
        <f t="shared" si="112"/>
        <v>636</v>
      </c>
      <c r="K723" s="5">
        <f t="shared" si="113"/>
        <v>0</v>
      </c>
      <c r="L723">
        <f t="shared" si="114"/>
        <v>85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-82.942427805110441</v>
      </c>
      <c r="F724" s="1">
        <f t="shared" si="120"/>
        <v>-84.944460614309506</v>
      </c>
      <c r="G724" s="1">
        <f t="shared" si="117"/>
        <v>1.285551522260935E-37</v>
      </c>
      <c r="H724" s="1">
        <f t="shared" si="110"/>
        <v>1.2618624394994492E-38</v>
      </c>
      <c r="I724">
        <f t="shared" si="111"/>
        <v>60</v>
      </c>
      <c r="J724">
        <f t="shared" si="112"/>
        <v>637</v>
      </c>
      <c r="K724" s="5">
        <f t="shared" si="113"/>
        <v>0</v>
      </c>
      <c r="L724">
        <f t="shared" si="114"/>
        <v>85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-83.064124740087962</v>
      </c>
      <c r="F725" s="1">
        <f t="shared" si="120"/>
        <v>-85.066157549287027</v>
      </c>
      <c r="G725" s="1">
        <f t="shared" si="117"/>
        <v>1.1382487436685346E-37</v>
      </c>
      <c r="H725" s="1">
        <f t="shared" si="110"/>
        <v>1.117274034973469E-38</v>
      </c>
      <c r="I725">
        <f t="shared" si="111"/>
        <v>60</v>
      </c>
      <c r="J725">
        <f t="shared" si="112"/>
        <v>638</v>
      </c>
      <c r="K725" s="5">
        <f t="shared" si="113"/>
        <v>0</v>
      </c>
      <c r="L725">
        <f t="shared" si="114"/>
        <v>85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-83.185821675065483</v>
      </c>
      <c r="F726" s="1">
        <f t="shared" si="120"/>
        <v>-85.187854484264548</v>
      </c>
      <c r="G726" s="1">
        <f t="shared" si="117"/>
        <v>1.0078244084565136E-37</v>
      </c>
      <c r="H726" s="1">
        <f t="shared" si="110"/>
        <v>9.8925305179942436E-39</v>
      </c>
      <c r="I726">
        <f t="shared" si="111"/>
        <v>60</v>
      </c>
      <c r="J726">
        <f t="shared" si="112"/>
        <v>639</v>
      </c>
      <c r="K726" s="5">
        <f t="shared" si="113"/>
        <v>0</v>
      </c>
      <c r="L726">
        <f t="shared" si="114"/>
        <v>85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-83.307518610043005</v>
      </c>
      <c r="F727" s="1">
        <f t="shared" si="120"/>
        <v>-85.309551419242069</v>
      </c>
      <c r="G727" s="1">
        <f t="shared" si="117"/>
        <v>8.9234452832087011E-38</v>
      </c>
      <c r="H727" s="1">
        <f t="shared" ref="H727:H790" si="121">G727/$G$21</f>
        <v>8.7590113961407233E-39</v>
      </c>
      <c r="I727">
        <f t="shared" ref="I727:I790" si="122">IF($F$11&lt;=D727, IF(D727&lt;=$A$15,D727-$F$11,$C$11),0)</f>
        <v>60</v>
      </c>
      <c r="J727">
        <f t="shared" ref="J727:J790" si="123">IF(D727&lt;=$A$15,0,D727-$A$15)</f>
        <v>640</v>
      </c>
      <c r="K727" s="5">
        <f t="shared" ref="K727:K790" si="124">IF(D727&lt;$F$11,H727,0)</f>
        <v>0</v>
      </c>
      <c r="L727">
        <f t="shared" ref="L727:L790" si="125">IF(D727&lt;$A$15,$D$11,$D$11*(1-$H$11))</f>
        <v>85</v>
      </c>
      <c r="M727">
        <f t="shared" ref="M727:M790" si="126">IF(D727&lt;$A$15,0,1)</f>
        <v>1</v>
      </c>
      <c r="N727">
        <f t="shared" ref="N727:N790" si="127">IF(SUM(I727:J727)&lt;=($G$11/60*$F$11/($E$11/60)),1,0)</f>
        <v>0</v>
      </c>
    </row>
    <row r="728" spans="4:14" x14ac:dyDescent="0.2">
      <c r="D728">
        <f t="shared" si="118"/>
        <v>705</v>
      </c>
      <c r="E728" s="1">
        <f t="shared" si="119"/>
        <v>-83.429215545020526</v>
      </c>
      <c r="F728" s="1">
        <f t="shared" si="120"/>
        <v>-85.431248354219591</v>
      </c>
      <c r="G728" s="1">
        <f t="shared" ref="G728:G791" si="128">EXP(F728)</f>
        <v>7.9009671778410269E-38</v>
      </c>
      <c r="H728" s="1">
        <f t="shared" si="121"/>
        <v>7.7553746736662552E-39</v>
      </c>
      <c r="I728">
        <f t="shared" si="122"/>
        <v>60</v>
      </c>
      <c r="J728">
        <f t="shared" si="123"/>
        <v>641</v>
      </c>
      <c r="K728" s="5">
        <f t="shared" si="124"/>
        <v>0</v>
      </c>
      <c r="L728">
        <f t="shared" si="125"/>
        <v>85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IF($H$11=1,IF(D729&lt;=$A$15, E728+LN($D$11)-LN(60/$E$11)-LN(MIN(D729,$F$11)), E728-LN(60/$E$11)-LN(MIN(D729,$F$11))), IF(D729&lt;=$A$15, E728+LN($D$11)-LN(60/$E$11)-LN(MIN(D729,$F$11)), E728+LN($D$11)+LN(1-$H$11)-LN(60/$E$11)-LN(MIN(D729,$F$11))))</f>
        <v>-83.550912479998047</v>
      </c>
      <c r="F729" s="1">
        <f t="shared" ref="F729:F792" si="131">E729-$E$21</f>
        <v>-85.552945289197112</v>
      </c>
      <c r="G729" s="1">
        <f t="shared" si="128"/>
        <v>6.9956480220467324E-38</v>
      </c>
      <c r="H729" s="1">
        <f t="shared" si="121"/>
        <v>6.8667379923086537E-39</v>
      </c>
      <c r="I729">
        <f t="shared" si="122"/>
        <v>60</v>
      </c>
      <c r="J729">
        <f t="shared" si="123"/>
        <v>642</v>
      </c>
      <c r="K729" s="5">
        <f t="shared" si="124"/>
        <v>0</v>
      </c>
      <c r="L729">
        <f t="shared" si="125"/>
        <v>85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-83.672609414975568</v>
      </c>
      <c r="F730" s="1">
        <f t="shared" si="131"/>
        <v>-85.674642224174633</v>
      </c>
      <c r="G730" s="1">
        <f t="shared" si="128"/>
        <v>6.1940633528538692E-38</v>
      </c>
      <c r="H730" s="1">
        <f t="shared" si="121"/>
        <v>6.0799242640232789E-39</v>
      </c>
      <c r="I730">
        <f t="shared" si="122"/>
        <v>60</v>
      </c>
      <c r="J730">
        <f t="shared" si="123"/>
        <v>643</v>
      </c>
      <c r="K730" s="5">
        <f t="shared" si="124"/>
        <v>0</v>
      </c>
      <c r="L730">
        <f t="shared" si="125"/>
        <v>85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-83.794306349953089</v>
      </c>
      <c r="F731" s="1">
        <f t="shared" si="131"/>
        <v>-85.796339159152154</v>
      </c>
      <c r="G731" s="1">
        <f t="shared" si="128"/>
        <v>5.4843269270060216E-38</v>
      </c>
      <c r="H731" s="1">
        <f t="shared" si="121"/>
        <v>5.3832662754372699E-39</v>
      </c>
      <c r="I731">
        <f t="shared" si="122"/>
        <v>60</v>
      </c>
      <c r="J731">
        <f t="shared" si="123"/>
        <v>644</v>
      </c>
      <c r="K731" s="5">
        <f t="shared" si="124"/>
        <v>0</v>
      </c>
      <c r="L731">
        <f t="shared" si="125"/>
        <v>85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-83.916003284930611</v>
      </c>
      <c r="F732" s="1">
        <f t="shared" si="131"/>
        <v>-85.918036094129675</v>
      </c>
      <c r="G732" s="1">
        <f t="shared" si="128"/>
        <v>4.8559144666199077E-38</v>
      </c>
      <c r="H732" s="1">
        <f t="shared" si="121"/>
        <v>4.766433681376742E-39</v>
      </c>
      <c r="I732">
        <f t="shared" si="122"/>
        <v>60</v>
      </c>
      <c r="J732">
        <f t="shared" si="123"/>
        <v>645</v>
      </c>
      <c r="K732" s="5">
        <f t="shared" si="124"/>
        <v>0</v>
      </c>
      <c r="L732">
        <f t="shared" si="125"/>
        <v>85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-84.037700219908132</v>
      </c>
      <c r="F733" s="1">
        <f t="shared" si="131"/>
        <v>-86.039733029107197</v>
      </c>
      <c r="G733" s="1">
        <f t="shared" si="128"/>
        <v>4.2995076006530375E-38</v>
      </c>
      <c r="H733" s="1">
        <f t="shared" si="121"/>
        <v>4.2202798220523178E-39</v>
      </c>
      <c r="I733">
        <f t="shared" si="122"/>
        <v>60</v>
      </c>
      <c r="J733">
        <f t="shared" si="123"/>
        <v>646</v>
      </c>
      <c r="K733" s="5">
        <f t="shared" si="124"/>
        <v>0</v>
      </c>
      <c r="L733">
        <f t="shared" si="125"/>
        <v>85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-84.159397154885653</v>
      </c>
      <c r="F734" s="1">
        <f t="shared" si="131"/>
        <v>-86.161429964084718</v>
      </c>
      <c r="G734" s="1">
        <f t="shared" si="128"/>
        <v>3.8068556880782051E-38</v>
      </c>
      <c r="H734" s="1">
        <f t="shared" si="121"/>
        <v>3.7367060924421515E-39</v>
      </c>
      <c r="I734">
        <f t="shared" si="122"/>
        <v>60</v>
      </c>
      <c r="J734">
        <f t="shared" si="123"/>
        <v>647</v>
      </c>
      <c r="K734" s="5">
        <f t="shared" si="124"/>
        <v>0</v>
      </c>
      <c r="L734">
        <f t="shared" si="125"/>
        <v>85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-84.281094089863174</v>
      </c>
      <c r="F735" s="1">
        <f t="shared" si="131"/>
        <v>-86.283126899062239</v>
      </c>
      <c r="G735" s="1">
        <f t="shared" si="128"/>
        <v>3.3706534738192394E-38</v>
      </c>
      <c r="H735" s="1">
        <f t="shared" si="121"/>
        <v>3.30854185268315E-39</v>
      </c>
      <c r="I735">
        <f t="shared" si="122"/>
        <v>60</v>
      </c>
      <c r="J735">
        <f t="shared" si="123"/>
        <v>648</v>
      </c>
      <c r="K735" s="5">
        <f t="shared" si="124"/>
        <v>0</v>
      </c>
      <c r="L735">
        <f t="shared" si="125"/>
        <v>85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-84.402791024840695</v>
      </c>
      <c r="F736" s="1">
        <f t="shared" si="131"/>
        <v>-86.40482383403976</v>
      </c>
      <c r="G736" s="1">
        <f t="shared" si="128"/>
        <v>2.984432763277447E-38</v>
      </c>
      <c r="H736" s="1">
        <f t="shared" si="121"/>
        <v>2.9294380987298682E-39</v>
      </c>
      <c r="I736">
        <f t="shared" si="122"/>
        <v>60</v>
      </c>
      <c r="J736">
        <f t="shared" si="123"/>
        <v>649</v>
      </c>
      <c r="K736" s="5">
        <f t="shared" si="124"/>
        <v>0</v>
      </c>
      <c r="L736">
        <f t="shared" si="125"/>
        <v>85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-84.524487959818217</v>
      </c>
      <c r="F737" s="1">
        <f t="shared" si="131"/>
        <v>-86.526520769017282</v>
      </c>
      <c r="G737" s="1">
        <f t="shared" si="128"/>
        <v>2.6424665091519027E-38</v>
      </c>
      <c r="H737" s="1">
        <f t="shared" si="121"/>
        <v>2.5937733165837341E-39</v>
      </c>
      <c r="I737">
        <f t="shared" si="122"/>
        <v>60</v>
      </c>
      <c r="J737">
        <f t="shared" si="123"/>
        <v>650</v>
      </c>
      <c r="K737" s="5">
        <f t="shared" si="124"/>
        <v>0</v>
      </c>
      <c r="L737">
        <f t="shared" si="125"/>
        <v>85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-84.646184894795738</v>
      </c>
      <c r="F738" s="1">
        <f t="shared" si="131"/>
        <v>-86.648217703994803</v>
      </c>
      <c r="G738" s="1">
        <f t="shared" si="128"/>
        <v>2.3396838883115769E-38</v>
      </c>
      <c r="H738" s="1">
        <f t="shared" si="121"/>
        <v>2.2965701240585111E-39</v>
      </c>
      <c r="I738">
        <f t="shared" si="122"/>
        <v>60</v>
      </c>
      <c r="J738">
        <f t="shared" si="123"/>
        <v>651</v>
      </c>
      <c r="K738" s="5">
        <f t="shared" si="124"/>
        <v>0</v>
      </c>
      <c r="L738">
        <f t="shared" si="125"/>
        <v>85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-84.767881829773259</v>
      </c>
      <c r="F739" s="1">
        <f t="shared" si="131"/>
        <v>-86.769914638972324</v>
      </c>
      <c r="G739" s="1">
        <f t="shared" si="128"/>
        <v>2.0715951094425392E-38</v>
      </c>
      <c r="H739" s="1">
        <f t="shared" si="121"/>
        <v>2.0334214640101374E-39</v>
      </c>
      <c r="I739">
        <f t="shared" si="122"/>
        <v>60</v>
      </c>
      <c r="J739">
        <f t="shared" si="123"/>
        <v>652</v>
      </c>
      <c r="K739" s="5">
        <f t="shared" si="124"/>
        <v>0</v>
      </c>
      <c r="L739">
        <f t="shared" si="125"/>
        <v>85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-84.88957876475078</v>
      </c>
      <c r="F740" s="1">
        <f t="shared" si="131"/>
        <v>-86.891611573949845</v>
      </c>
      <c r="G740" s="1">
        <f t="shared" si="128"/>
        <v>1.834224836485579E-38</v>
      </c>
      <c r="H740" s="1">
        <f t="shared" si="121"/>
        <v>1.8004252545923066E-39</v>
      </c>
      <c r="I740">
        <f t="shared" si="122"/>
        <v>60</v>
      </c>
      <c r="J740">
        <f t="shared" si="123"/>
        <v>653</v>
      </c>
      <c r="K740" s="5">
        <f t="shared" si="124"/>
        <v>0</v>
      </c>
      <c r="L740">
        <f t="shared" si="125"/>
        <v>85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-85.011275699728301</v>
      </c>
      <c r="F741" s="1">
        <f t="shared" si="131"/>
        <v>-87.013308508927366</v>
      </c>
      <c r="G741" s="1">
        <f t="shared" si="128"/>
        <v>1.6240532406382708E-38</v>
      </c>
      <c r="H741" s="1">
        <f t="shared" si="121"/>
        <v>1.5941265275036025E-39</v>
      </c>
      <c r="I741">
        <f t="shared" si="122"/>
        <v>60</v>
      </c>
      <c r="J741">
        <f t="shared" si="123"/>
        <v>654</v>
      </c>
      <c r="K741" s="5">
        <f t="shared" si="124"/>
        <v>0</v>
      </c>
      <c r="L741">
        <f t="shared" si="125"/>
        <v>85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-85.132972634705823</v>
      </c>
      <c r="F742" s="1">
        <f t="shared" si="131"/>
        <v>-87.135005443904888</v>
      </c>
      <c r="G742" s="1">
        <f t="shared" si="128"/>
        <v>1.4379638068151334E-38</v>
      </c>
      <c r="H742" s="1">
        <f t="shared" si="121"/>
        <v>1.4114661962271459E-39</v>
      </c>
      <c r="I742">
        <f t="shared" si="122"/>
        <v>60</v>
      </c>
      <c r="J742">
        <f t="shared" si="123"/>
        <v>655</v>
      </c>
      <c r="K742" s="5">
        <f t="shared" si="124"/>
        <v>0</v>
      </c>
      <c r="L742">
        <f t="shared" si="125"/>
        <v>85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-85.254669569683344</v>
      </c>
      <c r="F743" s="1">
        <f t="shared" si="131"/>
        <v>-87.256702378882409</v>
      </c>
      <c r="G743" s="1">
        <f t="shared" si="128"/>
        <v>1.2731971206175642E-38</v>
      </c>
      <c r="H743" s="1">
        <f t="shared" si="121"/>
        <v>1.2497356945761169E-39</v>
      </c>
      <c r="I743">
        <f t="shared" si="122"/>
        <v>60</v>
      </c>
      <c r="J743">
        <f t="shared" si="123"/>
        <v>656</v>
      </c>
      <c r="K743" s="5">
        <f t="shared" si="124"/>
        <v>0</v>
      </c>
      <c r="L743">
        <f t="shared" si="125"/>
        <v>85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-85.376366504660865</v>
      </c>
      <c r="F744" s="1">
        <f t="shared" si="131"/>
        <v>-87.37839931385993</v>
      </c>
      <c r="G744" s="1">
        <f t="shared" si="128"/>
        <v>1.1273099505468001E-38</v>
      </c>
      <c r="H744" s="1">
        <f t="shared" si="121"/>
        <v>1.1065368129059353E-39</v>
      </c>
      <c r="I744">
        <f t="shared" si="122"/>
        <v>60</v>
      </c>
      <c r="J744">
        <f t="shared" si="123"/>
        <v>657</v>
      </c>
      <c r="K744" s="5">
        <f t="shared" si="124"/>
        <v>0</v>
      </c>
      <c r="L744">
        <f t="shared" si="125"/>
        <v>85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-85.498063439638386</v>
      </c>
      <c r="F745" s="1">
        <f t="shared" si="131"/>
        <v>-87.500096248837451</v>
      </c>
      <c r="G745" s="1">
        <f t="shared" si="128"/>
        <v>9.9813901871331119E-39</v>
      </c>
      <c r="H745" s="1">
        <f t="shared" si="121"/>
        <v>9.7974613642712884E-40</v>
      </c>
      <c r="I745">
        <f t="shared" si="122"/>
        <v>60</v>
      </c>
      <c r="J745">
        <f t="shared" si="123"/>
        <v>658</v>
      </c>
      <c r="K745" s="5">
        <f t="shared" si="124"/>
        <v>0</v>
      </c>
      <c r="L745">
        <f t="shared" si="125"/>
        <v>85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-85.619760374615907</v>
      </c>
      <c r="F746" s="1">
        <f t="shared" si="131"/>
        <v>-87.621793183814972</v>
      </c>
      <c r="G746" s="1">
        <f t="shared" si="128"/>
        <v>8.8376892281907635E-39</v>
      </c>
      <c r="H746" s="1">
        <f t="shared" si="121"/>
        <v>8.6748355829485246E-40</v>
      </c>
      <c r="I746">
        <f t="shared" si="122"/>
        <v>60</v>
      </c>
      <c r="J746">
        <f t="shared" si="123"/>
        <v>659</v>
      </c>
      <c r="K746" s="5">
        <f t="shared" si="124"/>
        <v>0</v>
      </c>
      <c r="L746">
        <f t="shared" si="125"/>
        <v>85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-85.741457309593429</v>
      </c>
      <c r="F747" s="1">
        <f t="shared" si="131"/>
        <v>-87.743490118792494</v>
      </c>
      <c r="G747" s="1">
        <f t="shared" si="128"/>
        <v>7.8250373374605601E-39</v>
      </c>
      <c r="H747" s="1">
        <f t="shared" si="121"/>
        <v>7.6808440057356612E-40</v>
      </c>
      <c r="I747">
        <f t="shared" si="122"/>
        <v>60</v>
      </c>
      <c r="J747">
        <f t="shared" si="123"/>
        <v>660</v>
      </c>
      <c r="K747" s="5">
        <f t="shared" si="124"/>
        <v>0</v>
      </c>
      <c r="L747">
        <f t="shared" si="125"/>
        <v>85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-85.86315424457095</v>
      </c>
      <c r="F748" s="1">
        <f t="shared" si="131"/>
        <v>-87.865187053770015</v>
      </c>
      <c r="G748" s="1">
        <f t="shared" si="128"/>
        <v>6.9284184758765286E-39</v>
      </c>
      <c r="H748" s="1">
        <f t="shared" si="121"/>
        <v>6.8007472967451075E-40</v>
      </c>
      <c r="I748">
        <f t="shared" si="122"/>
        <v>60</v>
      </c>
      <c r="J748">
        <f t="shared" si="123"/>
        <v>661</v>
      </c>
      <c r="K748" s="5">
        <f t="shared" si="124"/>
        <v>0</v>
      </c>
      <c r="L748">
        <f t="shared" si="125"/>
        <v>85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-85.984851179548471</v>
      </c>
      <c r="F749" s="1">
        <f t="shared" si="131"/>
        <v>-87.986883988747536</v>
      </c>
      <c r="G749" s="1">
        <f t="shared" si="128"/>
        <v>6.1345371921823333E-39</v>
      </c>
      <c r="H749" s="1">
        <f t="shared" si="121"/>
        <v>6.0214950023263882E-40</v>
      </c>
      <c r="I749">
        <f t="shared" si="122"/>
        <v>60</v>
      </c>
      <c r="J749">
        <f t="shared" si="123"/>
        <v>662</v>
      </c>
      <c r="K749" s="5">
        <f t="shared" si="124"/>
        <v>0</v>
      </c>
      <c r="L749">
        <f t="shared" si="125"/>
        <v>85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-86.106548114525992</v>
      </c>
      <c r="F750" s="1">
        <f t="shared" si="131"/>
        <v>-88.108580923725057</v>
      </c>
      <c r="G750" s="1">
        <f t="shared" si="128"/>
        <v>5.4316214722447672E-39</v>
      </c>
      <c r="H750" s="1">
        <f t="shared" si="121"/>
        <v>5.3315320333098153E-40</v>
      </c>
      <c r="I750">
        <f t="shared" si="122"/>
        <v>60</v>
      </c>
      <c r="J750">
        <f t="shared" si="123"/>
        <v>663</v>
      </c>
      <c r="K750" s="5">
        <f t="shared" si="124"/>
        <v>0</v>
      </c>
      <c r="L750">
        <f t="shared" si="125"/>
        <v>85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-86.228245049503514</v>
      </c>
      <c r="F751" s="1">
        <f t="shared" si="131"/>
        <v>-88.230277858702578</v>
      </c>
      <c r="G751" s="1">
        <f t="shared" si="128"/>
        <v>4.8092481785500469E-39</v>
      </c>
      <c r="H751" s="1">
        <f t="shared" si="121"/>
        <v>4.7206273211597251E-40</v>
      </c>
      <c r="I751">
        <f t="shared" si="122"/>
        <v>60</v>
      </c>
      <c r="J751">
        <f t="shared" si="123"/>
        <v>664</v>
      </c>
      <c r="K751" s="5">
        <f t="shared" si="124"/>
        <v>0</v>
      </c>
      <c r="L751">
        <f t="shared" si="125"/>
        <v>85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-86.349941984481035</v>
      </c>
      <c r="F752" s="1">
        <f t="shared" si="131"/>
        <v>-88.3519747936801</v>
      </c>
      <c r="G752" s="1">
        <f t="shared" si="128"/>
        <v>4.2581884914245147E-39</v>
      </c>
      <c r="H752" s="1">
        <f t="shared" si="121"/>
        <v>4.1797221072768344E-40</v>
      </c>
      <c r="I752">
        <f t="shared" si="122"/>
        <v>60</v>
      </c>
      <c r="J752">
        <f t="shared" si="123"/>
        <v>665</v>
      </c>
      <c r="K752" s="5">
        <f t="shared" si="124"/>
        <v>0</v>
      </c>
      <c r="L752">
        <f t="shared" si="125"/>
        <v>85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-86.471638919458556</v>
      </c>
      <c r="F753" s="1">
        <f t="shared" si="131"/>
        <v>-88.473671728657621</v>
      </c>
      <c r="G753" s="1">
        <f t="shared" si="128"/>
        <v>3.7702710601154508E-39</v>
      </c>
      <c r="H753" s="1">
        <f t="shared" si="121"/>
        <v>3.7007956158180254E-40</v>
      </c>
      <c r="I753">
        <f t="shared" si="122"/>
        <v>60</v>
      </c>
      <c r="J753">
        <f t="shared" si="123"/>
        <v>666</v>
      </c>
      <c r="K753" s="5">
        <f t="shared" si="124"/>
        <v>0</v>
      </c>
      <c r="L753">
        <f t="shared" si="125"/>
        <v>85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-86.593335854436077</v>
      </c>
      <c r="F754" s="1">
        <f t="shared" si="131"/>
        <v>-88.595368663635142</v>
      </c>
      <c r="G754" s="1">
        <f t="shared" si="128"/>
        <v>3.3382608344772169E-39</v>
      </c>
      <c r="H754" s="1">
        <f t="shared" si="121"/>
        <v>3.276746118172205E-40</v>
      </c>
      <c r="I754">
        <f t="shared" si="122"/>
        <v>60</v>
      </c>
      <c r="J754">
        <f t="shared" si="123"/>
        <v>667</v>
      </c>
      <c r="K754" s="5">
        <f t="shared" si="124"/>
        <v>0</v>
      </c>
      <c r="L754">
        <f t="shared" si="125"/>
        <v>85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-86.715032789413598</v>
      </c>
      <c r="F755" s="1">
        <f t="shared" si="131"/>
        <v>-88.717065598612663</v>
      </c>
      <c r="G755" s="1">
        <f t="shared" si="128"/>
        <v>2.9557517805266986E-39</v>
      </c>
      <c r="H755" s="1">
        <f t="shared" si="121"/>
        <v>2.9012856254649694E-40</v>
      </c>
      <c r="I755">
        <f t="shared" si="122"/>
        <v>60</v>
      </c>
      <c r="J755">
        <f t="shared" si="123"/>
        <v>668</v>
      </c>
      <c r="K755" s="5">
        <f t="shared" si="124"/>
        <v>0</v>
      </c>
      <c r="L755">
        <f t="shared" si="125"/>
        <v>85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-86.83672972439112</v>
      </c>
      <c r="F756" s="1">
        <f t="shared" si="131"/>
        <v>-88.838762533590184</v>
      </c>
      <c r="G756" s="1">
        <f t="shared" si="128"/>
        <v>2.6170718890080105E-39</v>
      </c>
      <c r="H756" s="1">
        <f t="shared" si="121"/>
        <v>2.5688466475471043E-40</v>
      </c>
      <c r="I756">
        <f t="shared" si="122"/>
        <v>60</v>
      </c>
      <c r="J756">
        <f t="shared" si="123"/>
        <v>669</v>
      </c>
      <c r="K756" s="5">
        <f t="shared" si="124"/>
        <v>0</v>
      </c>
      <c r="L756">
        <f t="shared" si="125"/>
        <v>85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-86.958426659368641</v>
      </c>
      <c r="F757" s="1">
        <f t="shared" si="131"/>
        <v>-88.960459468567706</v>
      </c>
      <c r="G757" s="1">
        <f t="shared" si="128"/>
        <v>2.3171990683925058E-39</v>
      </c>
      <c r="H757" s="1">
        <f t="shared" si="121"/>
        <v>2.2744996358489952E-40</v>
      </c>
      <c r="I757">
        <f t="shared" si="122"/>
        <v>60</v>
      </c>
      <c r="J757">
        <f t="shared" si="123"/>
        <v>670</v>
      </c>
      <c r="K757" s="5">
        <f t="shared" si="124"/>
        <v>0</v>
      </c>
      <c r="L757">
        <f t="shared" si="125"/>
        <v>85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-87.080123594346162</v>
      </c>
      <c r="F758" s="1">
        <f t="shared" si="131"/>
        <v>-89.082156403545227</v>
      </c>
      <c r="G758" s="1">
        <f t="shared" si="128"/>
        <v>2.0516866751391951E-39</v>
      </c>
      <c r="H758" s="1">
        <f t="shared" si="121"/>
        <v>2.0138798859079621E-40</v>
      </c>
      <c r="I758">
        <f t="shared" si="122"/>
        <v>60</v>
      </c>
      <c r="J758">
        <f t="shared" si="123"/>
        <v>671</v>
      </c>
      <c r="K758" s="5">
        <f t="shared" si="124"/>
        <v>0</v>
      </c>
      <c r="L758">
        <f t="shared" si="125"/>
        <v>85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-87.201820529323683</v>
      </c>
      <c r="F759" s="1">
        <f t="shared" si="131"/>
        <v>-89.203853338522748</v>
      </c>
      <c r="G759" s="1">
        <f t="shared" si="128"/>
        <v>1.8165975769461596E-39</v>
      </c>
      <c r="H759" s="1">
        <f t="shared" si="121"/>
        <v>1.7831228156476719E-40</v>
      </c>
      <c r="I759">
        <f t="shared" si="122"/>
        <v>60</v>
      </c>
      <c r="J759">
        <f t="shared" si="123"/>
        <v>672</v>
      </c>
      <c r="K759" s="5">
        <f t="shared" si="124"/>
        <v>0</v>
      </c>
      <c r="L759">
        <f t="shared" si="125"/>
        <v>85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-87.323517464301204</v>
      </c>
      <c r="F760" s="1">
        <f t="shared" si="131"/>
        <v>-89.325550273500269</v>
      </c>
      <c r="G760" s="1">
        <f t="shared" si="128"/>
        <v>1.6084457712544098E-39</v>
      </c>
      <c r="H760" s="1">
        <f t="shared" si="121"/>
        <v>1.5788066596880405E-40</v>
      </c>
      <c r="I760">
        <f t="shared" si="122"/>
        <v>60</v>
      </c>
      <c r="J760">
        <f t="shared" si="123"/>
        <v>673</v>
      </c>
      <c r="K760" s="5">
        <f t="shared" si="124"/>
        <v>0</v>
      </c>
      <c r="L760">
        <f t="shared" si="125"/>
        <v>85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-87.445214399278726</v>
      </c>
      <c r="F761" s="1">
        <f t="shared" si="131"/>
        <v>-89.447247208477791</v>
      </c>
      <c r="G761" s="1">
        <f t="shared" si="128"/>
        <v>1.4241446932981735E-39</v>
      </c>
      <c r="H761" s="1">
        <f t="shared" si="121"/>
        <v>1.3979017299321174E-40</v>
      </c>
      <c r="I761">
        <f t="shared" si="122"/>
        <v>60</v>
      </c>
      <c r="J761">
        <f t="shared" si="123"/>
        <v>674</v>
      </c>
      <c r="K761" s="5">
        <f t="shared" si="124"/>
        <v>0</v>
      </c>
      <c r="L761">
        <f t="shared" si="125"/>
        <v>85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-87.566911334256247</v>
      </c>
      <c r="F762" s="1">
        <f t="shared" si="131"/>
        <v>-89.568944143455312</v>
      </c>
      <c r="G762" s="1">
        <f t="shared" si="128"/>
        <v>1.2609614471910892E-39</v>
      </c>
      <c r="H762" s="1">
        <f t="shared" si="121"/>
        <v>1.2377254900440604E-40</v>
      </c>
      <c r="I762">
        <f t="shared" si="122"/>
        <v>60</v>
      </c>
      <c r="J762">
        <f t="shared" si="123"/>
        <v>675</v>
      </c>
      <c r="K762" s="5">
        <f t="shared" si="124"/>
        <v>0</v>
      </c>
      <c r="L762">
        <f t="shared" si="125"/>
        <v>85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-87.688608269233768</v>
      </c>
      <c r="F763" s="1">
        <f t="shared" si="131"/>
        <v>-89.690641078432833</v>
      </c>
      <c r="G763" s="1">
        <f t="shared" si="128"/>
        <v>1.1164762813671087E-39</v>
      </c>
      <c r="H763" s="1">
        <f t="shared" si="121"/>
        <v>1.0959027776431769E-40</v>
      </c>
      <c r="I763">
        <f t="shared" si="122"/>
        <v>60</v>
      </c>
      <c r="J763">
        <f t="shared" si="123"/>
        <v>676</v>
      </c>
      <c r="K763" s="5">
        <f t="shared" si="124"/>
        <v>0</v>
      </c>
      <c r="L763">
        <f t="shared" si="125"/>
        <v>85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-87.810305204211289</v>
      </c>
      <c r="F764" s="1">
        <f t="shared" si="131"/>
        <v>-89.812338013410354</v>
      </c>
      <c r="G764" s="1">
        <f t="shared" si="128"/>
        <v>9.8854670746045934E-40</v>
      </c>
      <c r="H764" s="1">
        <f t="shared" si="121"/>
        <v>9.7033058437156161E-41</v>
      </c>
      <c r="I764">
        <f t="shared" si="122"/>
        <v>60</v>
      </c>
      <c r="J764">
        <f t="shared" si="123"/>
        <v>677</v>
      </c>
      <c r="K764" s="5">
        <f t="shared" si="124"/>
        <v>0</v>
      </c>
      <c r="L764">
        <f t="shared" si="125"/>
        <v>85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-87.93200213918881</v>
      </c>
      <c r="F765" s="1">
        <f t="shared" si="131"/>
        <v>-89.934034948387875</v>
      </c>
      <c r="G765" s="1">
        <f t="shared" si="128"/>
        <v>8.7527573056394719E-40</v>
      </c>
      <c r="H765" s="1">
        <f t="shared" si="121"/>
        <v>8.5914687157898561E-41</v>
      </c>
      <c r="I765">
        <f t="shared" si="122"/>
        <v>60</v>
      </c>
      <c r="J765">
        <f t="shared" si="123"/>
        <v>678</v>
      </c>
      <c r="K765" s="5">
        <f t="shared" si="124"/>
        <v>0</v>
      </c>
      <c r="L765">
        <f t="shared" si="125"/>
        <v>85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-88.053699074166332</v>
      </c>
      <c r="F766" s="1">
        <f t="shared" si="131"/>
        <v>-90.055731883365397</v>
      </c>
      <c r="G766" s="1">
        <f t="shared" si="128"/>
        <v>7.7498371977016046E-40</v>
      </c>
      <c r="H766" s="1">
        <f t="shared" si="121"/>
        <v>7.6070295921055911E-41</v>
      </c>
      <c r="I766">
        <f t="shared" si="122"/>
        <v>60</v>
      </c>
      <c r="J766">
        <f t="shared" si="123"/>
        <v>679</v>
      </c>
      <c r="K766" s="5">
        <f t="shared" si="124"/>
        <v>0</v>
      </c>
      <c r="L766">
        <f t="shared" si="125"/>
        <v>85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-88.175396009143853</v>
      </c>
      <c r="F767" s="1">
        <f t="shared" si="131"/>
        <v>-90.177428818342918</v>
      </c>
      <c r="G767" s="1">
        <f t="shared" si="128"/>
        <v>6.8618350187982862E-40</v>
      </c>
      <c r="H767" s="1">
        <f t="shared" si="121"/>
        <v>6.7353907846768157E-41</v>
      </c>
      <c r="I767">
        <f t="shared" si="122"/>
        <v>60</v>
      </c>
      <c r="J767">
        <f t="shared" si="123"/>
        <v>680</v>
      </c>
      <c r="K767" s="5">
        <f t="shared" si="124"/>
        <v>0</v>
      </c>
      <c r="L767">
        <f t="shared" si="125"/>
        <v>85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-88.297092944121374</v>
      </c>
      <c r="F768" s="1">
        <f t="shared" si="131"/>
        <v>-90.299125753320439</v>
      </c>
      <c r="G768" s="1">
        <f t="shared" si="128"/>
        <v>6.0755830895609737E-40</v>
      </c>
      <c r="H768" s="1">
        <f t="shared" si="121"/>
        <v>5.9636272572659223E-41</v>
      </c>
      <c r="I768">
        <f t="shared" si="122"/>
        <v>60</v>
      </c>
      <c r="J768">
        <f t="shared" si="123"/>
        <v>681</v>
      </c>
      <c r="K768" s="5">
        <f t="shared" si="124"/>
        <v>0</v>
      </c>
      <c r="L768">
        <f t="shared" si="125"/>
        <v>85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-88.418789879098895</v>
      </c>
      <c r="F769" s="1">
        <f t="shared" si="131"/>
        <v>-90.42082268829796</v>
      </c>
      <c r="G769" s="1">
        <f t="shared" si="128"/>
        <v>5.3794225272154376E-40</v>
      </c>
      <c r="H769" s="1">
        <f t="shared" si="121"/>
        <v>5.2802949673708603E-41</v>
      </c>
      <c r="I769">
        <f t="shared" si="122"/>
        <v>60</v>
      </c>
      <c r="J769">
        <f t="shared" si="123"/>
        <v>682</v>
      </c>
      <c r="K769" s="5">
        <f t="shared" si="124"/>
        <v>0</v>
      </c>
      <c r="L769">
        <f t="shared" si="125"/>
        <v>85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-88.540486814076417</v>
      </c>
      <c r="F770" s="1">
        <f t="shared" si="131"/>
        <v>-90.542519623275481</v>
      </c>
      <c r="G770" s="1">
        <f t="shared" si="128"/>
        <v>4.7630303626386623E-40</v>
      </c>
      <c r="H770" s="1">
        <f t="shared" si="121"/>
        <v>4.6752611690262762E-41</v>
      </c>
      <c r="I770">
        <f t="shared" si="122"/>
        <v>60</v>
      </c>
      <c r="J770">
        <f t="shared" si="123"/>
        <v>683</v>
      </c>
      <c r="K770" s="5">
        <f t="shared" si="124"/>
        <v>0</v>
      </c>
      <c r="L770">
        <f t="shared" si="125"/>
        <v>85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-88.662183749053938</v>
      </c>
      <c r="F771" s="1">
        <f t="shared" si="131"/>
        <v>-90.664216558253003</v>
      </c>
      <c r="G771" s="1">
        <f t="shared" si="128"/>
        <v>4.2172664669196425E-40</v>
      </c>
      <c r="H771" s="1">
        <f t="shared" si="121"/>
        <v>4.1395541600753425E-41</v>
      </c>
      <c r="I771">
        <f t="shared" si="122"/>
        <v>60</v>
      </c>
      <c r="J771">
        <f t="shared" si="123"/>
        <v>684</v>
      </c>
      <c r="K771" s="5">
        <f t="shared" si="124"/>
        <v>0</v>
      </c>
      <c r="L771">
        <f t="shared" si="125"/>
        <v>85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-88.783880684031459</v>
      </c>
      <c r="F772" s="1">
        <f t="shared" si="131"/>
        <v>-90.785913493230524</v>
      </c>
      <c r="G772" s="1">
        <f t="shared" si="128"/>
        <v>3.7340380175850948E-40</v>
      </c>
      <c r="H772" s="1">
        <f t="shared" si="121"/>
        <v>3.6652302459000376E-41</v>
      </c>
      <c r="I772">
        <f t="shared" si="122"/>
        <v>60</v>
      </c>
      <c r="J772">
        <f t="shared" si="123"/>
        <v>685</v>
      </c>
      <c r="K772" s="5">
        <f t="shared" si="124"/>
        <v>0</v>
      </c>
      <c r="L772">
        <f t="shared" si="125"/>
        <v>85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-88.90557761900898</v>
      </c>
      <c r="F773" s="1">
        <f t="shared" si="131"/>
        <v>-90.907610428208045</v>
      </c>
      <c r="G773" s="1">
        <f t="shared" si="128"/>
        <v>3.3061794947367981E-40</v>
      </c>
      <c r="H773" s="1">
        <f t="shared" si="121"/>
        <v>3.245255946890654E-41</v>
      </c>
      <c r="I773">
        <f t="shared" si="122"/>
        <v>60</v>
      </c>
      <c r="J773">
        <f t="shared" si="123"/>
        <v>686</v>
      </c>
      <c r="K773" s="5">
        <f t="shared" si="124"/>
        <v>0</v>
      </c>
      <c r="L773">
        <f t="shared" si="125"/>
        <v>85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-89.027274553986501</v>
      </c>
      <c r="F774" s="1">
        <f t="shared" si="131"/>
        <v>-91.029307363185566</v>
      </c>
      <c r="G774" s="1">
        <f t="shared" si="128"/>
        <v>2.9273464276315359E-40</v>
      </c>
      <c r="H774" s="1">
        <f t="shared" si="121"/>
        <v>2.8734037029760959E-41</v>
      </c>
      <c r="I774">
        <f t="shared" si="122"/>
        <v>60</v>
      </c>
      <c r="J774">
        <f t="shared" si="123"/>
        <v>687</v>
      </c>
      <c r="K774" s="5">
        <f t="shared" si="124"/>
        <v>0</v>
      </c>
      <c r="L774">
        <f t="shared" si="125"/>
        <v>85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-89.148971488964023</v>
      </c>
      <c r="F775" s="1">
        <f t="shared" si="131"/>
        <v>-91.151004298163087</v>
      </c>
      <c r="G775" s="1">
        <f t="shared" si="128"/>
        <v>2.5919213161320855E-40</v>
      </c>
      <c r="H775" s="1">
        <f t="shared" si="121"/>
        <v>2.5441595286767482E-41</v>
      </c>
      <c r="I775">
        <f t="shared" si="122"/>
        <v>60</v>
      </c>
      <c r="J775">
        <f t="shared" si="123"/>
        <v>688</v>
      </c>
      <c r="K775" s="5">
        <f t="shared" si="124"/>
        <v>0</v>
      </c>
      <c r="L775">
        <f t="shared" si="125"/>
        <v>85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-89.270668423941544</v>
      </c>
      <c r="F776" s="1">
        <f t="shared" si="131"/>
        <v>-91.272701233140609</v>
      </c>
      <c r="G776" s="1">
        <f t="shared" si="128"/>
        <v>2.2949303319919473E-40</v>
      </c>
      <c r="H776" s="1">
        <f t="shared" si="121"/>
        <v>2.2526412493492006E-41</v>
      </c>
      <c r="I776">
        <f t="shared" si="122"/>
        <v>60</v>
      </c>
      <c r="J776">
        <f t="shared" si="123"/>
        <v>689</v>
      </c>
      <c r="K776" s="5">
        <f t="shared" si="124"/>
        <v>0</v>
      </c>
      <c r="L776">
        <f t="shared" si="125"/>
        <v>85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-89.392365358919065</v>
      </c>
      <c r="F777" s="1">
        <f t="shared" si="131"/>
        <v>-91.39439816811813</v>
      </c>
      <c r="G777" s="1">
        <f t="shared" si="128"/>
        <v>2.0319695647845337E-40</v>
      </c>
      <c r="H777" s="1">
        <f t="shared" si="121"/>
        <v>1.9945261061946019E-41</v>
      </c>
      <c r="I777">
        <f t="shared" si="122"/>
        <v>60</v>
      </c>
      <c r="J777">
        <f t="shared" si="123"/>
        <v>690</v>
      </c>
      <c r="K777" s="5">
        <f t="shared" si="124"/>
        <v>0</v>
      </c>
      <c r="L777">
        <f t="shared" si="125"/>
        <v>85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-89.514062293896586</v>
      </c>
      <c r="F778" s="1">
        <f t="shared" si="131"/>
        <v>-91.516095103095651</v>
      </c>
      <c r="G778" s="1">
        <f t="shared" si="128"/>
        <v>1.7991397188196368E-40</v>
      </c>
      <c r="H778" s="1">
        <f t="shared" si="121"/>
        <v>1.765986656526468E-41</v>
      </c>
      <c r="I778">
        <f t="shared" si="122"/>
        <v>60</v>
      </c>
      <c r="J778">
        <f t="shared" si="123"/>
        <v>691</v>
      </c>
      <c r="K778" s="5">
        <f t="shared" si="124"/>
        <v>0</v>
      </c>
      <c r="L778">
        <f t="shared" si="125"/>
        <v>85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-89.635759228874107</v>
      </c>
      <c r="F779" s="1">
        <f t="shared" si="131"/>
        <v>-91.637792038073172</v>
      </c>
      <c r="G779" s="1">
        <f t="shared" si="128"/>
        <v>1.5929882927048844E-40</v>
      </c>
      <c r="H779" s="1">
        <f t="shared" si="121"/>
        <v>1.5636340187994746E-41</v>
      </c>
      <c r="I779">
        <f t="shared" si="122"/>
        <v>60</v>
      </c>
      <c r="J779">
        <f t="shared" si="123"/>
        <v>692</v>
      </c>
      <c r="K779" s="5">
        <f t="shared" si="124"/>
        <v>0</v>
      </c>
      <c r="L779">
        <f t="shared" si="125"/>
        <v>85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-89.757456163851629</v>
      </c>
      <c r="F780" s="1">
        <f t="shared" si="131"/>
        <v>-91.759488973050694</v>
      </c>
      <c r="G780" s="1">
        <f t="shared" si="128"/>
        <v>1.410458384165781E-40</v>
      </c>
      <c r="H780" s="1">
        <f t="shared" si="121"/>
        <v>1.3844676208120328E-41</v>
      </c>
      <c r="I780">
        <f t="shared" si="122"/>
        <v>60</v>
      </c>
      <c r="J780">
        <f t="shared" si="123"/>
        <v>693</v>
      </c>
      <c r="K780" s="5">
        <f t="shared" si="124"/>
        <v>0</v>
      </c>
      <c r="L780">
        <f t="shared" si="125"/>
        <v>85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-89.87915309882915</v>
      </c>
      <c r="F781" s="1">
        <f t="shared" si="131"/>
        <v>-91.881185908028215</v>
      </c>
      <c r="G781" s="1">
        <f t="shared" si="128"/>
        <v>1.2488433609801169E-40</v>
      </c>
      <c r="H781" s="1">
        <f t="shared" si="121"/>
        <v>1.2258307059273191E-41</v>
      </c>
      <c r="I781">
        <f t="shared" si="122"/>
        <v>60</v>
      </c>
      <c r="J781">
        <f t="shared" si="123"/>
        <v>694</v>
      </c>
      <c r="K781" s="5">
        <f t="shared" si="124"/>
        <v>0</v>
      </c>
      <c r="L781">
        <f t="shared" si="125"/>
        <v>85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-90.000850033806671</v>
      </c>
      <c r="F782" s="1">
        <f t="shared" si="131"/>
        <v>-92.002882843005736</v>
      </c>
      <c r="G782" s="1">
        <f t="shared" si="128"/>
        <v>1.1057467258678103E-40</v>
      </c>
      <c r="H782" s="1">
        <f t="shared" si="121"/>
        <v>1.0853709375398122E-41</v>
      </c>
      <c r="I782">
        <f t="shared" si="122"/>
        <v>60</v>
      </c>
      <c r="J782">
        <f t="shared" si="123"/>
        <v>695</v>
      </c>
      <c r="K782" s="5">
        <f t="shared" si="124"/>
        <v>0</v>
      </c>
      <c r="L782">
        <f t="shared" si="125"/>
        <v>85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-90.122546968784192</v>
      </c>
      <c r="F783" s="1">
        <f t="shared" si="131"/>
        <v>-92.124579777983257</v>
      </c>
      <c r="G783" s="1">
        <f t="shared" si="128"/>
        <v>9.7904658019545552E-41</v>
      </c>
      <c r="H783" s="1">
        <f t="shared" si="121"/>
        <v>9.6100551761337391E-42</v>
      </c>
      <c r="I783">
        <f t="shared" si="122"/>
        <v>60</v>
      </c>
      <c r="J783">
        <f t="shared" si="123"/>
        <v>696</v>
      </c>
      <c r="K783" s="5">
        <f t="shared" si="124"/>
        <v>0</v>
      </c>
      <c r="L783">
        <f t="shared" si="125"/>
        <v>85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-90.244243903761713</v>
      </c>
      <c r="F784" s="1">
        <f t="shared" si="131"/>
        <v>-92.246276712960778</v>
      </c>
      <c r="G784" s="1">
        <f t="shared" si="128"/>
        <v>8.668641595480584E-41</v>
      </c>
      <c r="H784" s="1">
        <f t="shared" si="121"/>
        <v>8.5089030205350697E-42</v>
      </c>
      <c r="I784">
        <f t="shared" si="122"/>
        <v>60</v>
      </c>
      <c r="J784">
        <f t="shared" si="123"/>
        <v>697</v>
      </c>
      <c r="K784" s="5">
        <f t="shared" si="124"/>
        <v>0</v>
      </c>
      <c r="L784">
        <f t="shared" si="125"/>
        <v>85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-90.365940838739235</v>
      </c>
      <c r="F785" s="1">
        <f t="shared" si="131"/>
        <v>-92.3679736479383</v>
      </c>
      <c r="G785" s="1">
        <f t="shared" si="128"/>
        <v>7.6753597459984233E-41</v>
      </c>
      <c r="H785" s="1">
        <f t="shared" si="121"/>
        <v>7.5339245494320822E-42</v>
      </c>
      <c r="I785">
        <f t="shared" si="122"/>
        <v>60</v>
      </c>
      <c r="J785">
        <f t="shared" si="123"/>
        <v>698</v>
      </c>
      <c r="K785" s="5">
        <f t="shared" si="124"/>
        <v>0</v>
      </c>
      <c r="L785">
        <f t="shared" si="125"/>
        <v>85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-90.487637773716756</v>
      </c>
      <c r="F786" s="1">
        <f t="shared" si="131"/>
        <v>-92.489670582915821</v>
      </c>
      <c r="G786" s="1">
        <f t="shared" si="128"/>
        <v>6.7958914417694269E-41</v>
      </c>
      <c r="H786" s="1">
        <f t="shared" si="121"/>
        <v>6.6706623614763126E-42</v>
      </c>
      <c r="I786">
        <f t="shared" si="122"/>
        <v>60</v>
      </c>
      <c r="J786">
        <f t="shared" si="123"/>
        <v>699</v>
      </c>
      <c r="K786" s="5">
        <f t="shared" si="124"/>
        <v>0</v>
      </c>
      <c r="L786">
        <f t="shared" si="125"/>
        <v>85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-90.609334708694277</v>
      </c>
      <c r="F787" s="1">
        <f t="shared" si="131"/>
        <v>-92.611367517893342</v>
      </c>
      <c r="G787" s="1">
        <f t="shared" si="128"/>
        <v>6.0171955474000051E-41</v>
      </c>
      <c r="H787" s="1">
        <f t="shared" si="121"/>
        <v>5.9063156325571437E-42</v>
      </c>
      <c r="I787">
        <f t="shared" si="122"/>
        <v>60</v>
      </c>
      <c r="J787">
        <f t="shared" si="123"/>
        <v>700</v>
      </c>
      <c r="K787" s="5">
        <f t="shared" si="124"/>
        <v>0</v>
      </c>
      <c r="L787">
        <f t="shared" si="125"/>
        <v>85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-90.731031643671798</v>
      </c>
      <c r="F788" s="1">
        <f t="shared" si="131"/>
        <v>-92.733064452870863</v>
      </c>
      <c r="G788" s="1">
        <f t="shared" si="128"/>
        <v>5.3277252242604136E-41</v>
      </c>
      <c r="H788" s="1">
        <f t="shared" si="121"/>
        <v>5.2295502996599639E-42</v>
      </c>
      <c r="I788">
        <f t="shared" si="122"/>
        <v>60</v>
      </c>
      <c r="J788">
        <f t="shared" si="123"/>
        <v>701</v>
      </c>
      <c r="K788" s="5">
        <f t="shared" si="124"/>
        <v>0</v>
      </c>
      <c r="L788">
        <f t="shared" si="125"/>
        <v>85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-90.85272857864932</v>
      </c>
      <c r="F789" s="1">
        <f t="shared" si="131"/>
        <v>-92.854761387848384</v>
      </c>
      <c r="G789" s="1">
        <f t="shared" si="128"/>
        <v>4.7172567089805682E-41</v>
      </c>
      <c r="H789" s="1">
        <f t="shared" si="121"/>
        <v>4.6303309944905865E-42</v>
      </c>
      <c r="I789">
        <f t="shared" si="122"/>
        <v>60</v>
      </c>
      <c r="J789">
        <f t="shared" si="123"/>
        <v>702</v>
      </c>
      <c r="K789" s="5">
        <f t="shared" si="124"/>
        <v>0</v>
      </c>
      <c r="L789">
        <f t="shared" si="125"/>
        <v>85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-90.974425513626841</v>
      </c>
      <c r="F790" s="1">
        <f t="shared" si="131"/>
        <v>-92.976458322825906</v>
      </c>
      <c r="G790" s="1">
        <f t="shared" si="128"/>
        <v>4.1767377110765385E-41</v>
      </c>
      <c r="H790" s="1">
        <f t="shared" si="121"/>
        <v>4.0997722347052011E-42</v>
      </c>
      <c r="I790">
        <f t="shared" si="122"/>
        <v>60</v>
      </c>
      <c r="J790">
        <f t="shared" si="123"/>
        <v>703</v>
      </c>
      <c r="K790" s="5">
        <f t="shared" si="124"/>
        <v>0</v>
      </c>
      <c r="L790">
        <f t="shared" si="125"/>
        <v>85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-91.096122448604362</v>
      </c>
      <c r="F791" s="1">
        <f t="shared" si="131"/>
        <v>-93.098155257803427</v>
      </c>
      <c r="G791" s="1">
        <f t="shared" si="128"/>
        <v>3.6981531816823465E-41</v>
      </c>
      <c r="H791" s="1">
        <f t="shared" ref="H791:H854" si="132">G791/$G$21</f>
        <v>3.6300066661452245E-42</v>
      </c>
      <c r="I791">
        <f t="shared" ref="I791:I854" si="133">IF($F$11&lt;=D791, IF(D791&lt;=$A$15,D791-$F$11,$C$11),0)</f>
        <v>60</v>
      </c>
      <c r="J791">
        <f t="shared" ref="J791:J854" si="134">IF(D791&lt;=$A$15,0,D791-$A$15)</f>
        <v>704</v>
      </c>
      <c r="K791" s="5">
        <f t="shared" ref="K791:K854" si="135">IF(D791&lt;$F$11,H791,0)</f>
        <v>0</v>
      </c>
      <c r="L791">
        <f t="shared" ref="L791:L854" si="136">IF(D791&lt;$A$15,$D$11,$D$11*(1-$H$11))</f>
        <v>85</v>
      </c>
      <c r="M791">
        <f t="shared" ref="M791:M854" si="137">IF(D791&lt;$A$15,0,1)</f>
        <v>1</v>
      </c>
      <c r="N791">
        <f t="shared" ref="N791:N854" si="138">IF(SUM(I791:J791)&lt;=($G$11/60*$F$11/($E$11/60)),1,0)</f>
        <v>0</v>
      </c>
    </row>
    <row r="792" spans="4:14" x14ac:dyDescent="0.2">
      <c r="D792">
        <f t="shared" si="129"/>
        <v>769</v>
      </c>
      <c r="E792" s="1">
        <f t="shared" si="130"/>
        <v>-91.217819383581883</v>
      </c>
      <c r="F792" s="1">
        <f t="shared" si="131"/>
        <v>-93.219852192780948</v>
      </c>
      <c r="G792" s="1">
        <f t="shared" ref="G792:G855" si="139">EXP(F792)</f>
        <v>3.2744064629479065E-41</v>
      </c>
      <c r="H792" s="1">
        <f t="shared" si="132"/>
        <v>3.2140684023160803E-42</v>
      </c>
      <c r="I792">
        <f t="shared" si="133"/>
        <v>60</v>
      </c>
      <c r="J792">
        <f t="shared" si="134"/>
        <v>705</v>
      </c>
      <c r="K792" s="5">
        <f t="shared" si="135"/>
        <v>0</v>
      </c>
      <c r="L792">
        <f t="shared" si="136"/>
        <v>85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IF($H$11=1,IF(D793&lt;=$A$15, E792+LN($D$11)-LN(60/$E$11)-LN(MIN(D793,$F$11)), E792-LN(60/$E$11)-LN(MIN(D793,$F$11))), IF(D793&lt;=$A$15, E792+LN($D$11)-LN(60/$E$11)-LN(MIN(D793,$F$11)), E792+LN($D$11)+LN(1-$H$11)-LN(60/$E$11)-LN(MIN(D793,$F$11))))</f>
        <v>-91.339516318559404</v>
      </c>
      <c r="F793" s="1">
        <f t="shared" ref="F793:F856" si="142">E793-$E$21</f>
        <v>-93.341549127758469</v>
      </c>
      <c r="G793" s="1">
        <f t="shared" si="139"/>
        <v>2.8992140557351213E-41</v>
      </c>
      <c r="H793" s="1">
        <f t="shared" si="132"/>
        <v>2.8457897312173584E-42</v>
      </c>
      <c r="I793">
        <f t="shared" si="133"/>
        <v>60</v>
      </c>
      <c r="J793">
        <f t="shared" si="134"/>
        <v>706</v>
      </c>
      <c r="K793" s="5">
        <f t="shared" si="135"/>
        <v>0</v>
      </c>
      <c r="L793">
        <f t="shared" si="136"/>
        <v>85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-91.461213253536926</v>
      </c>
      <c r="F794" s="1">
        <f t="shared" si="142"/>
        <v>-93.46324606273599</v>
      </c>
      <c r="G794" s="1">
        <f t="shared" si="139"/>
        <v>2.5670124451821351E-41</v>
      </c>
      <c r="H794" s="1">
        <f t="shared" si="132"/>
        <v>2.5197096578486993E-42</v>
      </c>
      <c r="I794">
        <f t="shared" si="133"/>
        <v>60</v>
      </c>
      <c r="J794">
        <f t="shared" si="134"/>
        <v>707</v>
      </c>
      <c r="K794" s="5">
        <f t="shared" si="135"/>
        <v>0</v>
      </c>
      <c r="L794">
        <f t="shared" si="136"/>
        <v>85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-91.582910188514447</v>
      </c>
      <c r="F795" s="1">
        <f t="shared" si="142"/>
        <v>-93.584942997713512</v>
      </c>
      <c r="G795" s="1">
        <f t="shared" si="139"/>
        <v>2.2728756025050121E-41</v>
      </c>
      <c r="H795" s="1">
        <f t="shared" si="132"/>
        <v>2.2309929262201993E-42</v>
      </c>
      <c r="I795">
        <f t="shared" si="133"/>
        <v>60</v>
      </c>
      <c r="J795">
        <f t="shared" si="134"/>
        <v>708</v>
      </c>
      <c r="K795" s="5">
        <f t="shared" si="135"/>
        <v>0</v>
      </c>
      <c r="L795">
        <f t="shared" si="136"/>
        <v>85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-91.704607123491968</v>
      </c>
      <c r="F796" s="1">
        <f t="shared" si="142"/>
        <v>-93.706639932691033</v>
      </c>
      <c r="G796" s="1">
        <f t="shared" si="139"/>
        <v>2.0124419397179765E-41</v>
      </c>
      <c r="H796" s="1">
        <f t="shared" si="132"/>
        <v>1.9753583200907986E-42</v>
      </c>
      <c r="I796">
        <f t="shared" si="133"/>
        <v>60</v>
      </c>
      <c r="J796">
        <f t="shared" si="134"/>
        <v>709</v>
      </c>
      <c r="K796" s="5">
        <f t="shared" si="135"/>
        <v>0</v>
      </c>
      <c r="L796">
        <f t="shared" si="136"/>
        <v>85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-91.826304058469489</v>
      </c>
      <c r="F797" s="1">
        <f t="shared" si="142"/>
        <v>-93.828336867668554</v>
      </c>
      <c r="G797" s="1">
        <f t="shared" si="139"/>
        <v>1.7818496341252891E-41</v>
      </c>
      <c r="H797" s="1">
        <f t="shared" si="132"/>
        <v>1.7490151792470586E-42</v>
      </c>
      <c r="I797">
        <f t="shared" si="133"/>
        <v>60</v>
      </c>
      <c r="J797">
        <f t="shared" si="134"/>
        <v>710</v>
      </c>
      <c r="K797" s="5">
        <f t="shared" si="135"/>
        <v>0</v>
      </c>
      <c r="L797">
        <f t="shared" si="136"/>
        <v>85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-91.94800099344701</v>
      </c>
      <c r="F798" s="1">
        <f t="shared" si="142"/>
        <v>-93.950033802646075</v>
      </c>
      <c r="G798" s="1">
        <f t="shared" si="139"/>
        <v>1.5776793635484309E-41</v>
      </c>
      <c r="H798" s="1">
        <f t="shared" si="132"/>
        <v>1.5486071899583309E-42</v>
      </c>
      <c r="I798">
        <f t="shared" si="133"/>
        <v>60</v>
      </c>
      <c r="J798">
        <f t="shared" si="134"/>
        <v>711</v>
      </c>
      <c r="K798" s="5">
        <f t="shared" si="135"/>
        <v>0</v>
      </c>
      <c r="L798">
        <f t="shared" si="136"/>
        <v>85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-92.069697928424532</v>
      </c>
      <c r="F799" s="1">
        <f t="shared" si="142"/>
        <v>-94.071730737623596</v>
      </c>
      <c r="G799" s="1">
        <f t="shared" si="139"/>
        <v>1.3969036031418379E-41</v>
      </c>
      <c r="H799" s="1">
        <f t="shared" si="132"/>
        <v>1.3711626161089369E-42</v>
      </c>
      <c r="I799">
        <f t="shared" si="133"/>
        <v>60</v>
      </c>
      <c r="J799">
        <f t="shared" si="134"/>
        <v>712</v>
      </c>
      <c r="K799" s="5">
        <f t="shared" si="135"/>
        <v>0</v>
      </c>
      <c r="L799">
        <f t="shared" si="136"/>
        <v>85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-92.191394863402053</v>
      </c>
      <c r="F800" s="1">
        <f t="shared" si="142"/>
        <v>-94.193427672601118</v>
      </c>
      <c r="G800" s="1">
        <f t="shared" si="139"/>
        <v>1.2368417319485004E-41</v>
      </c>
      <c r="H800" s="1">
        <f t="shared" si="132"/>
        <v>1.2140502330131194E-42</v>
      </c>
      <c r="I800">
        <f t="shared" si="133"/>
        <v>60</v>
      </c>
      <c r="J800">
        <f t="shared" si="134"/>
        <v>713</v>
      </c>
      <c r="K800" s="5">
        <f t="shared" si="135"/>
        <v>0</v>
      </c>
      <c r="L800">
        <f t="shared" si="136"/>
        <v>85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-92.313091798379574</v>
      </c>
      <c r="F801" s="1">
        <f t="shared" si="142"/>
        <v>-94.315124607578639</v>
      </c>
      <c r="G801" s="1">
        <f t="shared" si="139"/>
        <v>1.0951202834960666E-41</v>
      </c>
      <c r="H801" s="1">
        <f t="shared" si="132"/>
        <v>1.0749403104803648E-42</v>
      </c>
      <c r="I801">
        <f t="shared" si="133"/>
        <v>60</v>
      </c>
      <c r="J801">
        <f t="shared" si="134"/>
        <v>714</v>
      </c>
      <c r="K801" s="5">
        <f t="shared" si="135"/>
        <v>0</v>
      </c>
      <c r="L801">
        <f t="shared" si="136"/>
        <v>85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-92.434788733357095</v>
      </c>
      <c r="F802" s="1">
        <f t="shared" si="142"/>
        <v>-94.43682154255616</v>
      </c>
      <c r="G802" s="1">
        <f t="shared" si="139"/>
        <v>9.6963775101214091E-42</v>
      </c>
      <c r="H802" s="1">
        <f t="shared" si="132"/>
        <v>9.5177006657115488E-43</v>
      </c>
      <c r="I802">
        <f t="shared" si="133"/>
        <v>60</v>
      </c>
      <c r="J802">
        <f t="shared" si="134"/>
        <v>715</v>
      </c>
      <c r="K802" s="5">
        <f t="shared" si="135"/>
        <v>0</v>
      </c>
      <c r="L802">
        <f t="shared" si="136"/>
        <v>85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-92.556485668334616</v>
      </c>
      <c r="F803" s="1">
        <f t="shared" si="142"/>
        <v>-94.558518477533681</v>
      </c>
      <c r="G803" s="1">
        <f t="shared" si="139"/>
        <v>8.5853342537533189E-42</v>
      </c>
      <c r="H803" s="1">
        <f t="shared" si="132"/>
        <v>8.4271307977654214E-43</v>
      </c>
      <c r="I803">
        <f t="shared" si="133"/>
        <v>60</v>
      </c>
      <c r="J803">
        <f t="shared" si="134"/>
        <v>716</v>
      </c>
      <c r="K803" s="5">
        <f t="shared" si="135"/>
        <v>0</v>
      </c>
      <c r="L803">
        <f t="shared" si="136"/>
        <v>85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-92.678182603312138</v>
      </c>
      <c r="F804" s="1">
        <f t="shared" si="142"/>
        <v>-94.680215412511203</v>
      </c>
      <c r="G804" s="1">
        <f t="shared" si="139"/>
        <v>7.601598037177407E-42</v>
      </c>
      <c r="H804" s="1">
        <f t="shared" si="132"/>
        <v>7.461522060521457E-43</v>
      </c>
      <c r="I804">
        <f t="shared" si="133"/>
        <v>60</v>
      </c>
      <c r="J804">
        <f t="shared" si="134"/>
        <v>717</v>
      </c>
      <c r="K804" s="5">
        <f t="shared" si="135"/>
        <v>0</v>
      </c>
      <c r="L804">
        <f t="shared" si="136"/>
        <v>85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-92.799879538289659</v>
      </c>
      <c r="F805" s="1">
        <f t="shared" si="142"/>
        <v>-94.801912347488724</v>
      </c>
      <c r="G805" s="1">
        <f t="shared" si="139"/>
        <v>6.7305815954174867E-42</v>
      </c>
      <c r="H805" s="1">
        <f t="shared" si="132"/>
        <v>6.6065559910866973E-43</v>
      </c>
      <c r="I805">
        <f t="shared" si="133"/>
        <v>60</v>
      </c>
      <c r="J805">
        <f t="shared" si="134"/>
        <v>718</v>
      </c>
      <c r="K805" s="5">
        <f t="shared" si="135"/>
        <v>0</v>
      </c>
      <c r="L805">
        <f t="shared" si="136"/>
        <v>85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-92.92157647326718</v>
      </c>
      <c r="F806" s="1">
        <f t="shared" si="142"/>
        <v>-94.923609282466245</v>
      </c>
      <c r="G806" s="1">
        <f t="shared" si="139"/>
        <v>5.9593691209425578E-42</v>
      </c>
      <c r="H806" s="1">
        <f t="shared" si="132"/>
        <v>5.8495547837746722E-43</v>
      </c>
      <c r="I806">
        <f t="shared" si="133"/>
        <v>60</v>
      </c>
      <c r="J806">
        <f t="shared" si="134"/>
        <v>719</v>
      </c>
      <c r="K806" s="5">
        <f t="shared" si="135"/>
        <v>0</v>
      </c>
      <c r="L806">
        <f t="shared" si="136"/>
        <v>85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-93.043273408244701</v>
      </c>
      <c r="F807" s="1">
        <f t="shared" si="142"/>
        <v>-95.045306217443766</v>
      </c>
      <c r="G807" s="1">
        <f t="shared" si="139"/>
        <v>5.2765247425012151E-42</v>
      </c>
      <c r="H807" s="1">
        <f t="shared" si="132"/>
        <v>5.1792932981338165E-43</v>
      </c>
      <c r="I807">
        <f t="shared" si="133"/>
        <v>60</v>
      </c>
      <c r="J807">
        <f t="shared" si="134"/>
        <v>720</v>
      </c>
      <c r="K807" s="5">
        <f t="shared" si="135"/>
        <v>0</v>
      </c>
      <c r="L807">
        <f t="shared" si="136"/>
        <v>85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-93.164970343222222</v>
      </c>
      <c r="F808" s="1">
        <f t="shared" si="142"/>
        <v>-95.167003152421287</v>
      </c>
      <c r="G808" s="1">
        <f t="shared" si="139"/>
        <v>4.6719229490896109E-42</v>
      </c>
      <c r="H808" s="1">
        <f t="shared" si="132"/>
        <v>4.585832607722643E-43</v>
      </c>
      <c r="I808">
        <f t="shared" si="133"/>
        <v>60</v>
      </c>
      <c r="J808">
        <f t="shared" si="134"/>
        <v>721</v>
      </c>
      <c r="K808" s="5">
        <f t="shared" si="135"/>
        <v>0</v>
      </c>
      <c r="L808">
        <f t="shared" si="136"/>
        <v>85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-93.286667278199744</v>
      </c>
      <c r="F809" s="1">
        <f t="shared" si="142"/>
        <v>-95.288700087398809</v>
      </c>
      <c r="G809" s="1">
        <f t="shared" si="139"/>
        <v>4.1365984445064204E-42</v>
      </c>
      <c r="H809" s="1">
        <f t="shared" si="132"/>
        <v>4.0603726214210844E-43</v>
      </c>
      <c r="I809">
        <f t="shared" si="133"/>
        <v>60</v>
      </c>
      <c r="J809">
        <f t="shared" si="134"/>
        <v>722</v>
      </c>
      <c r="K809" s="5">
        <f t="shared" si="135"/>
        <v>0</v>
      </c>
      <c r="L809">
        <f t="shared" si="136"/>
        <v>85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-93.408364213177265</v>
      </c>
      <c r="F810" s="1">
        <f t="shared" si="142"/>
        <v>-95.41039702237633</v>
      </c>
      <c r="G810" s="1">
        <f t="shared" si="139"/>
        <v>3.6626132060733876E-42</v>
      </c>
      <c r="H810" s="1">
        <f t="shared" si="132"/>
        <v>3.5951215918832468E-43</v>
      </c>
      <c r="I810">
        <f t="shared" si="133"/>
        <v>60</v>
      </c>
      <c r="J810">
        <f t="shared" si="134"/>
        <v>723</v>
      </c>
      <c r="K810" s="5">
        <f t="shared" si="135"/>
        <v>0</v>
      </c>
      <c r="L810">
        <f t="shared" si="136"/>
        <v>85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-93.530061148154786</v>
      </c>
      <c r="F811" s="1">
        <f t="shared" si="142"/>
        <v>-95.532093957353851</v>
      </c>
      <c r="G811" s="1">
        <f t="shared" si="139"/>
        <v>3.2429387762108077E-42</v>
      </c>
      <c r="H811" s="1">
        <f t="shared" si="132"/>
        <v>3.1831805761466204E-43</v>
      </c>
      <c r="I811">
        <f t="shared" si="133"/>
        <v>60</v>
      </c>
      <c r="J811">
        <f t="shared" si="134"/>
        <v>724</v>
      </c>
      <c r="K811" s="5">
        <f t="shared" si="135"/>
        <v>0</v>
      </c>
      <c r="L811">
        <f t="shared" si="136"/>
        <v>85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-93.651758083132307</v>
      </c>
      <c r="F812" s="1">
        <f t="shared" si="142"/>
        <v>-95.653790892331372</v>
      </c>
      <c r="G812" s="1">
        <f t="shared" si="139"/>
        <v>2.8713520414366481E-42</v>
      </c>
      <c r="H812" s="1">
        <f t="shared" si="132"/>
        <v>2.8184411351298157E-43</v>
      </c>
      <c r="I812">
        <f t="shared" si="133"/>
        <v>60</v>
      </c>
      <c r="J812">
        <f t="shared" si="134"/>
        <v>725</v>
      </c>
      <c r="K812" s="5">
        <f t="shared" si="135"/>
        <v>0</v>
      </c>
      <c r="L812">
        <f t="shared" si="136"/>
        <v>85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-93.773455018109829</v>
      </c>
      <c r="F813" s="1">
        <f t="shared" si="142"/>
        <v>-95.775487827308893</v>
      </c>
      <c r="G813" s="1">
        <f t="shared" si="139"/>
        <v>2.542342953355362E-42</v>
      </c>
      <c r="H813" s="1">
        <f t="shared" si="132"/>
        <v>2.4954947550628543E-43</v>
      </c>
      <c r="I813">
        <f t="shared" si="133"/>
        <v>60</v>
      </c>
      <c r="J813">
        <f t="shared" si="134"/>
        <v>726</v>
      </c>
      <c r="K813" s="5">
        <f t="shared" si="135"/>
        <v>0</v>
      </c>
      <c r="L813">
        <f t="shared" si="136"/>
        <v>85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-93.89515195308735</v>
      </c>
      <c r="F814" s="1">
        <f t="shared" si="142"/>
        <v>-95.897184762286415</v>
      </c>
      <c r="G814" s="1">
        <f t="shared" si="139"/>
        <v>2.2510328232833905E-42</v>
      </c>
      <c r="H814" s="1">
        <f t="shared" si="132"/>
        <v>2.2095526477118992E-43</v>
      </c>
      <c r="I814">
        <f t="shared" si="133"/>
        <v>60</v>
      </c>
      <c r="J814">
        <f t="shared" si="134"/>
        <v>727</v>
      </c>
      <c r="K814" s="5">
        <f t="shared" si="135"/>
        <v>0</v>
      </c>
      <c r="L814">
        <f t="shared" si="136"/>
        <v>85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-94.016848888064871</v>
      </c>
      <c r="F815" s="1">
        <f t="shared" si="142"/>
        <v>-96.018881697263936</v>
      </c>
      <c r="G815" s="1">
        <f t="shared" si="139"/>
        <v>1.9931019789488325E-42</v>
      </c>
      <c r="H815" s="1">
        <f t="shared" si="132"/>
        <v>1.9563747401615747E-43</v>
      </c>
      <c r="I815">
        <f t="shared" si="133"/>
        <v>60</v>
      </c>
      <c r="J815">
        <f t="shared" si="134"/>
        <v>728</v>
      </c>
      <c r="K815" s="5">
        <f t="shared" si="135"/>
        <v>0</v>
      </c>
      <c r="L815">
        <f t="shared" si="136"/>
        <v>85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-94.138545823042392</v>
      </c>
      <c r="F816" s="1">
        <f t="shared" si="142"/>
        <v>-96.140578632241457</v>
      </c>
      <c r="G816" s="1">
        <f t="shared" si="139"/>
        <v>1.7647257105276094E-42</v>
      </c>
      <c r="H816" s="1">
        <f t="shared" si="132"/>
        <v>1.7322068011847249E-43</v>
      </c>
      <c r="I816">
        <f t="shared" si="133"/>
        <v>60</v>
      </c>
      <c r="J816">
        <f t="shared" si="134"/>
        <v>729</v>
      </c>
      <c r="K816" s="5">
        <f t="shared" si="135"/>
        <v>0</v>
      </c>
      <c r="L816">
        <f t="shared" si="136"/>
        <v>85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-94.260242758019913</v>
      </c>
      <c r="F817" s="1">
        <f t="shared" si="142"/>
        <v>-96.262275567218978</v>
      </c>
      <c r="G817" s="1">
        <f t="shared" si="139"/>
        <v>1.5625175561963188E-42</v>
      </c>
      <c r="H817" s="1">
        <f t="shared" si="132"/>
        <v>1.5337247718823065E-43</v>
      </c>
      <c r="I817">
        <f t="shared" si="133"/>
        <v>60</v>
      </c>
      <c r="J817">
        <f t="shared" si="134"/>
        <v>730</v>
      </c>
      <c r="K817" s="5">
        <f t="shared" si="135"/>
        <v>0</v>
      </c>
      <c r="L817">
        <f t="shared" si="136"/>
        <v>85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-94.381939692997435</v>
      </c>
      <c r="F818" s="1">
        <f t="shared" si="142"/>
        <v>-96.383972502196499</v>
      </c>
      <c r="G818" s="1">
        <f t="shared" si="139"/>
        <v>1.3834790862154885E-42</v>
      </c>
      <c r="H818" s="1">
        <f t="shared" si="132"/>
        <v>1.3579854751041235E-43</v>
      </c>
      <c r="I818">
        <f t="shared" si="133"/>
        <v>60</v>
      </c>
      <c r="J818">
        <f t="shared" si="134"/>
        <v>731</v>
      </c>
      <c r="K818" s="5">
        <f t="shared" si="135"/>
        <v>0</v>
      </c>
      <c r="L818">
        <f t="shared" si="136"/>
        <v>85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-94.503636627974956</v>
      </c>
      <c r="F819" s="1">
        <f t="shared" si="142"/>
        <v>-96.505669437174021</v>
      </c>
      <c r="G819" s="1">
        <f t="shared" si="139"/>
        <v>1.224955440919962E-42</v>
      </c>
      <c r="H819" s="1">
        <f t="shared" si="132"/>
        <v>1.202382972748441E-43</v>
      </c>
      <c r="I819">
        <f t="shared" si="133"/>
        <v>60</v>
      </c>
      <c r="J819">
        <f t="shared" si="134"/>
        <v>732</v>
      </c>
      <c r="K819" s="5">
        <f t="shared" si="135"/>
        <v>0</v>
      </c>
      <c r="L819">
        <f t="shared" si="136"/>
        <v>85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-94.625333562952477</v>
      </c>
      <c r="F820" s="1">
        <f t="shared" si="142"/>
        <v>-96.627366372151542</v>
      </c>
      <c r="G820" s="1">
        <f t="shared" si="139"/>
        <v>1.0845959633145482E-42</v>
      </c>
      <c r="H820" s="1">
        <f t="shared" si="132"/>
        <v>1.0646099237876807E-43</v>
      </c>
      <c r="I820">
        <f t="shared" si="133"/>
        <v>60</v>
      </c>
      <c r="J820">
        <f t="shared" si="134"/>
        <v>733</v>
      </c>
      <c r="K820" s="5">
        <f t="shared" si="135"/>
        <v>0</v>
      </c>
      <c r="L820">
        <f t="shared" si="136"/>
        <v>85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-94.747030497929998</v>
      </c>
      <c r="F821" s="1">
        <f t="shared" si="142"/>
        <v>-96.749063307129063</v>
      </c>
      <c r="G821" s="1">
        <f t="shared" si="139"/>
        <v>9.6031934251808808E-43</v>
      </c>
      <c r="H821" s="1">
        <f t="shared" si="132"/>
        <v>9.4262337002034079E-44</v>
      </c>
      <c r="I821">
        <f t="shared" si="133"/>
        <v>60</v>
      </c>
      <c r="J821">
        <f t="shared" si="134"/>
        <v>734</v>
      </c>
      <c r="K821" s="5">
        <f t="shared" si="135"/>
        <v>0</v>
      </c>
      <c r="L821">
        <f t="shared" si="136"/>
        <v>85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-94.868727432907519</v>
      </c>
      <c r="F822" s="1">
        <f t="shared" si="142"/>
        <v>-96.870760242106584</v>
      </c>
      <c r="G822" s="1">
        <f t="shared" si="139"/>
        <v>8.5028275118788926E-43</v>
      </c>
      <c r="H822" s="1">
        <f t="shared" si="132"/>
        <v>8.3461444220550886E-44</v>
      </c>
      <c r="I822">
        <f t="shared" si="133"/>
        <v>60</v>
      </c>
      <c r="J822">
        <f t="shared" si="134"/>
        <v>735</v>
      </c>
      <c r="K822" s="5">
        <f t="shared" si="135"/>
        <v>0</v>
      </c>
      <c r="L822">
        <f t="shared" si="136"/>
        <v>85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-94.990424367885041</v>
      </c>
      <c r="F823" s="1">
        <f t="shared" si="142"/>
        <v>-96.992457177084106</v>
      </c>
      <c r="G823" s="1">
        <f t="shared" si="139"/>
        <v>7.5285451928094258E-43</v>
      </c>
      <c r="H823" s="1">
        <f t="shared" si="132"/>
        <v>7.3898153736945996E-44</v>
      </c>
      <c r="I823">
        <f t="shared" si="133"/>
        <v>60</v>
      </c>
      <c r="J823">
        <f t="shared" si="134"/>
        <v>736</v>
      </c>
      <c r="K823" s="5">
        <f t="shared" si="135"/>
        <v>0</v>
      </c>
      <c r="L823">
        <f t="shared" si="136"/>
        <v>85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-95.112121302862562</v>
      </c>
      <c r="F824" s="1">
        <f t="shared" si="142"/>
        <v>-97.114154112061627</v>
      </c>
      <c r="G824" s="1">
        <f t="shared" si="139"/>
        <v>6.66589938946667E-43</v>
      </c>
      <c r="H824" s="1">
        <f t="shared" si="132"/>
        <v>6.5430656954587514E-44</v>
      </c>
      <c r="I824">
        <f t="shared" si="133"/>
        <v>60</v>
      </c>
      <c r="J824">
        <f t="shared" si="134"/>
        <v>737</v>
      </c>
      <c r="K824" s="5">
        <f t="shared" si="135"/>
        <v>0</v>
      </c>
      <c r="L824">
        <f t="shared" si="136"/>
        <v>85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-95.233818237840083</v>
      </c>
      <c r="F825" s="1">
        <f t="shared" si="142"/>
        <v>-97.235851047039148</v>
      </c>
      <c r="G825" s="1">
        <f t="shared" si="139"/>
        <v>5.9020984177569391E-43</v>
      </c>
      <c r="H825" s="1">
        <f t="shared" si="132"/>
        <v>5.7933394178540946E-44</v>
      </c>
      <c r="I825">
        <f t="shared" si="133"/>
        <v>60</v>
      </c>
      <c r="J825">
        <f t="shared" si="134"/>
        <v>738</v>
      </c>
      <c r="K825" s="5">
        <f t="shared" si="135"/>
        <v>0</v>
      </c>
      <c r="L825">
        <f t="shared" si="136"/>
        <v>85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-95.355515172817604</v>
      </c>
      <c r="F826" s="1">
        <f t="shared" si="142"/>
        <v>-97.357547982016669</v>
      </c>
      <c r="G826" s="1">
        <f t="shared" si="139"/>
        <v>5.2258163073889486E-43</v>
      </c>
      <c r="H826" s="1">
        <f t="shared" si="132"/>
        <v>5.1295192762249716E-44</v>
      </c>
      <c r="I826">
        <f t="shared" si="133"/>
        <v>60</v>
      </c>
      <c r="J826">
        <f t="shared" si="134"/>
        <v>739</v>
      </c>
      <c r="K826" s="5">
        <f t="shared" si="135"/>
        <v>0</v>
      </c>
      <c r="L826">
        <f t="shared" si="136"/>
        <v>85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-95.477212107795125</v>
      </c>
      <c r="F827" s="1">
        <f t="shared" si="142"/>
        <v>-97.47924491699419</v>
      </c>
      <c r="G827" s="1">
        <f t="shared" si="139"/>
        <v>4.6270248555006252E-43</v>
      </c>
      <c r="H827" s="1">
        <f t="shared" si="132"/>
        <v>4.541761859157521E-44</v>
      </c>
      <c r="I827">
        <f t="shared" si="133"/>
        <v>60</v>
      </c>
      <c r="J827">
        <f t="shared" si="134"/>
        <v>740</v>
      </c>
      <c r="K827" s="5">
        <f t="shared" si="135"/>
        <v>0</v>
      </c>
      <c r="L827">
        <f t="shared" si="136"/>
        <v>85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-95.598909042772647</v>
      </c>
      <c r="F828" s="1">
        <f t="shared" si="142"/>
        <v>-97.600941851971712</v>
      </c>
      <c r="G828" s="1">
        <f t="shared" si="139"/>
        <v>4.0968449241411728E-43</v>
      </c>
      <c r="H828" s="1">
        <f t="shared" si="132"/>
        <v>4.0213516461290493E-44</v>
      </c>
      <c r="I828">
        <f t="shared" si="133"/>
        <v>60</v>
      </c>
      <c r="J828">
        <f t="shared" si="134"/>
        <v>741</v>
      </c>
      <c r="K828" s="5">
        <f t="shared" si="135"/>
        <v>0</v>
      </c>
      <c r="L828">
        <f t="shared" si="136"/>
        <v>85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-95.720605977750168</v>
      </c>
      <c r="F829" s="1">
        <f t="shared" si="142"/>
        <v>-97.722638786949233</v>
      </c>
      <c r="G829" s="1">
        <f t="shared" si="139"/>
        <v>3.6274147765833245E-43</v>
      </c>
      <c r="H829" s="1">
        <f t="shared" si="132"/>
        <v>3.5605717700100902E-44</v>
      </c>
      <c r="I829">
        <f t="shared" si="133"/>
        <v>60</v>
      </c>
      <c r="J829">
        <f t="shared" si="134"/>
        <v>742</v>
      </c>
      <c r="K829" s="5">
        <f t="shared" si="135"/>
        <v>0</v>
      </c>
      <c r="L829">
        <f t="shared" si="136"/>
        <v>85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-95.842302912727689</v>
      </c>
      <c r="F830" s="1">
        <f t="shared" si="142"/>
        <v>-97.844335721926754</v>
      </c>
      <c r="G830" s="1">
        <f t="shared" si="139"/>
        <v>3.2117735000998142E-43</v>
      </c>
      <c r="H830" s="1">
        <f t="shared" si="132"/>
        <v>3.152589588029763E-44</v>
      </c>
      <c r="I830">
        <f t="shared" si="133"/>
        <v>60</v>
      </c>
      <c r="J830">
        <f t="shared" si="134"/>
        <v>743</v>
      </c>
      <c r="K830" s="5">
        <f t="shared" si="135"/>
        <v>0</v>
      </c>
      <c r="L830">
        <f t="shared" si="136"/>
        <v>85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-95.96399984770521</v>
      </c>
      <c r="F831" s="1">
        <f t="shared" si="142"/>
        <v>-97.966032656904275</v>
      </c>
      <c r="G831" s="1">
        <f t="shared" si="139"/>
        <v>2.8437577865467065E-43</v>
      </c>
      <c r="H831" s="1">
        <f t="shared" si="132"/>
        <v>2.7913553644013489E-44</v>
      </c>
      <c r="I831">
        <f t="shared" si="133"/>
        <v>60</v>
      </c>
      <c r="J831">
        <f t="shared" si="134"/>
        <v>744</v>
      </c>
      <c r="K831" s="5">
        <f t="shared" si="135"/>
        <v>0</v>
      </c>
      <c r="L831">
        <f t="shared" si="136"/>
        <v>85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-96.085696782682732</v>
      </c>
      <c r="F832" s="1">
        <f t="shared" si="142"/>
        <v>-98.087729591881796</v>
      </c>
      <c r="G832" s="1">
        <f t="shared" si="139"/>
        <v>2.5179105401715594E-43</v>
      </c>
      <c r="H832" s="1">
        <f t="shared" si="132"/>
        <v>2.4715125622303571E-44</v>
      </c>
      <c r="I832">
        <f t="shared" si="133"/>
        <v>60</v>
      </c>
      <c r="J832">
        <f t="shared" si="134"/>
        <v>745</v>
      </c>
      <c r="K832" s="5">
        <f t="shared" si="135"/>
        <v>0</v>
      </c>
      <c r="L832">
        <f t="shared" si="136"/>
        <v>85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-96.207393717660253</v>
      </c>
      <c r="F833" s="1">
        <f t="shared" si="142"/>
        <v>-98.209426526859318</v>
      </c>
      <c r="G833" s="1">
        <f t="shared" si="139"/>
        <v>2.2293999574435651E-43</v>
      </c>
      <c r="H833" s="1">
        <f t="shared" si="132"/>
        <v>2.1883184144747925E-44</v>
      </c>
      <c r="I833">
        <f t="shared" si="133"/>
        <v>60</v>
      </c>
      <c r="J833">
        <f t="shared" si="134"/>
        <v>746</v>
      </c>
      <c r="K833" s="5">
        <f t="shared" si="135"/>
        <v>0</v>
      </c>
      <c r="L833">
        <f t="shared" si="136"/>
        <v>85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-96.329090652637774</v>
      </c>
      <c r="F834" s="1">
        <f t="shared" si="142"/>
        <v>-98.331123461836839</v>
      </c>
      <c r="G834" s="1">
        <f t="shared" si="139"/>
        <v>1.973947878986487E-43</v>
      </c>
      <c r="H834" s="1">
        <f t="shared" si="132"/>
        <v>1.9375735961495529E-44</v>
      </c>
      <c r="I834">
        <f t="shared" si="133"/>
        <v>60</v>
      </c>
      <c r="J834">
        <f t="shared" si="134"/>
        <v>747</v>
      </c>
      <c r="K834" s="5">
        <f t="shared" si="135"/>
        <v>0</v>
      </c>
      <c r="L834">
        <f t="shared" si="136"/>
        <v>85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-96.450787587615295</v>
      </c>
      <c r="F835" s="1">
        <f t="shared" si="142"/>
        <v>-98.45282039681436</v>
      </c>
      <c r="G835" s="1">
        <f t="shared" si="139"/>
        <v>1.7477663511859496E-43</v>
      </c>
      <c r="H835" s="1">
        <f t="shared" si="132"/>
        <v>1.7155599549240811E-44</v>
      </c>
      <c r="I835">
        <f t="shared" si="133"/>
        <v>60</v>
      </c>
      <c r="J835">
        <f t="shared" si="134"/>
        <v>748</v>
      </c>
      <c r="K835" s="5">
        <f t="shared" si="135"/>
        <v>0</v>
      </c>
      <c r="L835">
        <f t="shared" si="136"/>
        <v>85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-96.572484522592816</v>
      </c>
      <c r="F836" s="1">
        <f t="shared" si="142"/>
        <v>-98.574517331791881</v>
      </c>
      <c r="G836" s="1">
        <f t="shared" si="139"/>
        <v>1.547501456779224E-43</v>
      </c>
      <c r="H836" s="1">
        <f t="shared" si="132"/>
        <v>1.5189853767556945E-44</v>
      </c>
      <c r="I836">
        <f t="shared" si="133"/>
        <v>60</v>
      </c>
      <c r="J836">
        <f t="shared" si="134"/>
        <v>749</v>
      </c>
      <c r="K836" s="5">
        <f t="shared" si="135"/>
        <v>0</v>
      </c>
      <c r="L836">
        <f t="shared" si="136"/>
        <v>85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-96.694181457570338</v>
      </c>
      <c r="F837" s="1">
        <f t="shared" si="142"/>
        <v>-98.696214266769402</v>
      </c>
      <c r="G837" s="1">
        <f t="shared" si="139"/>
        <v>1.3701835815232693E-43</v>
      </c>
      <c r="H837" s="1">
        <f t="shared" si="132"/>
        <v>1.3449349690024359E-44</v>
      </c>
      <c r="I837">
        <f t="shared" si="133"/>
        <v>60</v>
      </c>
      <c r="J837">
        <f t="shared" si="134"/>
        <v>750</v>
      </c>
      <c r="K837" s="5">
        <f t="shared" si="135"/>
        <v>0</v>
      </c>
      <c r="L837">
        <f t="shared" si="136"/>
        <v>85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-96.815878392547859</v>
      </c>
      <c r="F838" s="1">
        <f t="shared" si="142"/>
        <v>-98.817911201746924</v>
      </c>
      <c r="G838" s="1">
        <f t="shared" si="139"/>
        <v>1.2131833794737262E-43</v>
      </c>
      <c r="H838" s="1">
        <f t="shared" si="132"/>
        <v>1.1908278371375717E-44</v>
      </c>
      <c r="I838">
        <f t="shared" si="133"/>
        <v>60</v>
      </c>
      <c r="J838">
        <f t="shared" si="134"/>
        <v>751</v>
      </c>
      <c r="K838" s="5">
        <f t="shared" si="135"/>
        <v>0</v>
      </c>
      <c r="L838">
        <f t="shared" si="136"/>
        <v>85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-96.93757532752538</v>
      </c>
      <c r="F839" s="1">
        <f t="shared" si="142"/>
        <v>-98.939608136724445</v>
      </c>
      <c r="G839" s="1">
        <f t="shared" si="139"/>
        <v>1.0741727839090269E-43</v>
      </c>
      <c r="H839" s="1">
        <f t="shared" si="132"/>
        <v>1.0543788141322235E-44</v>
      </c>
      <c r="I839">
        <f t="shared" si="133"/>
        <v>60</v>
      </c>
      <c r="J839">
        <f t="shared" si="134"/>
        <v>752</v>
      </c>
      <c r="K839" s="5">
        <f t="shared" si="135"/>
        <v>0</v>
      </c>
      <c r="L839">
        <f t="shared" si="136"/>
        <v>85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-97.059272262502901</v>
      </c>
      <c r="F840" s="1">
        <f t="shared" si="142"/>
        <v>-99.061305071701966</v>
      </c>
      <c r="G840" s="1">
        <f t="shared" si="139"/>
        <v>9.5109048575278294E-44</v>
      </c>
      <c r="H840" s="1">
        <f t="shared" si="132"/>
        <v>9.3356457501290489E-45</v>
      </c>
      <c r="I840">
        <f t="shared" si="133"/>
        <v>60</v>
      </c>
      <c r="J840">
        <f t="shared" si="134"/>
        <v>753</v>
      </c>
      <c r="K840" s="5">
        <f t="shared" si="135"/>
        <v>0</v>
      </c>
      <c r="L840">
        <f t="shared" si="136"/>
        <v>85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-97.180969197480422</v>
      </c>
      <c r="F841" s="1">
        <f t="shared" si="142"/>
        <v>-99.183002006679487</v>
      </c>
      <c r="G841" s="1">
        <f t="shared" si="139"/>
        <v>8.4211136759360875E-44</v>
      </c>
      <c r="H841" s="1">
        <f t="shared" si="132"/>
        <v>8.2659363412600846E-45</v>
      </c>
      <c r="I841">
        <f t="shared" si="133"/>
        <v>60</v>
      </c>
      <c r="J841">
        <f t="shared" si="134"/>
        <v>754</v>
      </c>
      <c r="K841" s="5">
        <f t="shared" si="135"/>
        <v>0</v>
      </c>
      <c r="L841">
        <f t="shared" si="136"/>
        <v>85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-97.302666132457944</v>
      </c>
      <c r="F842" s="1">
        <f t="shared" si="142"/>
        <v>-99.304698941657009</v>
      </c>
      <c r="G842" s="1">
        <f t="shared" si="139"/>
        <v>7.4561944005684001E-44</v>
      </c>
      <c r="H842" s="1">
        <f t="shared" si="132"/>
        <v>7.3187978021573559E-45</v>
      </c>
      <c r="I842">
        <f t="shared" si="133"/>
        <v>60</v>
      </c>
      <c r="J842">
        <f t="shared" si="134"/>
        <v>755</v>
      </c>
      <c r="K842" s="5">
        <f t="shared" si="135"/>
        <v>0</v>
      </c>
      <c r="L842">
        <f t="shared" si="136"/>
        <v>85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-97.424363067435465</v>
      </c>
      <c r="F843" s="1">
        <f t="shared" si="142"/>
        <v>-99.42639587663453</v>
      </c>
      <c r="G843" s="1">
        <f t="shared" si="139"/>
        <v>6.6018387921699278E-44</v>
      </c>
      <c r="H843" s="1">
        <f t="shared" si="132"/>
        <v>6.4801855539934824E-45</v>
      </c>
      <c r="I843">
        <f t="shared" si="133"/>
        <v>60</v>
      </c>
      <c r="J843">
        <f t="shared" si="134"/>
        <v>756</v>
      </c>
      <c r="K843" s="5">
        <f t="shared" si="135"/>
        <v>0</v>
      </c>
      <c r="L843">
        <f t="shared" si="136"/>
        <v>85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-97.546060002412986</v>
      </c>
      <c r="F844" s="1">
        <f t="shared" si="142"/>
        <v>-99.548092811612051</v>
      </c>
      <c r="G844" s="1">
        <f t="shared" si="139"/>
        <v>5.8453780972337823E-44</v>
      </c>
      <c r="H844" s="1">
        <f t="shared" si="132"/>
        <v>5.7376642925983889E-45</v>
      </c>
      <c r="I844">
        <f t="shared" si="133"/>
        <v>60</v>
      </c>
      <c r="J844">
        <f t="shared" si="134"/>
        <v>757</v>
      </c>
      <c r="K844" s="5">
        <f t="shared" si="135"/>
        <v>0</v>
      </c>
      <c r="L844">
        <f t="shared" si="136"/>
        <v>85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-97.667756937390507</v>
      </c>
      <c r="F845" s="1">
        <f t="shared" si="142"/>
        <v>-99.669789746589572</v>
      </c>
      <c r="G845" s="1">
        <f t="shared" si="139"/>
        <v>5.1755951902590704E-44</v>
      </c>
      <c r="H845" s="1">
        <f t="shared" si="132"/>
        <v>5.0802235924048155E-45</v>
      </c>
      <c r="I845">
        <f t="shared" si="133"/>
        <v>60</v>
      </c>
      <c r="J845">
        <f t="shared" si="134"/>
        <v>758</v>
      </c>
      <c r="K845" s="5">
        <f t="shared" si="135"/>
        <v>0</v>
      </c>
      <c r="L845">
        <f t="shared" si="136"/>
        <v>85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-97.789453872368028</v>
      </c>
      <c r="F846" s="1">
        <f t="shared" si="142"/>
        <v>-99.791486681567093</v>
      </c>
      <c r="G846" s="1">
        <f t="shared" si="139"/>
        <v>4.5825582413752123E-44</v>
      </c>
      <c r="H846" s="1">
        <f t="shared" si="132"/>
        <v>4.4981146391084242E-45</v>
      </c>
      <c r="I846">
        <f t="shared" si="133"/>
        <v>60</v>
      </c>
      <c r="J846">
        <f t="shared" si="134"/>
        <v>759</v>
      </c>
      <c r="K846" s="5">
        <f t="shared" si="135"/>
        <v>0</v>
      </c>
      <c r="L846">
        <f t="shared" si="136"/>
        <v>85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-97.91115080734555</v>
      </c>
      <c r="F847" s="1">
        <f t="shared" si="142"/>
        <v>-99.913183616544615</v>
      </c>
      <c r="G847" s="1">
        <f t="shared" si="139"/>
        <v>4.0574734428842964E-44</v>
      </c>
      <c r="H847" s="1">
        <f t="shared" si="132"/>
        <v>3.9827056700439111E-45</v>
      </c>
      <c r="I847">
        <f t="shared" si="133"/>
        <v>60</v>
      </c>
      <c r="J847">
        <f t="shared" si="134"/>
        <v>760</v>
      </c>
      <c r="K847" s="5">
        <f t="shared" si="135"/>
        <v>0</v>
      </c>
      <c r="L847">
        <f t="shared" si="136"/>
        <v>85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-98.032847742323071</v>
      </c>
      <c r="F848" s="1">
        <f t="shared" si="142"/>
        <v>-100.03488055152214</v>
      </c>
      <c r="G848" s="1">
        <f t="shared" si="139"/>
        <v>3.5925546108871324E-44</v>
      </c>
      <c r="H848" s="1">
        <f t="shared" si="132"/>
        <v>3.5263539786847082E-45</v>
      </c>
      <c r="I848">
        <f t="shared" si="133"/>
        <v>60</v>
      </c>
      <c r="J848">
        <f t="shared" si="134"/>
        <v>761</v>
      </c>
      <c r="K848" s="5">
        <f t="shared" si="135"/>
        <v>0</v>
      </c>
      <c r="L848">
        <f t="shared" si="136"/>
        <v>85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-98.154544677300592</v>
      </c>
      <c r="F849" s="1">
        <f t="shared" si="142"/>
        <v>-100.15657748649966</v>
      </c>
      <c r="G849" s="1">
        <f t="shared" si="139"/>
        <v>3.1809077283896438E-44</v>
      </c>
      <c r="H849" s="1">
        <f t="shared" si="132"/>
        <v>3.1222925852937474E-45</v>
      </c>
      <c r="I849">
        <f t="shared" si="133"/>
        <v>60</v>
      </c>
      <c r="J849">
        <f t="shared" si="134"/>
        <v>762</v>
      </c>
      <c r="K849" s="5">
        <f t="shared" si="135"/>
        <v>0</v>
      </c>
      <c r="L849">
        <f t="shared" si="136"/>
        <v>85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-98.276241612278113</v>
      </c>
      <c r="F850" s="1">
        <f t="shared" si="142"/>
        <v>-100.27827442147718</v>
      </c>
      <c r="G850" s="1">
        <f t="shared" si="139"/>
        <v>2.8164287178449931E-44</v>
      </c>
      <c r="H850" s="1">
        <f t="shared" si="132"/>
        <v>2.7645298932288348E-45</v>
      </c>
      <c r="I850">
        <f t="shared" si="133"/>
        <v>60</v>
      </c>
      <c r="J850">
        <f t="shared" si="134"/>
        <v>763</v>
      </c>
      <c r="K850" s="5">
        <f t="shared" si="135"/>
        <v>0</v>
      </c>
      <c r="L850">
        <f t="shared" si="136"/>
        <v>85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-98.397938547255634</v>
      </c>
      <c r="F851" s="1">
        <f t="shared" si="142"/>
        <v>-100.3999713564547</v>
      </c>
      <c r="G851" s="1">
        <f t="shared" si="139"/>
        <v>2.4937129272585843E-44</v>
      </c>
      <c r="H851" s="1">
        <f t="shared" si="132"/>
        <v>2.4477608429630276E-45</v>
      </c>
      <c r="I851">
        <f t="shared" si="133"/>
        <v>60</v>
      </c>
      <c r="J851">
        <f t="shared" si="134"/>
        <v>764</v>
      </c>
      <c r="K851" s="5">
        <f t="shared" si="135"/>
        <v>0</v>
      </c>
      <c r="L851">
        <f t="shared" si="136"/>
        <v>85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-98.519635482233156</v>
      </c>
      <c r="F852" s="1">
        <f t="shared" si="142"/>
        <v>-100.52166829143222</v>
      </c>
      <c r="G852" s="1">
        <f t="shared" si="139"/>
        <v>2.2079749876768682E-44</v>
      </c>
      <c r="H852" s="1">
        <f t="shared" si="132"/>
        <v>2.1672882463735107E-45</v>
      </c>
      <c r="I852">
        <f t="shared" si="133"/>
        <v>60</v>
      </c>
      <c r="J852">
        <f t="shared" si="134"/>
        <v>765</v>
      </c>
      <c r="K852" s="5">
        <f t="shared" si="135"/>
        <v>0</v>
      </c>
      <c r="L852">
        <f t="shared" si="136"/>
        <v>85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-98.641332417210677</v>
      </c>
      <c r="F853" s="1">
        <f t="shared" si="142"/>
        <v>-100.64336522640974</v>
      </c>
      <c r="G853" s="1">
        <f t="shared" si="139"/>
        <v>1.9549778536722244E-44</v>
      </c>
      <c r="H853" s="1">
        <f t="shared" si="132"/>
        <v>1.9189531348098768E-45</v>
      </c>
      <c r="I853">
        <f t="shared" si="133"/>
        <v>60</v>
      </c>
      <c r="J853">
        <f t="shared" si="134"/>
        <v>766</v>
      </c>
      <c r="K853" s="5">
        <f t="shared" si="135"/>
        <v>0</v>
      </c>
      <c r="L853">
        <f t="shared" si="136"/>
        <v>85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-98.763029352188198</v>
      </c>
      <c r="F854" s="1">
        <f t="shared" si="142"/>
        <v>-100.76506216138726</v>
      </c>
      <c r="G854" s="1">
        <f t="shared" si="139"/>
        <v>1.7309699746056129E-44</v>
      </c>
      <c r="H854" s="1">
        <f t="shared" si="132"/>
        <v>1.6990730881129093E-45</v>
      </c>
      <c r="I854">
        <f t="shared" si="133"/>
        <v>60</v>
      </c>
      <c r="J854">
        <f t="shared" si="134"/>
        <v>767</v>
      </c>
      <c r="K854" s="5">
        <f t="shared" si="135"/>
        <v>0</v>
      </c>
      <c r="L854">
        <f t="shared" si="136"/>
        <v>85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-98.884726287165719</v>
      </c>
      <c r="F855" s="1">
        <f t="shared" si="142"/>
        <v>-100.88675909636478</v>
      </c>
      <c r="G855" s="1">
        <f t="shared" si="139"/>
        <v>1.5326296650153841E-44</v>
      </c>
      <c r="H855" s="1">
        <f t="shared" ref="H855:H918" si="143">G855/$G$21</f>
        <v>1.5043876300999696E-45</v>
      </c>
      <c r="I855">
        <f t="shared" ref="I855:I918" si="144">IF($F$11&lt;=D855, IF(D855&lt;=$A$15,D855-$F$11,$C$11),0)</f>
        <v>60</v>
      </c>
      <c r="J855">
        <f t="shared" ref="J855:J918" si="145">IF(D855&lt;=$A$15,0,D855-$A$15)</f>
        <v>768</v>
      </c>
      <c r="K855" s="5">
        <f t="shared" ref="K855:K918" si="146">IF(D855&lt;$F$11,H855,0)</f>
        <v>0</v>
      </c>
      <c r="L855">
        <f t="shared" ref="L855:L918" si="147">IF(D855&lt;$A$15,$D$11,$D$11*(1-$H$11))</f>
        <v>85</v>
      </c>
      <c r="M855">
        <f t="shared" ref="M855:M918" si="148">IF(D855&lt;$A$15,0,1)</f>
        <v>1</v>
      </c>
      <c r="N855">
        <f t="shared" ref="N855:N918" si="149">IF(SUM(I855:J855)&lt;=($G$11/60*$F$11/($E$11/60)),1,0)</f>
        <v>0</v>
      </c>
    </row>
    <row r="856" spans="4:14" x14ac:dyDescent="0.2">
      <c r="D856">
        <f t="shared" si="140"/>
        <v>833</v>
      </c>
      <c r="E856" s="1">
        <f t="shared" si="141"/>
        <v>-99.006423222143241</v>
      </c>
      <c r="F856" s="1">
        <f t="shared" si="142"/>
        <v>-101.00845603134231</v>
      </c>
      <c r="G856" s="1">
        <f t="shared" ref="G856:G919" si="150">EXP(F856)</f>
        <v>1.3570158492323696E-44</v>
      </c>
      <c r="H856" s="1">
        <f t="shared" si="143"/>
        <v>1.3320098808176796E-45</v>
      </c>
      <c r="I856">
        <f t="shared" si="144"/>
        <v>60</v>
      </c>
      <c r="J856">
        <f t="shared" si="145"/>
        <v>769</v>
      </c>
      <c r="K856" s="5">
        <f t="shared" si="146"/>
        <v>0</v>
      </c>
      <c r="L856">
        <f t="shared" si="147"/>
        <v>85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IF($H$11=1,IF(D857&lt;=$A$15, E856+LN($D$11)-LN(60/$E$11)-LN(MIN(D857,$F$11)), E856-LN(60/$E$11)-LN(MIN(D857,$F$11))), IF(D857&lt;=$A$15, E856+LN($D$11)-LN(60/$E$11)-LN(MIN(D857,$F$11)), E856+LN($D$11)+LN(1-$H$11)-LN(60/$E$11)-LN(MIN(D857,$F$11))))</f>
        <v>-99.128120157120762</v>
      </c>
      <c r="F857" s="1">
        <f t="shared" ref="F857:F920" si="153">E857-$E$21</f>
        <v>-101.13015296631983</v>
      </c>
      <c r="G857" s="1">
        <f t="shared" si="150"/>
        <v>1.2015244498411587E-44</v>
      </c>
      <c r="H857" s="1">
        <f t="shared" si="143"/>
        <v>1.1793837486406519E-45</v>
      </c>
      <c r="I857">
        <f t="shared" si="144"/>
        <v>60</v>
      </c>
      <c r="J857">
        <f t="shared" si="145"/>
        <v>770</v>
      </c>
      <c r="K857" s="5">
        <f t="shared" si="146"/>
        <v>0</v>
      </c>
      <c r="L857">
        <f t="shared" si="147"/>
        <v>85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-99.249817092098283</v>
      </c>
      <c r="F858" s="1">
        <f t="shared" si="153"/>
        <v>-101.25184990129735</v>
      </c>
      <c r="G858" s="1">
        <f t="shared" si="150"/>
        <v>1.0638497732968578E-44</v>
      </c>
      <c r="H858" s="1">
        <f t="shared" si="143"/>
        <v>1.0442460274422425E-45</v>
      </c>
      <c r="I858">
        <f t="shared" si="144"/>
        <v>60</v>
      </c>
      <c r="J858">
        <f t="shared" si="145"/>
        <v>771</v>
      </c>
      <c r="K858" s="5">
        <f t="shared" si="146"/>
        <v>0</v>
      </c>
      <c r="L858">
        <f t="shared" si="147"/>
        <v>85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-99.371514027075804</v>
      </c>
      <c r="F859" s="1">
        <f t="shared" si="153"/>
        <v>-101.37354683627487</v>
      </c>
      <c r="G859" s="1">
        <f t="shared" si="150"/>
        <v>9.4195032010659151E-45</v>
      </c>
      <c r="H859" s="1">
        <f t="shared" si="143"/>
        <v>9.2459283679781757E-46</v>
      </c>
      <c r="I859">
        <f t="shared" si="144"/>
        <v>60</v>
      </c>
      <c r="J859">
        <f t="shared" si="145"/>
        <v>772</v>
      </c>
      <c r="K859" s="5">
        <f t="shared" si="146"/>
        <v>0</v>
      </c>
      <c r="L859">
        <f t="shared" si="147"/>
        <v>85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-99.493210962053325</v>
      </c>
      <c r="F860" s="1">
        <f t="shared" si="153"/>
        <v>-101.49524377125239</v>
      </c>
      <c r="G860" s="1">
        <f t="shared" si="150"/>
        <v>8.3401851259437673E-45</v>
      </c>
      <c r="H860" s="1">
        <f t="shared" si="143"/>
        <v>8.1864990758139981E-46</v>
      </c>
      <c r="I860">
        <f t="shared" si="144"/>
        <v>60</v>
      </c>
      <c r="J860">
        <f t="shared" si="145"/>
        <v>773</v>
      </c>
      <c r="K860" s="5">
        <f t="shared" si="146"/>
        <v>0</v>
      </c>
      <c r="L860">
        <f t="shared" si="147"/>
        <v>85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-99.614907897030847</v>
      </c>
      <c r="F861" s="1">
        <f t="shared" si="153"/>
        <v>-101.61694070622991</v>
      </c>
      <c r="G861" s="1">
        <f t="shared" si="150"/>
        <v>7.384538913596033E-45</v>
      </c>
      <c r="H861" s="1">
        <f t="shared" si="143"/>
        <v>7.2484627233769668E-46</v>
      </c>
      <c r="I861">
        <f t="shared" si="144"/>
        <v>60</v>
      </c>
      <c r="J861">
        <f t="shared" si="145"/>
        <v>774</v>
      </c>
      <c r="K861" s="5">
        <f t="shared" si="146"/>
        <v>0</v>
      </c>
      <c r="L861">
        <f t="shared" si="147"/>
        <v>85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-99.736604832008368</v>
      </c>
      <c r="F862" s="1">
        <f t="shared" si="153"/>
        <v>-101.73863764120743</v>
      </c>
      <c r="G862" s="1">
        <f t="shared" si="150"/>
        <v>6.5383938297464788E-45</v>
      </c>
      <c r="H862" s="1">
        <f t="shared" si="143"/>
        <v>6.4179097029900138E-46</v>
      </c>
      <c r="I862">
        <f t="shared" si="144"/>
        <v>60</v>
      </c>
      <c r="J862">
        <f t="shared" si="145"/>
        <v>775</v>
      </c>
      <c r="K862" s="5">
        <f t="shared" si="146"/>
        <v>0</v>
      </c>
      <c r="L862">
        <f t="shared" si="147"/>
        <v>85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-99.858301766985889</v>
      </c>
      <c r="F863" s="1">
        <f t="shared" si="153"/>
        <v>-101.86033457618495</v>
      </c>
      <c r="G863" s="1">
        <f t="shared" si="150"/>
        <v>5.7892028700880199E-45</v>
      </c>
      <c r="H863" s="1">
        <f t="shared" si="143"/>
        <v>5.6825242161890672E-46</v>
      </c>
      <c r="I863">
        <f t="shared" si="144"/>
        <v>60</v>
      </c>
      <c r="J863">
        <f t="shared" si="145"/>
        <v>776</v>
      </c>
      <c r="K863" s="5">
        <f t="shared" si="146"/>
        <v>0</v>
      </c>
      <c r="L863">
        <f t="shared" si="147"/>
        <v>85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-99.97999870196341</v>
      </c>
      <c r="F864" s="1">
        <f t="shared" si="153"/>
        <v>-101.98203151116248</v>
      </c>
      <c r="G864" s="1">
        <f t="shared" si="150"/>
        <v>5.1258567078904269E-45</v>
      </c>
      <c r="H864" s="1">
        <f t="shared" si="143"/>
        <v>5.0314016497507291E-46</v>
      </c>
      <c r="I864">
        <f t="shared" si="144"/>
        <v>60</v>
      </c>
      <c r="J864">
        <f t="shared" si="145"/>
        <v>777</v>
      </c>
      <c r="K864" s="5">
        <f t="shared" si="146"/>
        <v>0</v>
      </c>
      <c r="L864">
        <f t="shared" si="147"/>
        <v>85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-100.10169563694093</v>
      </c>
      <c r="F865" s="1">
        <f t="shared" si="153"/>
        <v>-102.10372844614</v>
      </c>
      <c r="G865" s="1">
        <f t="shared" si="150"/>
        <v>4.5385189601113089E-45</v>
      </c>
      <c r="H865" s="1">
        <f t="shared" si="143"/>
        <v>4.4548868773834515E-46</v>
      </c>
      <c r="I865">
        <f t="shared" si="144"/>
        <v>60</v>
      </c>
      <c r="J865">
        <f t="shared" si="145"/>
        <v>778</v>
      </c>
      <c r="K865" s="5">
        <f t="shared" si="146"/>
        <v>0</v>
      </c>
      <c r="L865">
        <f t="shared" si="147"/>
        <v>85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-100.22339257191845</v>
      </c>
      <c r="F866" s="1">
        <f t="shared" si="153"/>
        <v>-102.22542538111752</v>
      </c>
      <c r="G866" s="1">
        <f t="shared" si="150"/>
        <v>4.0184803292652157E-45</v>
      </c>
      <c r="H866" s="1">
        <f t="shared" si="143"/>
        <v>3.9444310893499253E-46</v>
      </c>
      <c r="I866">
        <f t="shared" si="144"/>
        <v>60</v>
      </c>
      <c r="J866">
        <f t="shared" si="145"/>
        <v>779</v>
      </c>
      <c r="K866" s="5">
        <f t="shared" si="146"/>
        <v>0</v>
      </c>
      <c r="L866">
        <f t="shared" si="147"/>
        <v>85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-100.34508950689597</v>
      </c>
      <c r="F867" s="1">
        <f t="shared" si="153"/>
        <v>-102.34712231609504</v>
      </c>
      <c r="G867" s="1">
        <f t="shared" si="150"/>
        <v>3.5580294582035715E-45</v>
      </c>
      <c r="H867" s="1">
        <f t="shared" si="143"/>
        <v>3.492465027028575E-46</v>
      </c>
      <c r="I867">
        <f t="shared" si="144"/>
        <v>60</v>
      </c>
      <c r="J867">
        <f t="shared" si="145"/>
        <v>780</v>
      </c>
      <c r="K867" s="5">
        <f t="shared" si="146"/>
        <v>0</v>
      </c>
      <c r="L867">
        <f t="shared" si="147"/>
        <v>85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-100.4667864418735</v>
      </c>
      <c r="F868" s="1">
        <f t="shared" si="153"/>
        <v>-102.46881925107256</v>
      </c>
      <c r="G868" s="1">
        <f t="shared" si="150"/>
        <v>3.1503385827844076E-45</v>
      </c>
      <c r="H868" s="1">
        <f t="shared" si="143"/>
        <v>3.0922867426815463E-46</v>
      </c>
      <c r="I868">
        <f t="shared" si="144"/>
        <v>60</v>
      </c>
      <c r="J868">
        <f t="shared" si="145"/>
        <v>781</v>
      </c>
      <c r="K868" s="5">
        <f t="shared" si="146"/>
        <v>0</v>
      </c>
      <c r="L868">
        <f t="shared" si="147"/>
        <v>85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-100.58848337685102</v>
      </c>
      <c r="F869" s="1">
        <f t="shared" si="153"/>
        <v>-102.59051618605008</v>
      </c>
      <c r="G869" s="1">
        <f t="shared" si="150"/>
        <v>2.7893622868403567E-45</v>
      </c>
      <c r="H869" s="1">
        <f t="shared" si="143"/>
        <v>2.7379622200826151E-46</v>
      </c>
      <c r="I869">
        <f t="shared" si="144"/>
        <v>60</v>
      </c>
      <c r="J869">
        <f t="shared" si="145"/>
        <v>782</v>
      </c>
      <c r="K869" s="5">
        <f t="shared" si="146"/>
        <v>0</v>
      </c>
      <c r="L869">
        <f t="shared" si="147"/>
        <v>85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-100.71018031182854</v>
      </c>
      <c r="F870" s="1">
        <f t="shared" si="153"/>
        <v>-102.7122131210276</v>
      </c>
      <c r="G870" s="1">
        <f t="shared" si="150"/>
        <v>2.4697478581398959E-45</v>
      </c>
      <c r="H870" s="1">
        <f t="shared" si="143"/>
        <v>2.424237382364812E-46</v>
      </c>
      <c r="I870">
        <f t="shared" si="144"/>
        <v>60</v>
      </c>
      <c r="J870">
        <f t="shared" si="145"/>
        <v>783</v>
      </c>
      <c r="K870" s="5">
        <f t="shared" si="146"/>
        <v>0</v>
      </c>
      <c r="L870">
        <f t="shared" si="147"/>
        <v>85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-100.83187724680606</v>
      </c>
      <c r="F871" s="1">
        <f t="shared" si="153"/>
        <v>-102.83391005600512</v>
      </c>
      <c r="G871" s="1">
        <f t="shared" si="150"/>
        <v>2.1867559160613631E-45</v>
      </c>
      <c r="H871" s="1">
        <f t="shared" si="143"/>
        <v>2.1464601823021744E-46</v>
      </c>
      <c r="I871">
        <f t="shared" si="144"/>
        <v>60</v>
      </c>
      <c r="J871">
        <f t="shared" si="145"/>
        <v>784</v>
      </c>
      <c r="K871" s="5">
        <f t="shared" si="146"/>
        <v>0</v>
      </c>
      <c r="L871">
        <f t="shared" si="147"/>
        <v>85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-100.95357418178358</v>
      </c>
      <c r="F872" s="1">
        <f t="shared" si="153"/>
        <v>-102.95560699098264</v>
      </c>
      <c r="G872" s="1">
        <f t="shared" si="150"/>
        <v>1.9361901340126624E-45</v>
      </c>
      <c r="H872" s="1">
        <f t="shared" si="143"/>
        <v>1.9005116197467141E-46</v>
      </c>
      <c r="I872">
        <f t="shared" si="144"/>
        <v>60</v>
      </c>
      <c r="J872">
        <f t="shared" si="145"/>
        <v>785</v>
      </c>
      <c r="K872" s="5">
        <f t="shared" si="146"/>
        <v>0</v>
      </c>
      <c r="L872">
        <f t="shared" si="147"/>
        <v>85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-101.0752711167611</v>
      </c>
      <c r="F873" s="1">
        <f t="shared" si="153"/>
        <v>-103.07730392596017</v>
      </c>
      <c r="G873" s="1">
        <f t="shared" si="150"/>
        <v>1.7143350144903756E-45</v>
      </c>
      <c r="H873" s="1">
        <f t="shared" si="143"/>
        <v>1.6827446633174007E-46</v>
      </c>
      <c r="I873">
        <f t="shared" si="144"/>
        <v>60</v>
      </c>
      <c r="J873">
        <f t="shared" si="145"/>
        <v>786</v>
      </c>
      <c r="K873" s="5">
        <f t="shared" si="146"/>
        <v>0</v>
      </c>
      <c r="L873">
        <f t="shared" si="147"/>
        <v>85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-101.19696805173862</v>
      </c>
      <c r="F874" s="1">
        <f t="shared" si="153"/>
        <v>-103.19900086093769</v>
      </c>
      <c r="G874" s="1">
        <f t="shared" si="150"/>
        <v>1.517900794080018E-45</v>
      </c>
      <c r="H874" s="1">
        <f t="shared" si="143"/>
        <v>1.4899301706456132E-46</v>
      </c>
      <c r="I874">
        <f t="shared" si="144"/>
        <v>60</v>
      </c>
      <c r="J874">
        <f t="shared" si="145"/>
        <v>787</v>
      </c>
      <c r="K874" s="5">
        <f t="shared" si="146"/>
        <v>0</v>
      </c>
      <c r="L874">
        <f t="shared" si="147"/>
        <v>85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-101.31866498671614</v>
      </c>
      <c r="F875" s="1">
        <f t="shared" si="153"/>
        <v>-103.32069779591521</v>
      </c>
      <c r="G875" s="1">
        <f t="shared" si="150"/>
        <v>1.3439746614250139E-45</v>
      </c>
      <c r="H875" s="1">
        <f t="shared" si="143"/>
        <v>1.3192090052591347E-46</v>
      </c>
      <c r="I875">
        <f t="shared" si="144"/>
        <v>60</v>
      </c>
      <c r="J875">
        <f t="shared" si="145"/>
        <v>788</v>
      </c>
      <c r="K875" s="5">
        <f t="shared" si="146"/>
        <v>0</v>
      </c>
      <c r="L875">
        <f t="shared" si="147"/>
        <v>85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-101.44036192169366</v>
      </c>
      <c r="F876" s="1">
        <f t="shared" si="153"/>
        <v>-103.44239473089273</v>
      </c>
      <c r="G876" s="1">
        <f t="shared" si="150"/>
        <v>1.1899775648033961E-45</v>
      </c>
      <c r="H876" s="1">
        <f t="shared" si="143"/>
        <v>1.1680496400731905E-46</v>
      </c>
      <c r="I876">
        <f t="shared" si="144"/>
        <v>60</v>
      </c>
      <c r="J876">
        <f t="shared" si="145"/>
        <v>789</v>
      </c>
      <c r="K876" s="5">
        <f t="shared" si="146"/>
        <v>0</v>
      </c>
      <c r="L876">
        <f t="shared" si="147"/>
        <v>85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-101.56205885667119</v>
      </c>
      <c r="F877" s="1">
        <f t="shared" si="153"/>
        <v>-103.56409166587025</v>
      </c>
      <c r="G877" s="1">
        <f t="shared" si="150"/>
        <v>1.0536259688363387E-45</v>
      </c>
      <c r="H877" s="1">
        <f t="shared" si="143"/>
        <v>1.0342106188148025E-46</v>
      </c>
      <c r="I877">
        <f t="shared" si="144"/>
        <v>60</v>
      </c>
      <c r="J877">
        <f t="shared" si="145"/>
        <v>790</v>
      </c>
      <c r="K877" s="5">
        <f t="shared" si="146"/>
        <v>0</v>
      </c>
      <c r="L877">
        <f t="shared" si="147"/>
        <v>85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-101.68375579164871</v>
      </c>
      <c r="F878" s="1">
        <f t="shared" si="153"/>
        <v>-103.68578860084777</v>
      </c>
      <c r="G878" s="1">
        <f t="shared" si="150"/>
        <v>9.3289799324050697E-46</v>
      </c>
      <c r="H878" s="1">
        <f t="shared" si="143"/>
        <v>9.1570731874227175E-47</v>
      </c>
      <c r="I878">
        <f t="shared" si="144"/>
        <v>60</v>
      </c>
      <c r="J878">
        <f t="shared" si="145"/>
        <v>791</v>
      </c>
      <c r="K878" s="5">
        <f t="shared" si="146"/>
        <v>0</v>
      </c>
      <c r="L878">
        <f t="shared" si="147"/>
        <v>85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-101.80545272662623</v>
      </c>
      <c r="F879" s="1">
        <f t="shared" si="153"/>
        <v>-103.80748553582529</v>
      </c>
      <c r="G879" s="1">
        <f t="shared" si="150"/>
        <v>8.2600343151503101E-46</v>
      </c>
      <c r="H879" s="1">
        <f t="shared" si="143"/>
        <v>8.1078252180305204E-47</v>
      </c>
      <c r="I879">
        <f t="shared" si="144"/>
        <v>60</v>
      </c>
      <c r="J879">
        <f t="shared" si="145"/>
        <v>792</v>
      </c>
      <c r="K879" s="5">
        <f t="shared" si="146"/>
        <v>0</v>
      </c>
      <c r="L879">
        <f t="shared" si="147"/>
        <v>85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-101.92714966160375</v>
      </c>
      <c r="F880" s="1">
        <f t="shared" si="153"/>
        <v>-103.92918247080281</v>
      </c>
      <c r="G880" s="1">
        <f t="shared" si="150"/>
        <v>7.3135720498726605E-46</v>
      </c>
      <c r="H880" s="1">
        <f t="shared" si="143"/>
        <v>7.1788035784645136E-47</v>
      </c>
      <c r="I880">
        <f t="shared" si="144"/>
        <v>60</v>
      </c>
      <c r="J880">
        <f t="shared" si="145"/>
        <v>793</v>
      </c>
      <c r="K880" s="5">
        <f t="shared" si="146"/>
        <v>0</v>
      </c>
      <c r="L880">
        <f t="shared" si="147"/>
        <v>85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-102.04884659658127</v>
      </c>
      <c r="F881" s="1">
        <f t="shared" si="153"/>
        <v>-104.05087940578034</v>
      </c>
      <c r="G881" s="1">
        <f t="shared" si="150"/>
        <v>6.475558585824742E-46</v>
      </c>
      <c r="H881" s="1">
        <f t="shared" si="143"/>
        <v>6.3562323350987784E-47</v>
      </c>
      <c r="I881">
        <f t="shared" si="144"/>
        <v>60</v>
      </c>
      <c r="J881">
        <f t="shared" si="145"/>
        <v>794</v>
      </c>
      <c r="K881" s="5">
        <f t="shared" si="146"/>
        <v>0</v>
      </c>
      <c r="L881">
        <f t="shared" si="147"/>
        <v>85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-102.17054353155879</v>
      </c>
      <c r="F882" s="1">
        <f t="shared" si="153"/>
        <v>-104.17257634075786</v>
      </c>
      <c r="G882" s="1">
        <f t="shared" si="150"/>
        <v>5.7335674978656492E-46</v>
      </c>
      <c r="H882" s="1">
        <f t="shared" si="143"/>
        <v>5.6279140467020356E-47</v>
      </c>
      <c r="I882">
        <f t="shared" si="144"/>
        <v>60</v>
      </c>
      <c r="J882">
        <f t="shared" si="145"/>
        <v>795</v>
      </c>
      <c r="K882" s="5">
        <f t="shared" si="146"/>
        <v>0</v>
      </c>
      <c r="L882">
        <f t="shared" si="147"/>
        <v>85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-102.29224046653631</v>
      </c>
      <c r="F883" s="1">
        <f t="shared" si="153"/>
        <v>-104.29427327573538</v>
      </c>
      <c r="G883" s="1">
        <f t="shared" si="150"/>
        <v>5.0765962220685364E-46</v>
      </c>
      <c r="H883" s="1">
        <f t="shared" si="143"/>
        <v>4.9830488955174199E-47</v>
      </c>
      <c r="I883">
        <f t="shared" si="144"/>
        <v>60</v>
      </c>
      <c r="J883">
        <f t="shared" si="145"/>
        <v>796</v>
      </c>
      <c r="K883" s="5">
        <f t="shared" si="146"/>
        <v>0</v>
      </c>
      <c r="L883">
        <f t="shared" si="147"/>
        <v>85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-102.41393740151383</v>
      </c>
      <c r="F884" s="1">
        <f t="shared" si="153"/>
        <v>-104.4159702107129</v>
      </c>
      <c r="G884" s="1">
        <f t="shared" si="150"/>
        <v>4.4949029049565095E-46</v>
      </c>
      <c r="H884" s="1">
        <f t="shared" si="143"/>
        <v>4.4120745429060423E-47</v>
      </c>
      <c r="I884">
        <f t="shared" si="144"/>
        <v>60</v>
      </c>
      <c r="J884">
        <f t="shared" si="145"/>
        <v>797</v>
      </c>
      <c r="K884" s="5">
        <f t="shared" si="146"/>
        <v>0</v>
      </c>
      <c r="L884">
        <f t="shared" si="147"/>
        <v>85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-102.53563433649136</v>
      </c>
      <c r="F885" s="1">
        <f t="shared" si="153"/>
        <v>-104.53766714569042</v>
      </c>
      <c r="G885" s="1">
        <f t="shared" si="150"/>
        <v>3.9798619470969042E-46</v>
      </c>
      <c r="H885" s="1">
        <f t="shared" si="143"/>
        <v>3.9065243348647198E-47</v>
      </c>
      <c r="I885">
        <f t="shared" si="144"/>
        <v>60</v>
      </c>
      <c r="J885">
        <f t="shared" si="145"/>
        <v>798</v>
      </c>
      <c r="K885" s="5">
        <f t="shared" si="146"/>
        <v>0</v>
      </c>
      <c r="L885">
        <f t="shared" si="147"/>
        <v>85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-102.65733127146888</v>
      </c>
      <c r="F886" s="1">
        <f t="shared" si="153"/>
        <v>-104.65936408066794</v>
      </c>
      <c r="G886" s="1">
        <f t="shared" si="150"/>
        <v>3.5238360989920457E-46</v>
      </c>
      <c r="H886" s="1">
        <f t="shared" si="143"/>
        <v>3.4589017548281324E-47</v>
      </c>
      <c r="I886">
        <f t="shared" si="144"/>
        <v>60</v>
      </c>
      <c r="J886">
        <f t="shared" si="145"/>
        <v>799</v>
      </c>
      <c r="K886" s="5">
        <f t="shared" si="146"/>
        <v>0</v>
      </c>
      <c r="L886">
        <f t="shared" si="147"/>
        <v>85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-102.7790282064464</v>
      </c>
      <c r="F887" s="1">
        <f t="shared" si="153"/>
        <v>-104.78106101564546</v>
      </c>
      <c r="G887" s="1">
        <f t="shared" si="150"/>
        <v>3.1200632126492023E-46</v>
      </c>
      <c r="H887" s="1">
        <f t="shared" si="143"/>
        <v>3.0625692620874045E-47</v>
      </c>
      <c r="I887">
        <f t="shared" si="144"/>
        <v>60</v>
      </c>
      <c r="J887">
        <f t="shared" si="145"/>
        <v>800</v>
      </c>
      <c r="K887" s="5">
        <f t="shared" si="146"/>
        <v>0</v>
      </c>
      <c r="L887">
        <f t="shared" si="147"/>
        <v>85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-102.90072514142392</v>
      </c>
      <c r="F888" s="1">
        <f t="shared" si="153"/>
        <v>-104.90275795062298</v>
      </c>
      <c r="G888" s="1">
        <f t="shared" si="150"/>
        <v>2.7625559695331441E-46</v>
      </c>
      <c r="H888" s="1">
        <f t="shared" si="143"/>
        <v>2.7116498674732191E-47</v>
      </c>
      <c r="I888">
        <f t="shared" si="144"/>
        <v>60</v>
      </c>
      <c r="J888">
        <f t="shared" si="145"/>
        <v>801</v>
      </c>
      <c r="K888" s="5">
        <f t="shared" si="146"/>
        <v>0</v>
      </c>
      <c r="L888">
        <f t="shared" si="147"/>
        <v>85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-103.02242207640144</v>
      </c>
      <c r="F889" s="1">
        <f t="shared" si="153"/>
        <v>-105.02445488560051</v>
      </c>
      <c r="G889" s="1">
        <f t="shared" si="150"/>
        <v>2.4460130980241347E-46</v>
      </c>
      <c r="H889" s="1">
        <f t="shared" si="143"/>
        <v>2.4009399868252424E-47</v>
      </c>
      <c r="I889">
        <f t="shared" si="144"/>
        <v>60</v>
      </c>
      <c r="J889">
        <f t="shared" si="145"/>
        <v>802</v>
      </c>
      <c r="K889" s="5">
        <f t="shared" si="146"/>
        <v>0</v>
      </c>
      <c r="L889">
        <f t="shared" si="147"/>
        <v>85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-103.14411901137896</v>
      </c>
      <c r="F890" s="1">
        <f t="shared" si="153"/>
        <v>-105.14615182057803</v>
      </c>
      <c r="G890" s="1">
        <f t="shared" si="150"/>
        <v>2.1657407638755326E-46</v>
      </c>
      <c r="H890" s="1">
        <f t="shared" si="143"/>
        <v>2.1258322800015136E-47</v>
      </c>
      <c r="I890">
        <f t="shared" si="144"/>
        <v>60</v>
      </c>
      <c r="J890">
        <f t="shared" si="145"/>
        <v>803</v>
      </c>
      <c r="K890" s="5">
        <f t="shared" si="146"/>
        <v>0</v>
      </c>
      <c r="L890">
        <f t="shared" si="147"/>
        <v>85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-103.26581594635648</v>
      </c>
      <c r="F891" s="1">
        <f t="shared" si="153"/>
        <v>-105.26784875555555</v>
      </c>
      <c r="G891" s="1">
        <f t="shared" si="150"/>
        <v>1.9175829680147918E-46</v>
      </c>
      <c r="H891" s="1">
        <f t="shared" si="143"/>
        <v>1.8822473312513375E-47</v>
      </c>
      <c r="I891">
        <f t="shared" si="144"/>
        <v>60</v>
      </c>
      <c r="J891">
        <f t="shared" si="145"/>
        <v>804</v>
      </c>
      <c r="K891" s="5">
        <f t="shared" si="146"/>
        <v>0</v>
      </c>
      <c r="L891">
        <f t="shared" si="147"/>
        <v>85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-103.387512881334</v>
      </c>
      <c r="F892" s="1">
        <f t="shared" si="153"/>
        <v>-105.38954569053307</v>
      </c>
      <c r="G892" s="1">
        <f t="shared" si="150"/>
        <v>1.6978599195964279E-46</v>
      </c>
      <c r="H892" s="1">
        <f t="shared" si="143"/>
        <v>1.6665731578787861E-47</v>
      </c>
      <c r="I892">
        <f t="shared" si="144"/>
        <v>60</v>
      </c>
      <c r="J892">
        <f t="shared" si="145"/>
        <v>805</v>
      </c>
      <c r="K892" s="5">
        <f t="shared" si="146"/>
        <v>0</v>
      </c>
      <c r="L892">
        <f t="shared" si="147"/>
        <v>85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-103.50920981631153</v>
      </c>
      <c r="F893" s="1">
        <f t="shared" si="153"/>
        <v>-105.51124262551059</v>
      </c>
      <c r="G893" s="1">
        <f t="shared" si="150"/>
        <v>1.5033134704760017E-46</v>
      </c>
      <c r="H893" s="1">
        <f t="shared" si="143"/>
        <v>1.4756116502051733E-47</v>
      </c>
      <c r="I893">
        <f t="shared" si="144"/>
        <v>60</v>
      </c>
      <c r="J893">
        <f t="shared" si="145"/>
        <v>806</v>
      </c>
      <c r="K893" s="5">
        <f t="shared" si="146"/>
        <v>0</v>
      </c>
      <c r="L893">
        <f t="shared" si="147"/>
        <v>85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-103.63090675128905</v>
      </c>
      <c r="F894" s="1">
        <f t="shared" si="153"/>
        <v>-105.63293956048811</v>
      </c>
      <c r="G894" s="1">
        <f t="shared" si="150"/>
        <v>1.3310588019839579E-46</v>
      </c>
      <c r="H894" s="1">
        <f t="shared" si="143"/>
        <v>1.3065311486191619E-47</v>
      </c>
      <c r="I894">
        <f t="shared" si="144"/>
        <v>60</v>
      </c>
      <c r="J894">
        <f t="shared" si="145"/>
        <v>807</v>
      </c>
      <c r="K894" s="5">
        <f t="shared" si="146"/>
        <v>0</v>
      </c>
      <c r="L894">
        <f t="shared" si="147"/>
        <v>85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-103.75260368626657</v>
      </c>
      <c r="F895" s="1">
        <f t="shared" si="153"/>
        <v>-105.75463649546563</v>
      </c>
      <c r="G895" s="1">
        <f t="shared" si="150"/>
        <v>1.1785416475899612E-46</v>
      </c>
      <c r="H895" s="1">
        <f t="shared" si="143"/>
        <v>1.1568244545065479E-47</v>
      </c>
      <c r="I895">
        <f t="shared" si="144"/>
        <v>60</v>
      </c>
      <c r="J895">
        <f t="shared" si="145"/>
        <v>808</v>
      </c>
      <c r="K895" s="5">
        <f t="shared" si="146"/>
        <v>0</v>
      </c>
      <c r="L895">
        <f t="shared" si="147"/>
        <v>85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-103.87430062124409</v>
      </c>
      <c r="F896" s="1">
        <f t="shared" si="153"/>
        <v>-105.87633343044315</v>
      </c>
      <c r="G896" s="1">
        <f t="shared" si="150"/>
        <v>1.0435004171369432E-46</v>
      </c>
      <c r="H896" s="1">
        <f t="shared" si="143"/>
        <v>1.0242716524276711E-47</v>
      </c>
      <c r="I896">
        <f t="shared" si="144"/>
        <v>60</v>
      </c>
      <c r="J896">
        <f t="shared" si="145"/>
        <v>809</v>
      </c>
      <c r="K896" s="5">
        <f t="shared" si="146"/>
        <v>0</v>
      </c>
      <c r="L896">
        <f t="shared" si="147"/>
        <v>85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-103.99599755622161</v>
      </c>
      <c r="F897" s="1">
        <f t="shared" si="153"/>
        <v>-105.99803036542068</v>
      </c>
      <c r="G897" s="1">
        <f t="shared" si="150"/>
        <v>9.239326610066672E-47</v>
      </c>
      <c r="H897" s="1">
        <f t="shared" si="143"/>
        <v>9.0690719225366589E-48</v>
      </c>
      <c r="I897">
        <f t="shared" si="144"/>
        <v>60</v>
      </c>
      <c r="J897">
        <f t="shared" si="145"/>
        <v>810</v>
      </c>
      <c r="K897" s="5">
        <f t="shared" si="146"/>
        <v>0</v>
      </c>
      <c r="L897">
        <f t="shared" si="147"/>
        <v>85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-104.11769449119913</v>
      </c>
      <c r="F898" s="1">
        <f t="shared" si="153"/>
        <v>-106.1197273003982</v>
      </c>
      <c r="G898" s="1">
        <f t="shared" si="150"/>
        <v>8.1806537693298534E-47</v>
      </c>
      <c r="H898" s="1">
        <f t="shared" si="143"/>
        <v>8.0299074314126553E-48</v>
      </c>
      <c r="I898">
        <f t="shared" si="144"/>
        <v>60</v>
      </c>
      <c r="J898">
        <f t="shared" si="145"/>
        <v>811</v>
      </c>
      <c r="K898" s="5">
        <f t="shared" si="146"/>
        <v>0</v>
      </c>
      <c r="L898">
        <f t="shared" si="147"/>
        <v>85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-104.23939142617665</v>
      </c>
      <c r="F899" s="1">
        <f t="shared" si="153"/>
        <v>-106.24142423537572</v>
      </c>
      <c r="G899" s="1">
        <f t="shared" si="150"/>
        <v>7.2432871915941311E-47</v>
      </c>
      <c r="H899" s="1">
        <f t="shared" si="143"/>
        <v>7.1098138715632781E-48</v>
      </c>
      <c r="I899">
        <f t="shared" si="144"/>
        <v>60</v>
      </c>
      <c r="J899">
        <f t="shared" si="145"/>
        <v>812</v>
      </c>
      <c r="K899" s="5">
        <f t="shared" si="146"/>
        <v>0</v>
      </c>
      <c r="L899">
        <f t="shared" si="147"/>
        <v>85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-104.36108836115417</v>
      </c>
      <c r="F900" s="1">
        <f t="shared" si="153"/>
        <v>-106.36312117035324</v>
      </c>
      <c r="G900" s="1">
        <f t="shared" si="150"/>
        <v>6.4133272008906281E-47</v>
      </c>
      <c r="H900" s="1">
        <f t="shared" si="143"/>
        <v>6.2951476987799776E-48</v>
      </c>
      <c r="I900">
        <f t="shared" si="144"/>
        <v>60</v>
      </c>
      <c r="J900">
        <f t="shared" si="145"/>
        <v>813</v>
      </c>
      <c r="K900" s="5">
        <f t="shared" si="146"/>
        <v>0</v>
      </c>
      <c r="L900">
        <f t="shared" si="147"/>
        <v>85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-104.48278529613169</v>
      </c>
      <c r="F901" s="1">
        <f t="shared" si="153"/>
        <v>-106.48481810533076</v>
      </c>
      <c r="G901" s="1">
        <f t="shared" si="150"/>
        <v>5.6784667924552353E-47</v>
      </c>
      <c r="H901" s="1">
        <f t="shared" si="143"/>
        <v>5.5738286916280965E-48</v>
      </c>
      <c r="I901">
        <f t="shared" si="144"/>
        <v>60</v>
      </c>
      <c r="J901">
        <f t="shared" si="145"/>
        <v>814</v>
      </c>
      <c r="K901" s="5">
        <f t="shared" si="146"/>
        <v>0</v>
      </c>
      <c r="L901">
        <f t="shared" si="147"/>
        <v>85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-104.60448223110922</v>
      </c>
      <c r="F902" s="1">
        <f t="shared" si="153"/>
        <v>-106.60651504030828</v>
      </c>
      <c r="G902" s="1">
        <f t="shared" si="150"/>
        <v>5.0278091391530656E-47</v>
      </c>
      <c r="H902" s="1">
        <f t="shared" si="143"/>
        <v>4.9351608207123704E-48</v>
      </c>
      <c r="I902">
        <f t="shared" si="144"/>
        <v>60</v>
      </c>
      <c r="J902">
        <f t="shared" si="145"/>
        <v>815</v>
      </c>
      <c r="K902" s="5">
        <f t="shared" si="146"/>
        <v>0</v>
      </c>
      <c r="L902">
        <f t="shared" si="147"/>
        <v>85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-104.72617916608674</v>
      </c>
      <c r="F903" s="1">
        <f t="shared" si="153"/>
        <v>-106.7282119752858</v>
      </c>
      <c r="G903" s="1">
        <f t="shared" si="150"/>
        <v>4.451706008625104E-47</v>
      </c>
      <c r="H903" s="1">
        <f t="shared" si="143"/>
        <v>4.3696736433390718E-48</v>
      </c>
      <c r="I903">
        <f t="shared" si="144"/>
        <v>60</v>
      </c>
      <c r="J903">
        <f t="shared" si="145"/>
        <v>816</v>
      </c>
      <c r="K903" s="5">
        <f t="shared" si="146"/>
        <v>0</v>
      </c>
      <c r="L903">
        <f t="shared" si="147"/>
        <v>85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-104.84787610106426</v>
      </c>
      <c r="F904" s="1">
        <f t="shared" si="153"/>
        <v>-106.84990891026332</v>
      </c>
      <c r="G904" s="1">
        <f t="shared" si="150"/>
        <v>3.941614695136805E-47</v>
      </c>
      <c r="H904" s="1">
        <f t="shared" si="143"/>
        <v>3.8689818717064639E-48</v>
      </c>
      <c r="I904">
        <f t="shared" si="144"/>
        <v>60</v>
      </c>
      <c r="J904">
        <f t="shared" si="145"/>
        <v>817</v>
      </c>
      <c r="K904" s="5">
        <f t="shared" si="146"/>
        <v>0</v>
      </c>
      <c r="L904">
        <f t="shared" si="147"/>
        <v>85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-104.96957303604178</v>
      </c>
      <c r="F905" s="1">
        <f t="shared" si="153"/>
        <v>-106.97160584524084</v>
      </c>
      <c r="G905" s="1">
        <f t="shared" si="150"/>
        <v>3.4899713446523747E-47</v>
      </c>
      <c r="H905" s="1">
        <f t="shared" si="143"/>
        <v>3.4256610322400936E-48</v>
      </c>
      <c r="I905">
        <f t="shared" si="144"/>
        <v>60</v>
      </c>
      <c r="J905">
        <f t="shared" si="145"/>
        <v>818</v>
      </c>
      <c r="K905" s="5">
        <f t="shared" si="146"/>
        <v>0</v>
      </c>
      <c r="L905">
        <f t="shared" si="147"/>
        <v>85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-105.0912699710193</v>
      </c>
      <c r="F906" s="1">
        <f t="shared" si="153"/>
        <v>-107.09330278021837</v>
      </c>
      <c r="G906" s="1">
        <f t="shared" si="150"/>
        <v>3.0900787947442856E-47</v>
      </c>
      <c r="H906" s="1">
        <f t="shared" si="143"/>
        <v>3.0331373722959121E-48</v>
      </c>
      <c r="I906">
        <f t="shared" si="144"/>
        <v>60</v>
      </c>
      <c r="J906">
        <f t="shared" si="145"/>
        <v>819</v>
      </c>
      <c r="K906" s="5">
        <f t="shared" si="146"/>
        <v>0</v>
      </c>
      <c r="L906">
        <f t="shared" si="147"/>
        <v>85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-105.21296690599682</v>
      </c>
      <c r="F907" s="1">
        <f t="shared" si="153"/>
        <v>-107.21499971519589</v>
      </c>
      <c r="G907" s="1">
        <f t="shared" si="150"/>
        <v>2.7360072661798322E-47</v>
      </c>
      <c r="H907" s="1">
        <f t="shared" si="143"/>
        <v>2.6855903817203346E-48</v>
      </c>
      <c r="I907">
        <f t="shared" si="144"/>
        <v>60</v>
      </c>
      <c r="J907">
        <f t="shared" si="145"/>
        <v>820</v>
      </c>
      <c r="K907" s="5">
        <f t="shared" si="146"/>
        <v>0</v>
      </c>
      <c r="L907">
        <f t="shared" si="147"/>
        <v>85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-105.33466384097434</v>
      </c>
      <c r="F908" s="1">
        <f t="shared" si="153"/>
        <v>-107.33669665017341</v>
      </c>
      <c r="G908" s="1">
        <f t="shared" si="150"/>
        <v>2.4225064335967232E-47</v>
      </c>
      <c r="H908" s="1">
        <f t="shared" si="143"/>
        <v>2.3778664838148764E-48</v>
      </c>
      <c r="I908">
        <f t="shared" si="144"/>
        <v>60</v>
      </c>
      <c r="J908">
        <f t="shared" si="145"/>
        <v>821</v>
      </c>
      <c r="K908" s="5">
        <f t="shared" si="146"/>
        <v>0</v>
      </c>
      <c r="L908">
        <f t="shared" si="147"/>
        <v>85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-105.45636077595186</v>
      </c>
      <c r="F909" s="1">
        <f t="shared" si="153"/>
        <v>-107.45839358515093</v>
      </c>
      <c r="G909" s="1">
        <f t="shared" si="150"/>
        <v>2.144927571413762E-47</v>
      </c>
      <c r="H909" s="1">
        <f t="shared" si="143"/>
        <v>2.105402615877752E-48</v>
      </c>
      <c r="I909">
        <f t="shared" si="144"/>
        <v>60</v>
      </c>
      <c r="J909">
        <f t="shared" si="145"/>
        <v>822</v>
      </c>
      <c r="K909" s="5">
        <f t="shared" si="146"/>
        <v>0</v>
      </c>
      <c r="L909">
        <f t="shared" si="147"/>
        <v>85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-105.57805771092939</v>
      </c>
      <c r="F910" s="1">
        <f t="shared" si="153"/>
        <v>-107.58009052012845</v>
      </c>
      <c r="G910" s="1">
        <f t="shared" si="150"/>
        <v>1.8991546205225991E-47</v>
      </c>
      <c r="H910" s="1">
        <f t="shared" si="143"/>
        <v>1.864158566141757E-48</v>
      </c>
      <c r="I910">
        <f t="shared" si="144"/>
        <v>60</v>
      </c>
      <c r="J910">
        <f t="shared" si="145"/>
        <v>823</v>
      </c>
      <c r="K910" s="5">
        <f t="shared" si="146"/>
        <v>0</v>
      </c>
      <c r="L910">
        <f t="shared" si="147"/>
        <v>85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-105.69975464590691</v>
      </c>
      <c r="F911" s="1">
        <f t="shared" si="153"/>
        <v>-107.70178745510597</v>
      </c>
      <c r="G911" s="1">
        <f t="shared" si="150"/>
        <v>1.6815431535877156E-47</v>
      </c>
      <c r="H911" s="1">
        <f t="shared" si="143"/>
        <v>1.6505570637713452E-48</v>
      </c>
      <c r="I911">
        <f t="shared" si="144"/>
        <v>60</v>
      </c>
      <c r="J911">
        <f t="shared" si="145"/>
        <v>824</v>
      </c>
      <c r="K911" s="5">
        <f t="shared" si="146"/>
        <v>0</v>
      </c>
      <c r="L911">
        <f t="shared" si="147"/>
        <v>85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-105.82145158088443</v>
      </c>
      <c r="F912" s="1">
        <f t="shared" si="153"/>
        <v>-107.82348439008349</v>
      </c>
      <c r="G912" s="1">
        <f t="shared" si="150"/>
        <v>1.4888663339057876E-47</v>
      </c>
      <c r="H912" s="1">
        <f t="shared" si="143"/>
        <v>1.4614307335475429E-48</v>
      </c>
      <c r="I912">
        <f t="shared" si="144"/>
        <v>60</v>
      </c>
      <c r="J912">
        <f t="shared" si="145"/>
        <v>825</v>
      </c>
      <c r="K912" s="5">
        <f t="shared" si="146"/>
        <v>0</v>
      </c>
      <c r="L912">
        <f t="shared" si="147"/>
        <v>85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-105.94314851586195</v>
      </c>
      <c r="F913" s="1">
        <f t="shared" si="153"/>
        <v>-107.94518132506101</v>
      </c>
      <c r="G913" s="1">
        <f t="shared" si="150"/>
        <v>1.3182670664790811E-47</v>
      </c>
      <c r="H913" s="1">
        <f t="shared" si="143"/>
        <v>1.2939751286618852E-48</v>
      </c>
      <c r="I913">
        <f t="shared" si="144"/>
        <v>60</v>
      </c>
      <c r="J913">
        <f t="shared" si="145"/>
        <v>826</v>
      </c>
      <c r="K913" s="5">
        <f t="shared" si="146"/>
        <v>0</v>
      </c>
      <c r="L913">
        <f t="shared" si="147"/>
        <v>85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-106.06484545083947</v>
      </c>
      <c r="F914" s="1">
        <f t="shared" si="153"/>
        <v>-108.06687826003854</v>
      </c>
      <c r="G914" s="1">
        <f t="shared" si="150"/>
        <v>1.1672156317783514E-47</v>
      </c>
      <c r="H914" s="1">
        <f t="shared" si="143"/>
        <v>1.145707145169376E-48</v>
      </c>
      <c r="I914">
        <f t="shared" si="144"/>
        <v>60</v>
      </c>
      <c r="J914">
        <f t="shared" si="145"/>
        <v>827</v>
      </c>
      <c r="K914" s="5">
        <f t="shared" si="146"/>
        <v>0</v>
      </c>
      <c r="L914">
        <f t="shared" si="147"/>
        <v>85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-106.18654238581699</v>
      </c>
      <c r="F915" s="1">
        <f t="shared" si="153"/>
        <v>-108.18857519501606</v>
      </c>
      <c r="G915" s="1">
        <f t="shared" si="150"/>
        <v>1.0334721739704138E-47</v>
      </c>
      <c r="H915" s="1">
        <f t="shared" si="143"/>
        <v>1.0144282014520501E-48</v>
      </c>
      <c r="I915">
        <f t="shared" si="144"/>
        <v>60</v>
      </c>
      <c r="J915">
        <f t="shared" si="145"/>
        <v>828</v>
      </c>
      <c r="K915" s="5">
        <f t="shared" si="146"/>
        <v>0</v>
      </c>
      <c r="L915">
        <f t="shared" si="147"/>
        <v>85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-106.30823932079451</v>
      </c>
      <c r="F916" s="1">
        <f t="shared" si="153"/>
        <v>-108.31027212999358</v>
      </c>
      <c r="G916" s="1">
        <f t="shared" si="150"/>
        <v>9.1505348736963582E-48</v>
      </c>
      <c r="H916" s="1">
        <f t="shared" si="143"/>
        <v>8.9819163670233468E-49</v>
      </c>
      <c r="I916">
        <f t="shared" si="144"/>
        <v>60</v>
      </c>
      <c r="J916">
        <f t="shared" si="145"/>
        <v>829</v>
      </c>
      <c r="K916" s="5">
        <f t="shared" si="146"/>
        <v>0</v>
      </c>
      <c r="L916">
        <f t="shared" si="147"/>
        <v>85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-106.42993625577203</v>
      </c>
      <c r="F917" s="1">
        <f t="shared" si="153"/>
        <v>-108.4319690649711</v>
      </c>
      <c r="G917" s="1">
        <f t="shared" si="150"/>
        <v>8.1020360860853058E-48</v>
      </c>
      <c r="H917" s="1">
        <f t="shared" si="143"/>
        <v>7.9527384499685769E-49</v>
      </c>
      <c r="I917">
        <f t="shared" si="144"/>
        <v>60</v>
      </c>
      <c r="J917">
        <f t="shared" si="145"/>
        <v>830</v>
      </c>
      <c r="K917" s="5">
        <f t="shared" si="146"/>
        <v>0</v>
      </c>
      <c r="L917">
        <f t="shared" si="147"/>
        <v>85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-106.55163319074956</v>
      </c>
      <c r="F918" s="1">
        <f t="shared" si="153"/>
        <v>-108.55366599994862</v>
      </c>
      <c r="G918" s="1">
        <f t="shared" si="150"/>
        <v>7.173677784554688E-48</v>
      </c>
      <c r="H918" s="1">
        <f t="shared" si="143"/>
        <v>7.0414871692430015E-49</v>
      </c>
      <c r="I918">
        <f t="shared" si="144"/>
        <v>60</v>
      </c>
      <c r="J918">
        <f t="shared" si="145"/>
        <v>831</v>
      </c>
      <c r="K918" s="5">
        <f t="shared" si="146"/>
        <v>0</v>
      </c>
      <c r="L918">
        <f t="shared" si="147"/>
        <v>85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-106.67333012572708</v>
      </c>
      <c r="F919" s="1">
        <f t="shared" si="153"/>
        <v>-108.67536293492614</v>
      </c>
      <c r="G919" s="1">
        <f t="shared" si="150"/>
        <v>6.3516938717411206E-48</v>
      </c>
      <c r="H919" s="1">
        <f t="shared" ref="H919:H982" si="154">G919/$G$21</f>
        <v>6.2346500977672317E-49</v>
      </c>
      <c r="I919">
        <f t="shared" ref="I919:I982" si="155">IF($F$11&lt;=D919, IF(D919&lt;=$A$15,D919-$F$11,$C$11),0)</f>
        <v>60</v>
      </c>
      <c r="J919">
        <f t="shared" ref="J919:J982" si="156">IF(D919&lt;=$A$15,0,D919-$A$15)</f>
        <v>832</v>
      </c>
      <c r="K919" s="5">
        <f t="shared" ref="K919:K982" si="157">IF(D919&lt;$F$11,H919,0)</f>
        <v>0</v>
      </c>
      <c r="L919">
        <f t="shared" ref="L919:L982" si="158">IF(D919&lt;$A$15,$D$11,$D$11*(1-$H$11))</f>
        <v>85</v>
      </c>
      <c r="M919">
        <f t="shared" ref="M919:M982" si="159">IF(D919&lt;$A$15,0,1)</f>
        <v>1</v>
      </c>
      <c r="N919">
        <f t="shared" ref="N919:N982" si="160">IF(SUM(I919:J919)&lt;=($G$11/60*$F$11/($E$11/60)),1,0)</f>
        <v>0</v>
      </c>
    </row>
    <row r="920" spans="4:14" x14ac:dyDescent="0.2">
      <c r="D920">
        <f t="shared" si="151"/>
        <v>897</v>
      </c>
      <c r="E920" s="1">
        <f t="shared" si="152"/>
        <v>-106.7950270607046</v>
      </c>
      <c r="F920" s="1">
        <f t="shared" si="153"/>
        <v>-108.79705986990366</v>
      </c>
      <c r="G920" s="1">
        <f t="shared" ref="G920:G983" si="161">EXP(F920)</f>
        <v>5.6238956156041097E-48</v>
      </c>
      <c r="H920" s="1">
        <f t="shared" si="154"/>
        <v>5.5202631073980623E-49</v>
      </c>
      <c r="I920">
        <f t="shared" si="155"/>
        <v>60</v>
      </c>
      <c r="J920">
        <f t="shared" si="156"/>
        <v>833</v>
      </c>
      <c r="K920" s="5">
        <f t="shared" si="157"/>
        <v>0</v>
      </c>
      <c r="L920">
        <f t="shared" si="158"/>
        <v>85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IF($H$11=1,IF(D921&lt;=$A$15, E920+LN($D$11)-LN(60/$E$11)-LN(MIN(D921,$F$11)), E920-LN(60/$E$11)-LN(MIN(D921,$F$11))), IF(D921&lt;=$A$15, E920+LN($D$11)-LN(60/$E$11)-LN(MIN(D921,$F$11)), E920+LN($D$11)+LN(1-$H$11)-LN(60/$E$11)-LN(MIN(D921,$F$11))))</f>
        <v>-106.91672399568212</v>
      </c>
      <c r="F921" s="1">
        <f t="shared" ref="F921:F984" si="164">E921-$E$21</f>
        <v>-108.91875680488118</v>
      </c>
      <c r="G921" s="1">
        <f t="shared" si="161"/>
        <v>4.9794909096494647E-48</v>
      </c>
      <c r="H921" s="1">
        <f t="shared" si="154"/>
        <v>4.8877329596753606E-49</v>
      </c>
      <c r="I921">
        <f t="shared" si="155"/>
        <v>60</v>
      </c>
      <c r="J921">
        <f t="shared" si="156"/>
        <v>834</v>
      </c>
      <c r="K921" s="5">
        <f t="shared" si="157"/>
        <v>0</v>
      </c>
      <c r="L921">
        <f t="shared" si="158"/>
        <v>85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-107.03842093065964</v>
      </c>
      <c r="F922" s="1">
        <f t="shared" si="164"/>
        <v>-109.04045373985871</v>
      </c>
      <c r="G922" s="1">
        <f t="shared" si="161"/>
        <v>4.4089242429187906E-48</v>
      </c>
      <c r="H922" s="1">
        <f t="shared" si="154"/>
        <v>4.3276802247125525E-49</v>
      </c>
      <c r="I922">
        <f t="shared" si="155"/>
        <v>60</v>
      </c>
      <c r="J922">
        <f t="shared" si="156"/>
        <v>835</v>
      </c>
      <c r="K922" s="5">
        <f t="shared" si="157"/>
        <v>0</v>
      </c>
      <c r="L922">
        <f t="shared" si="158"/>
        <v>85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-107.16011786563716</v>
      </c>
      <c r="F923" s="1">
        <f t="shared" si="164"/>
        <v>-109.16215067483623</v>
      </c>
      <c r="G923" s="1">
        <f t="shared" si="161"/>
        <v>3.903735006751007E-48</v>
      </c>
      <c r="H923" s="1">
        <f t="shared" si="154"/>
        <v>3.8318001989642341E-49</v>
      </c>
      <c r="I923">
        <f t="shared" si="155"/>
        <v>60</v>
      </c>
      <c r="J923">
        <f t="shared" si="156"/>
        <v>836</v>
      </c>
      <c r="K923" s="5">
        <f t="shared" si="157"/>
        <v>0</v>
      </c>
      <c r="L923">
        <f t="shared" si="158"/>
        <v>85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-107.28181480061468</v>
      </c>
      <c r="F924" s="1">
        <f t="shared" si="164"/>
        <v>-109.28384760981375</v>
      </c>
      <c r="G924" s="1">
        <f t="shared" si="161"/>
        <v>3.4564320372274491E-48</v>
      </c>
      <c r="H924" s="1">
        <f t="shared" si="154"/>
        <v>3.3927397594995772E-49</v>
      </c>
      <c r="I924">
        <f t="shared" si="155"/>
        <v>60</v>
      </c>
      <c r="J924">
        <f t="shared" si="156"/>
        <v>837</v>
      </c>
      <c r="K924" s="5">
        <f t="shared" si="157"/>
        <v>0</v>
      </c>
      <c r="L924">
        <f t="shared" si="158"/>
        <v>85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-107.4035117355922</v>
      </c>
      <c r="F925" s="1">
        <f t="shared" si="164"/>
        <v>-109.40554454479127</v>
      </c>
      <c r="G925" s="1">
        <f t="shared" si="161"/>
        <v>3.0603825329617994E-48</v>
      </c>
      <c r="H925" s="1">
        <f t="shared" si="154"/>
        <v>3.0039883287235794E-49</v>
      </c>
      <c r="I925">
        <f t="shared" si="155"/>
        <v>60</v>
      </c>
      <c r="J925">
        <f t="shared" si="156"/>
        <v>838</v>
      </c>
      <c r="K925" s="5">
        <f t="shared" si="157"/>
        <v>0</v>
      </c>
      <c r="L925">
        <f t="shared" si="158"/>
        <v>85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-107.52520867056973</v>
      </c>
      <c r="F926" s="1">
        <f t="shared" si="164"/>
        <v>-109.52724147976879</v>
      </c>
      <c r="G926" s="1">
        <f t="shared" si="161"/>
        <v>2.7097137010599227E-48</v>
      </c>
      <c r="H926" s="1">
        <f t="shared" si="154"/>
        <v>2.6597813327239989E-49</v>
      </c>
      <c r="I926">
        <f t="shared" si="155"/>
        <v>60</v>
      </c>
      <c r="J926">
        <f t="shared" si="156"/>
        <v>839</v>
      </c>
      <c r="K926" s="5">
        <f t="shared" si="157"/>
        <v>0</v>
      </c>
      <c r="L926">
        <f t="shared" si="158"/>
        <v>85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-107.64690560554725</v>
      </c>
      <c r="F927" s="1">
        <f t="shared" si="164"/>
        <v>-109.64893841474631</v>
      </c>
      <c r="G927" s="1">
        <f t="shared" si="161"/>
        <v>2.3992256728134699E-48</v>
      </c>
      <c r="H927" s="1">
        <f t="shared" si="154"/>
        <v>2.3550147216827041E-49</v>
      </c>
      <c r="I927">
        <f t="shared" si="155"/>
        <v>60</v>
      </c>
      <c r="J927">
        <f t="shared" si="156"/>
        <v>840</v>
      </c>
      <c r="K927" s="5">
        <f t="shared" si="157"/>
        <v>0</v>
      </c>
      <c r="L927">
        <f t="shared" si="158"/>
        <v>85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-107.76860254052477</v>
      </c>
      <c r="F928" s="1">
        <f t="shared" si="164"/>
        <v>-109.77063534972383</v>
      </c>
      <c r="G928" s="1">
        <f t="shared" si="161"/>
        <v>2.1243143978035901E-48</v>
      </c>
      <c r="H928" s="1">
        <f t="shared" si="154"/>
        <v>2.0851692848232248E-49</v>
      </c>
      <c r="I928">
        <f t="shared" si="155"/>
        <v>60</v>
      </c>
      <c r="J928">
        <f t="shared" si="156"/>
        <v>841</v>
      </c>
      <c r="K928" s="5">
        <f t="shared" si="157"/>
        <v>0</v>
      </c>
      <c r="L928">
        <f t="shared" si="158"/>
        <v>85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-107.89029947550229</v>
      </c>
      <c r="F929" s="1">
        <f t="shared" si="164"/>
        <v>-109.89233228470135</v>
      </c>
      <c r="G929" s="1">
        <f t="shared" si="161"/>
        <v>1.8809033730552595E-48</v>
      </c>
      <c r="H929" s="1">
        <f t="shared" si="154"/>
        <v>1.8462436376038944E-49</v>
      </c>
      <c r="I929">
        <f t="shared" si="155"/>
        <v>60</v>
      </c>
      <c r="J929">
        <f t="shared" si="156"/>
        <v>842</v>
      </c>
      <c r="K929" s="5">
        <f t="shared" si="157"/>
        <v>0</v>
      </c>
      <c r="L929">
        <f t="shared" si="158"/>
        <v>85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-108.01199641047981</v>
      </c>
      <c r="F930" s="1">
        <f t="shared" si="164"/>
        <v>-110.01402921967887</v>
      </c>
      <c r="G930" s="1">
        <f t="shared" si="161"/>
        <v>1.6653831948926753E-48</v>
      </c>
      <c r="H930" s="1">
        <f t="shared" si="154"/>
        <v>1.634694887461779E-49</v>
      </c>
      <c r="I930">
        <f t="shared" si="155"/>
        <v>60</v>
      </c>
      <c r="J930">
        <f t="shared" si="156"/>
        <v>843</v>
      </c>
      <c r="K930" s="5">
        <f t="shared" si="157"/>
        <v>0</v>
      </c>
      <c r="L930">
        <f t="shared" si="158"/>
        <v>85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-108.13369334545733</v>
      </c>
      <c r="F931" s="1">
        <f t="shared" si="164"/>
        <v>-110.1357261546564</v>
      </c>
      <c r="G931" s="1">
        <f t="shared" si="161"/>
        <v>1.4745580371445541E-48</v>
      </c>
      <c r="H931" s="1">
        <f t="shared" si="154"/>
        <v>1.4473860982734481E-49</v>
      </c>
      <c r="I931">
        <f t="shared" si="155"/>
        <v>60</v>
      </c>
      <c r="J931">
        <f t="shared" si="156"/>
        <v>844</v>
      </c>
      <c r="K931" s="5">
        <f t="shared" si="157"/>
        <v>0</v>
      </c>
      <c r="L931">
        <f t="shared" si="158"/>
        <v>85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-108.25539028043485</v>
      </c>
      <c r="F932" s="1">
        <f t="shared" si="164"/>
        <v>-110.25742308963392</v>
      </c>
      <c r="G932" s="1">
        <f t="shared" si="161"/>
        <v>1.305598262055072E-48</v>
      </c>
      <c r="H932" s="1">
        <f t="shared" si="154"/>
        <v>1.281539774512947E-49</v>
      </c>
      <c r="I932">
        <f t="shared" si="155"/>
        <v>60</v>
      </c>
      <c r="J932">
        <f t="shared" si="156"/>
        <v>845</v>
      </c>
      <c r="K932" s="5">
        <f t="shared" si="157"/>
        <v>0</v>
      </c>
      <c r="L932">
        <f t="shared" si="158"/>
        <v>85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-108.37708721541237</v>
      </c>
      <c r="F933" s="1">
        <f t="shared" si="164"/>
        <v>-110.37912002461144</v>
      </c>
      <c r="G933" s="1">
        <f t="shared" si="161"/>
        <v>1.1559984611945934E-48</v>
      </c>
      <c r="H933" s="1">
        <f t="shared" si="154"/>
        <v>1.1346966753500034E-49</v>
      </c>
      <c r="I933">
        <f t="shared" si="155"/>
        <v>60</v>
      </c>
      <c r="J933">
        <f t="shared" si="156"/>
        <v>846</v>
      </c>
      <c r="K933" s="5">
        <f t="shared" si="157"/>
        <v>0</v>
      </c>
      <c r="L933">
        <f t="shared" si="158"/>
        <v>85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-108.49878415038989</v>
      </c>
      <c r="F934" s="1">
        <f t="shared" si="164"/>
        <v>-110.50081695958896</v>
      </c>
      <c r="G934" s="1">
        <f t="shared" si="161"/>
        <v>1.0235403041827115E-48</v>
      </c>
      <c r="H934" s="1">
        <f t="shared" si="154"/>
        <v>1.0046793479661475E-49</v>
      </c>
      <c r="I934">
        <f t="shared" si="155"/>
        <v>60</v>
      </c>
      <c r="J934">
        <f t="shared" si="156"/>
        <v>847</v>
      </c>
      <c r="K934" s="5">
        <f t="shared" si="157"/>
        <v>0</v>
      </c>
      <c r="L934">
        <f t="shared" si="158"/>
        <v>85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-108.62048108536742</v>
      </c>
      <c r="F935" s="1">
        <f t="shared" si="164"/>
        <v>-110.62251389456648</v>
      </c>
      <c r="G935" s="1">
        <f t="shared" si="161"/>
        <v>9.0625964432844119E-49</v>
      </c>
      <c r="H935" s="1">
        <f t="shared" si="154"/>
        <v>8.8955983934502513E-50</v>
      </c>
      <c r="I935">
        <f t="shared" si="155"/>
        <v>60</v>
      </c>
      <c r="J935">
        <f t="shared" si="156"/>
        <v>848</v>
      </c>
      <c r="K935" s="5">
        <f t="shared" si="157"/>
        <v>0</v>
      </c>
      <c r="L935">
        <f t="shared" si="158"/>
        <v>85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-108.74217802034494</v>
      </c>
      <c r="F936" s="1">
        <f t="shared" si="164"/>
        <v>-110.744210829544</v>
      </c>
      <c r="G936" s="1">
        <f t="shared" si="161"/>
        <v>8.0241739341580607E-49</v>
      </c>
      <c r="H936" s="1">
        <f t="shared" si="154"/>
        <v>7.8763110775340651E-50</v>
      </c>
      <c r="I936">
        <f t="shared" si="155"/>
        <v>60</v>
      </c>
      <c r="J936">
        <f t="shared" si="156"/>
        <v>849</v>
      </c>
      <c r="K936" s="5">
        <f t="shared" si="157"/>
        <v>0</v>
      </c>
      <c r="L936">
        <f t="shared" si="158"/>
        <v>85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-108.86387495532246</v>
      </c>
      <c r="F937" s="1">
        <f t="shared" si="164"/>
        <v>-110.86590776452152</v>
      </c>
      <c r="G937" s="1">
        <f t="shared" si="161"/>
        <v>7.1047373375357738E-49</v>
      </c>
      <c r="H937" s="1">
        <f t="shared" si="154"/>
        <v>6.9738170998999448E-50</v>
      </c>
      <c r="I937">
        <f t="shared" si="155"/>
        <v>60</v>
      </c>
      <c r="J937">
        <f t="shared" si="156"/>
        <v>850</v>
      </c>
      <c r="K937" s="5">
        <f t="shared" si="157"/>
        <v>0</v>
      </c>
      <c r="L937">
        <f t="shared" si="158"/>
        <v>85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-108.98557189029998</v>
      </c>
      <c r="F938" s="1">
        <f t="shared" si="164"/>
        <v>-110.98760469949904</v>
      </c>
      <c r="G938" s="1">
        <f t="shared" si="161"/>
        <v>6.2906528509431237E-49</v>
      </c>
      <c r="H938" s="1">
        <f t="shared" si="154"/>
        <v>6.1747338905363998E-50</v>
      </c>
      <c r="I938">
        <f t="shared" si="155"/>
        <v>60</v>
      </c>
      <c r="J938">
        <f t="shared" si="156"/>
        <v>851</v>
      </c>
      <c r="K938" s="5">
        <f t="shared" si="157"/>
        <v>0</v>
      </c>
      <c r="L938">
        <f t="shared" si="158"/>
        <v>85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-109.1072688252775</v>
      </c>
      <c r="F939" s="1">
        <f t="shared" si="164"/>
        <v>-111.10930163447657</v>
      </c>
      <c r="G939" s="1">
        <f t="shared" si="161"/>
        <v>5.5698488784392164E-49</v>
      </c>
      <c r="H939" s="1">
        <f t="shared" si="154"/>
        <v>5.4672122989124301E-50</v>
      </c>
      <c r="I939">
        <f t="shared" si="155"/>
        <v>60</v>
      </c>
      <c r="J939">
        <f t="shared" si="156"/>
        <v>852</v>
      </c>
      <c r="K939" s="5">
        <f t="shared" si="157"/>
        <v>0</v>
      </c>
      <c r="L939">
        <f t="shared" si="158"/>
        <v>85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-109.22896576025502</v>
      </c>
      <c r="F940" s="1">
        <f t="shared" si="164"/>
        <v>-111.23099856945409</v>
      </c>
      <c r="G940" s="1">
        <f t="shared" si="161"/>
        <v>4.9316370277847153E-49</v>
      </c>
      <c r="H940" s="1">
        <f t="shared" si="154"/>
        <v>4.8407608896620397E-50</v>
      </c>
      <c r="I940">
        <f t="shared" si="155"/>
        <v>60</v>
      </c>
      <c r="J940">
        <f t="shared" si="156"/>
        <v>853</v>
      </c>
      <c r="K940" s="5">
        <f t="shared" si="157"/>
        <v>0</v>
      </c>
      <c r="L940">
        <f t="shared" si="158"/>
        <v>85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-109.35066269523254</v>
      </c>
      <c r="F941" s="1">
        <f t="shared" si="164"/>
        <v>-111.35269550443161</v>
      </c>
      <c r="G941" s="1">
        <f t="shared" si="161"/>
        <v>4.3665536183510439E-49</v>
      </c>
      <c r="H941" s="1">
        <f t="shared" si="154"/>
        <v>4.2860903710549254E-50</v>
      </c>
      <c r="I941">
        <f t="shared" si="155"/>
        <v>60</v>
      </c>
      <c r="J941">
        <f t="shared" si="156"/>
        <v>854</v>
      </c>
      <c r="K941" s="5">
        <f t="shared" si="157"/>
        <v>0</v>
      </c>
      <c r="L941">
        <f t="shared" si="158"/>
        <v>85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-109.47235963021006</v>
      </c>
      <c r="F942" s="1">
        <f t="shared" si="164"/>
        <v>-111.47439243940913</v>
      </c>
      <c r="G942" s="1">
        <f t="shared" si="161"/>
        <v>3.8662193495816482E-49</v>
      </c>
      <c r="H942" s="1">
        <f t="shared" si="154"/>
        <v>3.7949758493715432E-50</v>
      </c>
      <c r="I942">
        <f t="shared" si="155"/>
        <v>60</v>
      </c>
      <c r="J942">
        <f t="shared" si="156"/>
        <v>855</v>
      </c>
      <c r="K942" s="5">
        <f t="shared" si="157"/>
        <v>0</v>
      </c>
      <c r="L942">
        <f t="shared" si="158"/>
        <v>85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-109.59405656518759</v>
      </c>
      <c r="F943" s="1">
        <f t="shared" si="164"/>
        <v>-111.59608937438665</v>
      </c>
      <c r="G943" s="1">
        <f t="shared" si="161"/>
        <v>3.4232150491087459E-49</v>
      </c>
      <c r="H943" s="1">
        <f t="shared" si="154"/>
        <v>3.3601348666310491E-50</v>
      </c>
      <c r="I943">
        <f t="shared" si="155"/>
        <v>60</v>
      </c>
      <c r="J943">
        <f t="shared" si="156"/>
        <v>856</v>
      </c>
      <c r="K943" s="5">
        <f t="shared" si="157"/>
        <v>0</v>
      </c>
      <c r="L943">
        <f t="shared" si="158"/>
        <v>85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-109.71575350016511</v>
      </c>
      <c r="F944" s="1">
        <f t="shared" si="164"/>
        <v>-111.71778630936417</v>
      </c>
      <c r="G944" s="1">
        <f t="shared" si="161"/>
        <v>3.0309716580650313E-49</v>
      </c>
      <c r="H944" s="1">
        <f t="shared" si="154"/>
        <v>2.9751194131629041E-50</v>
      </c>
      <c r="I944">
        <f t="shared" si="155"/>
        <v>60</v>
      </c>
      <c r="J944">
        <f t="shared" si="156"/>
        <v>857</v>
      </c>
      <c r="K944" s="5">
        <f t="shared" si="157"/>
        <v>0</v>
      </c>
      <c r="L944">
        <f t="shared" si="158"/>
        <v>85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-109.83745043514263</v>
      </c>
      <c r="F945" s="1">
        <f t="shared" si="164"/>
        <v>-111.83948324434169</v>
      </c>
      <c r="G945" s="1">
        <f t="shared" si="161"/>
        <v>2.6836728222450757E-49</v>
      </c>
      <c r="H945" s="1">
        <f t="shared" si="154"/>
        <v>2.6342203137379836E-50</v>
      </c>
      <c r="I945">
        <f t="shared" si="155"/>
        <v>60</v>
      </c>
      <c r="J945">
        <f t="shared" si="156"/>
        <v>858</v>
      </c>
      <c r="K945" s="5">
        <f t="shared" si="157"/>
        <v>0</v>
      </c>
      <c r="L945">
        <f t="shared" si="158"/>
        <v>85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-109.95914737012015</v>
      </c>
      <c r="F946" s="1">
        <f t="shared" si="164"/>
        <v>-111.96118017931921</v>
      </c>
      <c r="G946" s="1">
        <f t="shared" si="161"/>
        <v>2.3761686446961574E-49</v>
      </c>
      <c r="H946" s="1">
        <f t="shared" si="154"/>
        <v>2.3323825694555033E-50</v>
      </c>
      <c r="I946">
        <f t="shared" si="155"/>
        <v>60</v>
      </c>
      <c r="J946">
        <f t="shared" si="156"/>
        <v>859</v>
      </c>
      <c r="K946" s="5">
        <f t="shared" si="157"/>
        <v>0</v>
      </c>
      <c r="L946">
        <f t="shared" si="158"/>
        <v>85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-110.08084430509767</v>
      </c>
      <c r="F947" s="1">
        <f t="shared" si="164"/>
        <v>-112.08287711429674</v>
      </c>
      <c r="G947" s="1">
        <f t="shared" si="161"/>
        <v>2.10389932082472E-49</v>
      </c>
      <c r="H947" s="1">
        <f t="shared" si="154"/>
        <v>2.0651304000387242E-50</v>
      </c>
      <c r="I947">
        <f t="shared" si="155"/>
        <v>60</v>
      </c>
      <c r="J947">
        <f t="shared" si="156"/>
        <v>860</v>
      </c>
      <c r="K947" s="5">
        <f t="shared" si="157"/>
        <v>0</v>
      </c>
      <c r="L947">
        <f t="shared" si="158"/>
        <v>85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-110.20254124007519</v>
      </c>
      <c r="F948" s="1">
        <f t="shared" si="164"/>
        <v>-112.20457404927426</v>
      </c>
      <c r="G948" s="1">
        <f t="shared" si="161"/>
        <v>1.8628275236468848E-49</v>
      </c>
      <c r="H948" s="1">
        <f t="shared" si="154"/>
        <v>1.8285008750342842E-50</v>
      </c>
      <c r="I948">
        <f t="shared" si="155"/>
        <v>60</v>
      </c>
      <c r="J948">
        <f t="shared" si="156"/>
        <v>861</v>
      </c>
      <c r="K948" s="5">
        <f t="shared" si="157"/>
        <v>0</v>
      </c>
      <c r="L948">
        <f t="shared" si="158"/>
        <v>85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-110.32423817505271</v>
      </c>
      <c r="F949" s="1">
        <f t="shared" si="164"/>
        <v>-112.32627098425178</v>
      </c>
      <c r="G949" s="1">
        <f t="shared" si="161"/>
        <v>1.6493785365623434E-49</v>
      </c>
      <c r="H949" s="1">
        <f t="shared" si="154"/>
        <v>1.6189851497699368E-50</v>
      </c>
      <c r="I949">
        <f t="shared" si="155"/>
        <v>60</v>
      </c>
      <c r="J949">
        <f t="shared" si="156"/>
        <v>862</v>
      </c>
      <c r="K949" s="5">
        <f t="shared" si="157"/>
        <v>0</v>
      </c>
      <c r="L949">
        <f t="shared" si="158"/>
        <v>85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-110.44593511003023</v>
      </c>
      <c r="F950" s="1">
        <f t="shared" si="164"/>
        <v>-112.4479679192293</v>
      </c>
      <c r="G950" s="1">
        <f t="shared" si="161"/>
        <v>1.4603872459145728E-49</v>
      </c>
      <c r="H950" s="1">
        <f t="shared" si="154"/>
        <v>1.4334764346921294E-50</v>
      </c>
      <c r="I950">
        <f t="shared" si="155"/>
        <v>60</v>
      </c>
      <c r="J950">
        <f t="shared" si="156"/>
        <v>863</v>
      </c>
      <c r="K950" s="5">
        <f t="shared" si="157"/>
        <v>0</v>
      </c>
      <c r="L950">
        <f t="shared" si="158"/>
        <v>85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-110.56763204500776</v>
      </c>
      <c r="F951" s="1">
        <f t="shared" si="164"/>
        <v>-112.56966485420682</v>
      </c>
      <c r="G951" s="1">
        <f t="shared" si="161"/>
        <v>1.2930512073201929E-49</v>
      </c>
      <c r="H951" s="1">
        <f t="shared" si="154"/>
        <v>1.2692239265503212E-50</v>
      </c>
      <c r="I951">
        <f t="shared" si="155"/>
        <v>60</v>
      </c>
      <c r="J951">
        <f t="shared" si="156"/>
        <v>864</v>
      </c>
      <c r="K951" s="5">
        <f t="shared" si="157"/>
        <v>0</v>
      </c>
      <c r="L951">
        <f t="shared" si="158"/>
        <v>85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-110.68932897998528</v>
      </c>
      <c r="F952" s="1">
        <f t="shared" si="164"/>
        <v>-112.69136178918434</v>
      </c>
      <c r="G952" s="1">
        <f t="shared" si="161"/>
        <v>1.1448890898147525E-49</v>
      </c>
      <c r="H952" s="1">
        <f t="shared" si="154"/>
        <v>1.1237920182997621E-50</v>
      </c>
      <c r="I952">
        <f t="shared" si="155"/>
        <v>60</v>
      </c>
      <c r="J952">
        <f t="shared" si="156"/>
        <v>865</v>
      </c>
      <c r="K952" s="5">
        <f t="shared" si="157"/>
        <v>0</v>
      </c>
      <c r="L952">
        <f t="shared" si="158"/>
        <v>85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-110.8110259149628</v>
      </c>
      <c r="F953" s="1">
        <f t="shared" si="164"/>
        <v>-112.81305872416186</v>
      </c>
      <c r="G953" s="1">
        <f t="shared" si="161"/>
        <v>1.0137038816068106E-49</v>
      </c>
      <c r="H953" s="1">
        <f t="shared" si="154"/>
        <v>9.9502418286957948E-51</v>
      </c>
      <c r="I953">
        <f t="shared" si="155"/>
        <v>60</v>
      </c>
      <c r="J953">
        <f t="shared" si="156"/>
        <v>866</v>
      </c>
      <c r="K953" s="5">
        <f t="shared" si="157"/>
        <v>0</v>
      </c>
      <c r="L953">
        <f t="shared" si="158"/>
        <v>85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-110.93272284994032</v>
      </c>
      <c r="F954" s="1">
        <f t="shared" si="164"/>
        <v>-112.93475565913938</v>
      </c>
      <c r="G954" s="1">
        <f t="shared" si="161"/>
        <v>8.9755031183936231E-50</v>
      </c>
      <c r="H954" s="1">
        <f t="shared" si="154"/>
        <v>8.8101099524910563E-51</v>
      </c>
      <c r="I954">
        <f t="shared" si="155"/>
        <v>60</v>
      </c>
      <c r="J954">
        <f t="shared" si="156"/>
        <v>867</v>
      </c>
      <c r="K954" s="5">
        <f t="shared" si="157"/>
        <v>0</v>
      </c>
      <c r="L954">
        <f t="shared" si="158"/>
        <v>85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-111.05441978491784</v>
      </c>
      <c r="F955" s="1">
        <f t="shared" si="164"/>
        <v>-113.05645259411691</v>
      </c>
      <c r="G955" s="1">
        <f t="shared" si="161"/>
        <v>7.9470600527443429E-50</v>
      </c>
      <c r="H955" s="1">
        <f t="shared" si="154"/>
        <v>7.8006181871014446E-51</v>
      </c>
      <c r="I955">
        <f t="shared" si="155"/>
        <v>60</v>
      </c>
      <c r="J955">
        <f t="shared" si="156"/>
        <v>868</v>
      </c>
      <c r="K955" s="5">
        <f t="shared" si="157"/>
        <v>0</v>
      </c>
      <c r="L955">
        <f t="shared" si="158"/>
        <v>85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-111.17611671989536</v>
      </c>
      <c r="F956" s="1">
        <f t="shared" si="164"/>
        <v>-113.17814952909443</v>
      </c>
      <c r="G956" s="1">
        <f t="shared" si="161"/>
        <v>7.03645942170071E-50</v>
      </c>
      <c r="H956" s="1">
        <f t="shared" si="154"/>
        <v>6.9067973531627281E-51</v>
      </c>
      <c r="I956">
        <f t="shared" si="155"/>
        <v>60</v>
      </c>
      <c r="J956">
        <f t="shared" si="156"/>
        <v>869</v>
      </c>
      <c r="K956" s="5">
        <f t="shared" si="157"/>
        <v>0</v>
      </c>
      <c r="L956">
        <f t="shared" si="158"/>
        <v>85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-111.29781365487288</v>
      </c>
      <c r="F957" s="1">
        <f t="shared" si="164"/>
        <v>-113.29984646407195</v>
      </c>
      <c r="G957" s="1">
        <f t="shared" si="161"/>
        <v>6.2301984462974949E-50</v>
      </c>
      <c r="H957" s="1">
        <f t="shared" si="154"/>
        <v>6.1153934897794893E-51</v>
      </c>
      <c r="I957">
        <f t="shared" si="155"/>
        <v>60</v>
      </c>
      <c r="J957">
        <f t="shared" si="156"/>
        <v>870</v>
      </c>
      <c r="K957" s="5">
        <f t="shared" si="157"/>
        <v>0</v>
      </c>
      <c r="L957">
        <f t="shared" si="158"/>
        <v>85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-111.4195105898504</v>
      </c>
      <c r="F958" s="1">
        <f t="shared" si="164"/>
        <v>-113.42154339904947</v>
      </c>
      <c r="G958" s="1">
        <f t="shared" si="161"/>
        <v>5.5163215409925655E-50</v>
      </c>
      <c r="H958" s="1">
        <f t="shared" si="154"/>
        <v>5.4146713190755823E-51</v>
      </c>
      <c r="I958">
        <f t="shared" si="155"/>
        <v>60</v>
      </c>
      <c r="J958">
        <f t="shared" si="156"/>
        <v>871</v>
      </c>
      <c r="K958" s="5">
        <f t="shared" si="157"/>
        <v>0</v>
      </c>
      <c r="L958">
        <f t="shared" si="158"/>
        <v>85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-111.54120752482793</v>
      </c>
      <c r="F959" s="1">
        <f t="shared" si="164"/>
        <v>-113.54324033402699</v>
      </c>
      <c r="G959" s="1">
        <f t="shared" si="161"/>
        <v>4.8842430310871608E-50</v>
      </c>
      <c r="H959" s="1">
        <f t="shared" si="154"/>
        <v>4.7942402304314982E-51</v>
      </c>
      <c r="I959">
        <f t="shared" si="155"/>
        <v>60</v>
      </c>
      <c r="J959">
        <f t="shared" si="156"/>
        <v>872</v>
      </c>
      <c r="K959" s="5">
        <f t="shared" si="157"/>
        <v>0</v>
      </c>
      <c r="L959">
        <f t="shared" si="158"/>
        <v>85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-111.66290445980545</v>
      </c>
      <c r="F960" s="1">
        <f t="shared" si="164"/>
        <v>-113.66493726900451</v>
      </c>
      <c r="G960" s="1">
        <f t="shared" si="161"/>
        <v>4.3245901837750833E-50</v>
      </c>
      <c r="H960" s="1">
        <f t="shared" si="154"/>
        <v>4.2449002040278823E-51</v>
      </c>
      <c r="I960">
        <f t="shared" si="155"/>
        <v>60</v>
      </c>
      <c r="J960">
        <f t="shared" si="156"/>
        <v>873</v>
      </c>
      <c r="K960" s="5">
        <f t="shared" si="157"/>
        <v>0</v>
      </c>
      <c r="L960">
        <f t="shared" si="158"/>
        <v>85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-111.78460139478297</v>
      </c>
      <c r="F961" s="1">
        <f t="shared" si="164"/>
        <v>-113.78663420398203</v>
      </c>
      <c r="G961" s="1">
        <f t="shared" si="161"/>
        <v>3.8290642252175166E-50</v>
      </c>
      <c r="H961" s="1">
        <f t="shared" si="154"/>
        <v>3.7585053889830161E-51</v>
      </c>
      <c r="I961">
        <f t="shared" si="155"/>
        <v>60</v>
      </c>
      <c r="J961">
        <f t="shared" si="156"/>
        <v>874</v>
      </c>
      <c r="K961" s="5">
        <f t="shared" si="157"/>
        <v>0</v>
      </c>
      <c r="L961">
        <f t="shared" si="158"/>
        <v>85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-111.90629832976049</v>
      </c>
      <c r="F962" s="1">
        <f t="shared" si="164"/>
        <v>-113.90833113895955</v>
      </c>
      <c r="G962" s="1">
        <f t="shared" si="161"/>
        <v>3.3903172827446714E-50</v>
      </c>
      <c r="H962" s="1">
        <f t="shared" si="154"/>
        <v>3.3278433131620405E-51</v>
      </c>
      <c r="I962">
        <f t="shared" si="155"/>
        <v>60</v>
      </c>
      <c r="J962">
        <f t="shared" si="156"/>
        <v>875</v>
      </c>
      <c r="K962" s="5">
        <f t="shared" si="157"/>
        <v>0</v>
      </c>
      <c r="L962">
        <f t="shared" si="158"/>
        <v>85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-112.02799526473801</v>
      </c>
      <c r="F963" s="1">
        <f t="shared" si="164"/>
        <v>-114.03002807393707</v>
      </c>
      <c r="G963" s="1">
        <f t="shared" si="161"/>
        <v>3.0018434274301734E-50</v>
      </c>
      <c r="H963" s="1">
        <f t="shared" si="154"/>
        <v>2.946527933528886E-51</v>
      </c>
      <c r="I963">
        <f t="shared" si="155"/>
        <v>60</v>
      </c>
      <c r="J963">
        <f t="shared" si="156"/>
        <v>876</v>
      </c>
      <c r="K963" s="5">
        <f t="shared" si="157"/>
        <v>0</v>
      </c>
      <c r="L963">
        <f t="shared" si="158"/>
        <v>85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-112.14969219971553</v>
      </c>
      <c r="F964" s="1">
        <f t="shared" si="164"/>
        <v>-114.1517250089146</v>
      </c>
      <c r="G964" s="1">
        <f t="shared" si="161"/>
        <v>2.6578822013704621E-50</v>
      </c>
      <c r="H964" s="1">
        <f t="shared" si="154"/>
        <v>2.6089049411453637E-51</v>
      </c>
      <c r="I964">
        <f t="shared" si="155"/>
        <v>60</v>
      </c>
      <c r="J964">
        <f t="shared" si="156"/>
        <v>877</v>
      </c>
      <c r="K964" s="5">
        <f t="shared" si="157"/>
        <v>0</v>
      </c>
      <c r="L964">
        <f t="shared" si="158"/>
        <v>85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-112.27138913469305</v>
      </c>
      <c r="F965" s="1">
        <f t="shared" si="164"/>
        <v>-114.27342194389212</v>
      </c>
      <c r="G965" s="1">
        <f t="shared" si="161"/>
        <v>2.3533331991300932E-50</v>
      </c>
      <c r="H965" s="1">
        <f t="shared" si="154"/>
        <v>2.309967916639121E-51</v>
      </c>
      <c r="I965">
        <f t="shared" si="155"/>
        <v>60</v>
      </c>
      <c r="J965">
        <f t="shared" si="156"/>
        <v>878</v>
      </c>
      <c r="K965" s="5">
        <f t="shared" si="157"/>
        <v>0</v>
      </c>
      <c r="L965">
        <f t="shared" si="158"/>
        <v>85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-112.39308606967057</v>
      </c>
      <c r="F966" s="1">
        <f t="shared" si="164"/>
        <v>-114.39511887886964</v>
      </c>
      <c r="G966" s="1">
        <f t="shared" si="161"/>
        <v>2.0836804367297673E-50</v>
      </c>
      <c r="H966" s="1">
        <f t="shared" si="154"/>
        <v>2.0452840928575522E-51</v>
      </c>
      <c r="I966">
        <f t="shared" si="155"/>
        <v>60</v>
      </c>
      <c r="J966">
        <f t="shared" si="156"/>
        <v>879</v>
      </c>
      <c r="K966" s="5">
        <f t="shared" si="157"/>
        <v>0</v>
      </c>
      <c r="L966">
        <f t="shared" si="158"/>
        <v>85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-112.51478300464809</v>
      </c>
      <c r="F967" s="1">
        <f t="shared" si="164"/>
        <v>-114.51681581384716</v>
      </c>
      <c r="G967" s="1">
        <f t="shared" si="161"/>
        <v>1.8449253866878121E-50</v>
      </c>
      <c r="H967" s="1">
        <f t="shared" si="154"/>
        <v>1.8109286238842886E-51</v>
      </c>
      <c r="I967">
        <f t="shared" si="155"/>
        <v>60</v>
      </c>
      <c r="J967">
        <f t="shared" si="156"/>
        <v>880</v>
      </c>
      <c r="K967" s="5">
        <f t="shared" si="157"/>
        <v>0</v>
      </c>
      <c r="L967">
        <f t="shared" si="158"/>
        <v>85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-112.63647993962562</v>
      </c>
      <c r="F968" s="1">
        <f t="shared" si="164"/>
        <v>-114.63851274882468</v>
      </c>
      <c r="G968" s="1">
        <f t="shared" si="161"/>
        <v>1.6335276861298315E-50</v>
      </c>
      <c r="H968" s="1">
        <f t="shared" si="154"/>
        <v>1.6034263857308781E-51</v>
      </c>
      <c r="I968">
        <f t="shared" si="155"/>
        <v>60</v>
      </c>
      <c r="J968">
        <f t="shared" si="156"/>
        <v>881</v>
      </c>
      <c r="K968" s="5">
        <f t="shared" si="157"/>
        <v>0</v>
      </c>
      <c r="L968">
        <f t="shared" si="158"/>
        <v>85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-112.75817687460314</v>
      </c>
      <c r="F969" s="1">
        <f t="shared" si="164"/>
        <v>-114.7602096838022</v>
      </c>
      <c r="G969" s="1">
        <f t="shared" si="161"/>
        <v>1.4463526387607862E-50</v>
      </c>
      <c r="H969" s="1">
        <f t="shared" si="154"/>
        <v>1.419700445699213E-51</v>
      </c>
      <c r="I969">
        <f t="shared" si="155"/>
        <v>60</v>
      </c>
      <c r="J969">
        <f t="shared" si="156"/>
        <v>882</v>
      </c>
      <c r="K969" s="5">
        <f t="shared" si="157"/>
        <v>0</v>
      </c>
      <c r="L969">
        <f t="shared" si="158"/>
        <v>85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-112.87987380958066</v>
      </c>
      <c r="F970" s="1">
        <f t="shared" si="164"/>
        <v>-114.88190661877972</v>
      </c>
      <c r="G970" s="1">
        <f t="shared" si="161"/>
        <v>1.2806247322361108E-50</v>
      </c>
      <c r="H970" s="1">
        <f t="shared" si="154"/>
        <v>1.2570264362961763E-51</v>
      </c>
      <c r="I970">
        <f t="shared" si="155"/>
        <v>60</v>
      </c>
      <c r="J970">
        <f t="shared" si="156"/>
        <v>883</v>
      </c>
      <c r="K970" s="5">
        <f t="shared" si="157"/>
        <v>0</v>
      </c>
      <c r="L970">
        <f t="shared" si="158"/>
        <v>85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-113.00157074455818</v>
      </c>
      <c r="F971" s="1">
        <f t="shared" si="164"/>
        <v>-115.00360355375724</v>
      </c>
      <c r="G971" s="1">
        <f t="shared" si="161"/>
        <v>1.1338864816673881E-50</v>
      </c>
      <c r="H971" s="1">
        <f t="shared" si="154"/>
        <v>1.1129921571372378E-51</v>
      </c>
      <c r="I971">
        <f t="shared" si="155"/>
        <v>60</v>
      </c>
      <c r="J971">
        <f t="shared" si="156"/>
        <v>884</v>
      </c>
      <c r="K971" s="5">
        <f t="shared" si="157"/>
        <v>0</v>
      </c>
      <c r="L971">
        <f t="shared" si="158"/>
        <v>85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-113.1232676795357</v>
      </c>
      <c r="F972" s="1">
        <f t="shared" si="164"/>
        <v>-115.12530048873477</v>
      </c>
      <c r="G972" s="1">
        <f t="shared" si="161"/>
        <v>1.0039619889763319E-50</v>
      </c>
      <c r="H972" s="1">
        <f t="shared" si="154"/>
        <v>9.8546180579859462E-52</v>
      </c>
      <c r="I972">
        <f t="shared" si="155"/>
        <v>60</v>
      </c>
      <c r="J972">
        <f t="shared" si="156"/>
        <v>885</v>
      </c>
      <c r="K972" s="5">
        <f t="shared" si="157"/>
        <v>0</v>
      </c>
      <c r="L972">
        <f t="shared" si="158"/>
        <v>85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-113.24496461451322</v>
      </c>
      <c r="F973" s="1">
        <f t="shared" si="164"/>
        <v>-115.24699742371229</v>
      </c>
      <c r="G973" s="1">
        <f t="shared" si="161"/>
        <v>8.8892467773945926E-51</v>
      </c>
      <c r="H973" s="1">
        <f t="shared" si="154"/>
        <v>8.7254430721750449E-52</v>
      </c>
      <c r="I973">
        <f t="shared" si="155"/>
        <v>60</v>
      </c>
      <c r="J973">
        <f t="shared" si="156"/>
        <v>886</v>
      </c>
      <c r="K973" s="5">
        <f t="shared" si="157"/>
        <v>0</v>
      </c>
      <c r="L973">
        <f t="shared" si="158"/>
        <v>85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-113.36666154949074</v>
      </c>
      <c r="F974" s="1">
        <f t="shared" si="164"/>
        <v>-115.36869435868981</v>
      </c>
      <c r="G974" s="1">
        <f t="shared" si="161"/>
        <v>7.8706872508181177E-51</v>
      </c>
      <c r="H974" s="1">
        <f t="shared" si="154"/>
        <v>7.7256527201549768E-52</v>
      </c>
      <c r="I974">
        <f t="shared" si="155"/>
        <v>60</v>
      </c>
      <c r="J974">
        <f t="shared" si="156"/>
        <v>887</v>
      </c>
      <c r="K974" s="5">
        <f t="shared" si="157"/>
        <v>0</v>
      </c>
      <c r="L974">
        <f t="shared" si="158"/>
        <v>85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-113.48835848446826</v>
      </c>
      <c r="F975" s="1">
        <f t="shared" si="164"/>
        <v>-115.49039129366733</v>
      </c>
      <c r="G975" s="1">
        <f t="shared" si="161"/>
        <v>6.9688376699951978E-51</v>
      </c>
      <c r="H975" s="1">
        <f t="shared" si="154"/>
        <v>6.8404216793038747E-52</v>
      </c>
      <c r="I975">
        <f t="shared" si="155"/>
        <v>60</v>
      </c>
      <c r="J975">
        <f t="shared" si="156"/>
        <v>888</v>
      </c>
      <c r="K975" s="5">
        <f t="shared" si="157"/>
        <v>0</v>
      </c>
      <c r="L975">
        <f t="shared" si="158"/>
        <v>85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-113.61005541944579</v>
      </c>
      <c r="F976" s="1">
        <f t="shared" si="164"/>
        <v>-115.61208822864485</v>
      </c>
      <c r="G976" s="1">
        <f t="shared" si="161"/>
        <v>6.1703250203082396E-51</v>
      </c>
      <c r="H976" s="1">
        <f t="shared" si="154"/>
        <v>6.056623361883631E-52</v>
      </c>
      <c r="I976">
        <f t="shared" si="155"/>
        <v>60</v>
      </c>
      <c r="J976">
        <f t="shared" si="156"/>
        <v>889</v>
      </c>
      <c r="K976" s="5">
        <f t="shared" si="157"/>
        <v>0</v>
      </c>
      <c r="L976">
        <f t="shared" si="158"/>
        <v>85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-113.73175235442331</v>
      </c>
      <c r="F977" s="1">
        <f t="shared" si="164"/>
        <v>-115.73378516362237</v>
      </c>
      <c r="G977" s="1">
        <f t="shared" si="161"/>
        <v>5.4633086117312462E-51</v>
      </c>
      <c r="H977" s="1">
        <f t="shared" si="154"/>
        <v>5.362635268334457E-52</v>
      </c>
      <c r="I977">
        <f t="shared" si="155"/>
        <v>60</v>
      </c>
      <c r="J977">
        <f t="shared" si="156"/>
        <v>890</v>
      </c>
      <c r="K977" s="5">
        <f t="shared" si="157"/>
        <v>0</v>
      </c>
      <c r="L977">
        <f t="shared" si="158"/>
        <v>85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-113.85344928940083</v>
      </c>
      <c r="F978" s="1">
        <f t="shared" si="164"/>
        <v>-115.85548209859989</v>
      </c>
      <c r="G978" s="1">
        <f t="shared" si="161"/>
        <v>4.8373044999703673E-51</v>
      </c>
      <c r="H978" s="1">
        <f t="shared" si="154"/>
        <v>4.7481666438377942E-52</v>
      </c>
      <c r="I978">
        <f t="shared" si="155"/>
        <v>60</v>
      </c>
      <c r="J978">
        <f t="shared" si="156"/>
        <v>891</v>
      </c>
      <c r="K978" s="5">
        <f t="shared" si="157"/>
        <v>0</v>
      </c>
      <c r="L978">
        <f t="shared" si="158"/>
        <v>85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-113.97514622437835</v>
      </c>
      <c r="F979" s="1">
        <f t="shared" si="164"/>
        <v>-115.97717903357741</v>
      </c>
      <c r="G979" s="1">
        <f t="shared" si="161"/>
        <v>4.2830300260154231E-51</v>
      </c>
      <c r="H979" s="1">
        <f t="shared" si="154"/>
        <v>4.2041058825647073E-52</v>
      </c>
      <c r="I979">
        <f t="shared" si="155"/>
        <v>60</v>
      </c>
      <c r="J979">
        <f t="shared" si="156"/>
        <v>892</v>
      </c>
      <c r="K979" s="5">
        <f t="shared" si="157"/>
        <v>0</v>
      </c>
      <c r="L979">
        <f t="shared" si="158"/>
        <v>85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-114.09684315935587</v>
      </c>
      <c r="F980" s="1">
        <f t="shared" si="164"/>
        <v>-116.09887596855494</v>
      </c>
      <c r="G980" s="1">
        <f t="shared" si="161"/>
        <v>3.7922661688678171E-51</v>
      </c>
      <c r="H980" s="1">
        <f t="shared" si="154"/>
        <v>3.7223854168541624E-52</v>
      </c>
      <c r="I980">
        <f t="shared" si="155"/>
        <v>60</v>
      </c>
      <c r="J980">
        <f t="shared" si="156"/>
        <v>893</v>
      </c>
      <c r="K980" s="5">
        <f t="shared" si="157"/>
        <v>0</v>
      </c>
      <c r="L980">
        <f t="shared" si="158"/>
        <v>85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-114.21854009433339</v>
      </c>
      <c r="F981" s="1">
        <f t="shared" si="164"/>
        <v>-116.22057290353246</v>
      </c>
      <c r="G981" s="1">
        <f t="shared" si="161"/>
        <v>3.3577356703517084E-51</v>
      </c>
      <c r="H981" s="1">
        <f t="shared" si="154"/>
        <v>3.2958620878396184E-52</v>
      </c>
      <c r="I981">
        <f t="shared" si="155"/>
        <v>60</v>
      </c>
      <c r="J981">
        <f t="shared" si="156"/>
        <v>894</v>
      </c>
      <c r="K981" s="5">
        <f t="shared" si="157"/>
        <v>0</v>
      </c>
      <c r="L981">
        <f t="shared" si="158"/>
        <v>85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-114.34023702931091</v>
      </c>
      <c r="F982" s="1">
        <f t="shared" si="164"/>
        <v>-116.34226983850998</v>
      </c>
      <c r="G982" s="1">
        <f t="shared" si="161"/>
        <v>2.972995124790571E-51</v>
      </c>
      <c r="H982" s="1">
        <f t="shared" si="154"/>
        <v>2.9182112236079915E-52</v>
      </c>
      <c r="I982">
        <f t="shared" si="155"/>
        <v>60</v>
      </c>
      <c r="J982">
        <f t="shared" si="156"/>
        <v>895</v>
      </c>
      <c r="K982" s="5">
        <f t="shared" si="157"/>
        <v>0</v>
      </c>
      <c r="L982">
        <f t="shared" si="158"/>
        <v>85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-114.46193396428843</v>
      </c>
      <c r="F983" s="1">
        <f t="shared" si="164"/>
        <v>-116.4639667734875</v>
      </c>
      <c r="G983" s="1">
        <f t="shared" si="161"/>
        <v>2.6323394334083144E-51</v>
      </c>
      <c r="H983" s="1">
        <f t="shared" ref="H983:H1046" si="165">G983/$G$21</f>
        <v>2.5838328542362388E-52</v>
      </c>
      <c r="I983">
        <f t="shared" ref="I983:I1046" si="166">IF($F$11&lt;=D983, IF(D983&lt;=$A$15,D983-$F$11,$C$11),0)</f>
        <v>60</v>
      </c>
      <c r="J983">
        <f t="shared" ref="J983:J1046" si="167">IF(D983&lt;=$A$15,0,D983-$A$15)</f>
        <v>896</v>
      </c>
      <c r="K983" s="5">
        <f t="shared" ref="K983:K1046" si="168">IF(D983&lt;$F$11,H983,0)</f>
        <v>0</v>
      </c>
      <c r="L983">
        <f t="shared" ref="L983:L1046" si="169">IF(D983&lt;$A$15,$D$11,$D$11*(1-$H$11))</f>
        <v>85</v>
      </c>
      <c r="M983">
        <f t="shared" ref="M983:M1046" si="170">IF(D983&lt;$A$15,0,1)</f>
        <v>1</v>
      </c>
      <c r="N983">
        <f t="shared" ref="N983:N1046" si="171">IF(SUM(I983:J983)&lt;=($G$11/60*$F$11/($E$11/60)),1,0)</f>
        <v>0</v>
      </c>
    </row>
    <row r="984" spans="4:14" x14ac:dyDescent="0.2">
      <c r="D984">
        <f t="shared" si="162"/>
        <v>961</v>
      </c>
      <c r="E984" s="1">
        <f t="shared" si="163"/>
        <v>-114.58363089926596</v>
      </c>
      <c r="F984" s="1">
        <f t="shared" si="164"/>
        <v>-116.58566370846502</v>
      </c>
      <c r="G984" s="1">
        <f t="shared" ref="G984:G1047" si="172">EXP(F984)</f>
        <v>2.3307172066636082E-51</v>
      </c>
      <c r="H984" s="1">
        <f t="shared" si="165"/>
        <v>2.2877686730216665E-52</v>
      </c>
      <c r="I984">
        <f t="shared" si="166"/>
        <v>60</v>
      </c>
      <c r="J984">
        <f t="shared" si="167"/>
        <v>897</v>
      </c>
      <c r="K984" s="5">
        <f t="shared" si="168"/>
        <v>0</v>
      </c>
      <c r="L984">
        <f t="shared" si="169"/>
        <v>85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IF($H$11=1,IF(D985&lt;=$A$15, E984+LN($D$11)-LN(60/$E$11)-LN(MIN(D985,$F$11)), E984-LN(60/$E$11)-LN(MIN(D985,$F$11))), IF(D985&lt;=$A$15, E984+LN($D$11)-LN(60/$E$11)-LN(MIN(D985,$F$11)), E984+LN($D$11)+LN(1-$H$11)-LN(60/$E$11)-LN(MIN(D985,$F$11))))</f>
        <v>-114.70532783424348</v>
      </c>
      <c r="F985" s="1">
        <f t="shared" ref="F985:F1048" si="175">E985-$E$21</f>
        <v>-116.70736064344254</v>
      </c>
      <c r="G985" s="1">
        <f t="shared" si="172"/>
        <v>2.0636558600667337E-51</v>
      </c>
      <c r="H985" s="1">
        <f t="shared" si="165"/>
        <v>2.0256285125712645E-52</v>
      </c>
      <c r="I985">
        <f t="shared" si="166"/>
        <v>60</v>
      </c>
      <c r="J985">
        <f t="shared" si="167"/>
        <v>898</v>
      </c>
      <c r="K985" s="5">
        <f t="shared" si="168"/>
        <v>0</v>
      </c>
      <c r="L985">
        <f t="shared" si="169"/>
        <v>85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-114.827024769221</v>
      </c>
      <c r="F986" s="1">
        <f t="shared" si="175"/>
        <v>-116.82905757842006</v>
      </c>
      <c r="G986" s="1">
        <f t="shared" si="172"/>
        <v>1.8271952927674177E-51</v>
      </c>
      <c r="H986" s="1">
        <f t="shared" si="165"/>
        <v>1.7935252455058042E-52</v>
      </c>
      <c r="I986">
        <f t="shared" si="166"/>
        <v>60</v>
      </c>
      <c r="J986">
        <f t="shared" si="167"/>
        <v>899</v>
      </c>
      <c r="K986" s="5">
        <f t="shared" si="168"/>
        <v>0</v>
      </c>
      <c r="L986">
        <f t="shared" si="169"/>
        <v>85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-114.94872170419852</v>
      </c>
      <c r="F987" s="1">
        <f t="shared" si="175"/>
        <v>-116.95075451339758</v>
      </c>
      <c r="G987" s="1">
        <f t="shared" si="172"/>
        <v>1.6178291654711488E-51</v>
      </c>
      <c r="H987" s="1">
        <f t="shared" si="165"/>
        <v>1.5880171444582621E-52</v>
      </c>
      <c r="I987">
        <f t="shared" si="166"/>
        <v>60</v>
      </c>
      <c r="J987">
        <f t="shared" si="167"/>
        <v>900</v>
      </c>
      <c r="K987" s="5">
        <f t="shared" si="168"/>
        <v>0</v>
      </c>
      <c r="L987">
        <f t="shared" si="169"/>
        <v>85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-115.07041863917604</v>
      </c>
      <c r="F988" s="1">
        <f t="shared" si="175"/>
        <v>-117.07245144837511</v>
      </c>
      <c r="G988" s="1">
        <f t="shared" si="172"/>
        <v>1.4324529069275776E-51</v>
      </c>
      <c r="H988" s="1">
        <f t="shared" si="165"/>
        <v>1.4060568466557507E-52</v>
      </c>
      <c r="I988">
        <f t="shared" si="166"/>
        <v>60</v>
      </c>
      <c r="J988">
        <f t="shared" si="167"/>
        <v>901</v>
      </c>
      <c r="K988" s="5">
        <f t="shared" si="168"/>
        <v>0</v>
      </c>
      <c r="L988">
        <f t="shared" si="169"/>
        <v>85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-115.19211557415356</v>
      </c>
      <c r="F989" s="1">
        <f t="shared" si="175"/>
        <v>-117.19414838335263</v>
      </c>
      <c r="G989" s="1">
        <f t="shared" si="172"/>
        <v>1.2683176780087909E-51</v>
      </c>
      <c r="H989" s="1">
        <f t="shared" si="165"/>
        <v>1.2449461663097776E-52</v>
      </c>
      <c r="I989">
        <f t="shared" si="166"/>
        <v>60</v>
      </c>
      <c r="J989">
        <f t="shared" si="167"/>
        <v>902</v>
      </c>
      <c r="K989" s="5">
        <f t="shared" si="168"/>
        <v>0</v>
      </c>
      <c r="L989">
        <f t="shared" si="169"/>
        <v>85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-115.31381250913108</v>
      </c>
      <c r="F990" s="1">
        <f t="shared" si="175"/>
        <v>-117.31584531833015</v>
      </c>
      <c r="G990" s="1">
        <f t="shared" si="172"/>
        <v>1.1229896107369486E-51</v>
      </c>
      <c r="H990" s="1">
        <f t="shared" si="165"/>
        <v>1.1022960847534473E-52</v>
      </c>
      <c r="I990">
        <f t="shared" si="166"/>
        <v>60</v>
      </c>
      <c r="J990">
        <f t="shared" si="167"/>
        <v>903</v>
      </c>
      <c r="K990" s="5">
        <f t="shared" si="168"/>
        <v>0</v>
      </c>
      <c r="L990">
        <f t="shared" si="169"/>
        <v>85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-115.4355094441086</v>
      </c>
      <c r="F991" s="1">
        <f t="shared" si="175"/>
        <v>-117.43754225330767</v>
      </c>
      <c r="G991" s="1">
        <f t="shared" si="172"/>
        <v>9.9431371784000528E-52</v>
      </c>
      <c r="H991" s="1">
        <f t="shared" si="165"/>
        <v>9.7599132504211351E-53</v>
      </c>
      <c r="I991">
        <f t="shared" si="166"/>
        <v>60</v>
      </c>
      <c r="J991">
        <f t="shared" si="167"/>
        <v>904</v>
      </c>
      <c r="K991" s="5">
        <f t="shared" si="168"/>
        <v>0</v>
      </c>
      <c r="L991">
        <f t="shared" si="169"/>
        <v>85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-115.55720637908613</v>
      </c>
      <c r="F992" s="1">
        <f t="shared" si="175"/>
        <v>-117.55923918828519</v>
      </c>
      <c r="G992" s="1">
        <f t="shared" si="172"/>
        <v>8.8038193767083669E-52</v>
      </c>
      <c r="H992" s="1">
        <f t="shared" si="165"/>
        <v>8.6415898571437012E-53</v>
      </c>
      <c r="I992">
        <f t="shared" si="166"/>
        <v>60</v>
      </c>
      <c r="J992">
        <f t="shared" si="167"/>
        <v>905</v>
      </c>
      <c r="K992" s="5">
        <f t="shared" si="168"/>
        <v>0</v>
      </c>
      <c r="L992">
        <f t="shared" si="169"/>
        <v>85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-115.67890331406365</v>
      </c>
      <c r="F993" s="1">
        <f t="shared" si="175"/>
        <v>-117.68093612326271</v>
      </c>
      <c r="G993" s="1">
        <f t="shared" si="172"/>
        <v>7.7950484064605214E-52</v>
      </c>
      <c r="H993" s="1">
        <f t="shared" si="165"/>
        <v>7.6514076860126395E-53</v>
      </c>
      <c r="I993">
        <f t="shared" si="166"/>
        <v>60</v>
      </c>
      <c r="J993">
        <f t="shared" si="167"/>
        <v>906</v>
      </c>
      <c r="K993" s="5">
        <f t="shared" si="168"/>
        <v>0</v>
      </c>
      <c r="L993">
        <f t="shared" si="169"/>
        <v>85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-115.80060024904117</v>
      </c>
      <c r="F994" s="1">
        <f t="shared" si="175"/>
        <v>-117.80263305824023</v>
      </c>
      <c r="G994" s="1">
        <f t="shared" si="172"/>
        <v>6.9018657765535773E-52</v>
      </c>
      <c r="H994" s="1">
        <f t="shared" si="165"/>
        <v>6.7746838886570158E-53</v>
      </c>
      <c r="I994">
        <f t="shared" si="166"/>
        <v>60</v>
      </c>
      <c r="J994">
        <f t="shared" si="167"/>
        <v>907</v>
      </c>
      <c r="K994" s="5">
        <f t="shared" si="168"/>
        <v>0</v>
      </c>
      <c r="L994">
        <f t="shared" si="169"/>
        <v>85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-115.92229718401869</v>
      </c>
      <c r="F995" s="1">
        <f t="shared" si="175"/>
        <v>-117.92432999321775</v>
      </c>
      <c r="G995" s="1">
        <f t="shared" si="172"/>
        <v>6.1110269896568047E-52</v>
      </c>
      <c r="H995" s="1">
        <f t="shared" si="165"/>
        <v>5.9984180264150576E-53</v>
      </c>
      <c r="I995">
        <f t="shared" si="166"/>
        <v>60</v>
      </c>
      <c r="J995">
        <f t="shared" si="167"/>
        <v>908</v>
      </c>
      <c r="K995" s="5">
        <f t="shared" si="168"/>
        <v>0</v>
      </c>
      <c r="L995">
        <f t="shared" si="169"/>
        <v>85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-116.04399411899621</v>
      </c>
      <c r="F996" s="1">
        <f t="shared" si="175"/>
        <v>-118.04602692819527</v>
      </c>
      <c r="G996" s="1">
        <f t="shared" si="172"/>
        <v>5.410805147091955E-52</v>
      </c>
      <c r="H996" s="1">
        <f t="shared" si="165"/>
        <v>5.3110992942216579E-53</v>
      </c>
      <c r="I996">
        <f t="shared" si="166"/>
        <v>60</v>
      </c>
      <c r="J996">
        <f t="shared" si="167"/>
        <v>909</v>
      </c>
      <c r="K996" s="5">
        <f t="shared" si="168"/>
        <v>0</v>
      </c>
      <c r="L996">
        <f t="shared" si="169"/>
        <v>85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-116.16569105397373</v>
      </c>
      <c r="F997" s="1">
        <f t="shared" si="175"/>
        <v>-118.1677238631728</v>
      </c>
      <c r="G997" s="1">
        <f t="shared" si="172"/>
        <v>4.7908170573209945E-52</v>
      </c>
      <c r="H997" s="1">
        <f t="shared" si="165"/>
        <v>4.7025358334254197E-53</v>
      </c>
      <c r="I997">
        <f t="shared" si="166"/>
        <v>60</v>
      </c>
      <c r="J997">
        <f t="shared" si="167"/>
        <v>910</v>
      </c>
      <c r="K997" s="5">
        <f t="shared" si="168"/>
        <v>0</v>
      </c>
      <c r="L997">
        <f t="shared" si="169"/>
        <v>85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-116.28738798895125</v>
      </c>
      <c r="F998" s="1">
        <f t="shared" si="175"/>
        <v>-118.28942079815032</v>
      </c>
      <c r="G998" s="1">
        <f t="shared" si="172"/>
        <v>4.2418692695029583E-52</v>
      </c>
      <c r="H998" s="1">
        <f t="shared" si="165"/>
        <v>4.1637036025120846E-53</v>
      </c>
      <c r="I998">
        <f t="shared" si="166"/>
        <v>60</v>
      </c>
      <c r="J998">
        <f t="shared" si="167"/>
        <v>911</v>
      </c>
      <c r="K998" s="5">
        <f t="shared" si="168"/>
        <v>0</v>
      </c>
      <c r="L998">
        <f t="shared" si="169"/>
        <v>85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-116.40908492392877</v>
      </c>
      <c r="F999" s="1">
        <f t="shared" si="175"/>
        <v>-118.41111773312784</v>
      </c>
      <c r="G999" s="1">
        <f t="shared" si="172"/>
        <v>3.7558217490390722E-52</v>
      </c>
      <c r="H999" s="1">
        <f t="shared" si="165"/>
        <v>3.686612564724236E-53</v>
      </c>
      <c r="I999">
        <f t="shared" si="166"/>
        <v>60</v>
      </c>
      <c r="J999">
        <f t="shared" si="167"/>
        <v>912</v>
      </c>
      <c r="K999" s="5">
        <f t="shared" si="168"/>
        <v>0</v>
      </c>
      <c r="L999">
        <f t="shared" si="169"/>
        <v>85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-116.53078185890629</v>
      </c>
      <c r="F1000" s="1">
        <f t="shared" si="175"/>
        <v>-118.53281466810536</v>
      </c>
      <c r="G1000" s="1">
        <f t="shared" si="172"/>
        <v>3.3254671736283403E-52</v>
      </c>
      <c r="H1000" s="1">
        <f t="shared" si="165"/>
        <v>3.2641882083495794E-53</v>
      </c>
      <c r="I1000">
        <f t="shared" si="166"/>
        <v>60</v>
      </c>
      <c r="J1000">
        <f t="shared" si="167"/>
        <v>913</v>
      </c>
      <c r="K1000" s="5">
        <f t="shared" si="168"/>
        <v>0</v>
      </c>
      <c r="L1000">
        <f t="shared" si="169"/>
        <v>85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-116.65247879388382</v>
      </c>
      <c r="F1001" s="1">
        <f t="shared" si="175"/>
        <v>-118.65451160308288</v>
      </c>
      <c r="G1001" s="1">
        <f t="shared" si="172"/>
        <v>2.9444240599834222E-52</v>
      </c>
      <c r="H1001" s="1">
        <f t="shared" si="165"/>
        <v>2.8901666428095192E-53</v>
      </c>
      <c r="I1001">
        <f t="shared" si="166"/>
        <v>60</v>
      </c>
      <c r="J1001">
        <f t="shared" si="167"/>
        <v>914</v>
      </c>
      <c r="K1001" s="5">
        <f t="shared" si="168"/>
        <v>0</v>
      </c>
      <c r="L1001">
        <f t="shared" si="169"/>
        <v>85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-116.77417572886134</v>
      </c>
      <c r="F1002" s="1">
        <f t="shared" si="175"/>
        <v>-118.7762085380604</v>
      </c>
      <c r="G1002" s="1">
        <f t="shared" si="172"/>
        <v>2.6070421364436513E-52</v>
      </c>
      <c r="H1002" s="1">
        <f t="shared" si="165"/>
        <v>2.5590017149875914E-53</v>
      </c>
      <c r="I1002">
        <f t="shared" si="166"/>
        <v>60</v>
      </c>
      <c r="J1002">
        <f t="shared" si="167"/>
        <v>915</v>
      </c>
      <c r="K1002" s="5">
        <f t="shared" si="168"/>
        <v>0</v>
      </c>
      <c r="L1002">
        <f t="shared" si="169"/>
        <v>85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-116.89587266383886</v>
      </c>
      <c r="F1003" s="1">
        <f t="shared" si="175"/>
        <v>-118.89790547303792</v>
      </c>
      <c r="G1003" s="1">
        <f t="shared" si="172"/>
        <v>2.3083185583094798E-52</v>
      </c>
      <c r="H1003" s="1">
        <f t="shared" si="165"/>
        <v>2.2657827684785937E-53</v>
      </c>
      <c r="I1003">
        <f t="shared" si="166"/>
        <v>60</v>
      </c>
      <c r="J1003">
        <f t="shared" si="167"/>
        <v>916</v>
      </c>
      <c r="K1003" s="5">
        <f t="shared" si="168"/>
        <v>0</v>
      </c>
      <c r="L1003">
        <f t="shared" si="169"/>
        <v>85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-117.01756959881638</v>
      </c>
      <c r="F1004" s="1">
        <f t="shared" si="175"/>
        <v>-119.01960240801544</v>
      </c>
      <c r="G1004" s="1">
        <f t="shared" si="172"/>
        <v>2.0438237235031823E-52</v>
      </c>
      <c r="H1004" s="1">
        <f t="shared" si="165"/>
        <v>2.0061618262570852E-53</v>
      </c>
      <c r="I1004">
        <f t="shared" si="166"/>
        <v>60</v>
      </c>
      <c r="J1004">
        <f t="shared" si="167"/>
        <v>917</v>
      </c>
      <c r="K1004" s="5">
        <f t="shared" si="168"/>
        <v>0</v>
      </c>
      <c r="L1004">
        <f t="shared" si="169"/>
        <v>85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-117.1392665337939</v>
      </c>
      <c r="F1005" s="1">
        <f t="shared" si="175"/>
        <v>-119.14129934299297</v>
      </c>
      <c r="G1005" s="1">
        <f t="shared" si="172"/>
        <v>1.8096355885184399E-52</v>
      </c>
      <c r="H1005" s="1">
        <f t="shared" si="165"/>
        <v>1.776289116998458E-53</v>
      </c>
      <c r="I1005">
        <f t="shared" si="166"/>
        <v>60</v>
      </c>
      <c r="J1005">
        <f t="shared" si="167"/>
        <v>918</v>
      </c>
      <c r="K1005" s="5">
        <f t="shared" si="168"/>
        <v>0</v>
      </c>
      <c r="L1005">
        <f t="shared" si="169"/>
        <v>85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-117.26096346877142</v>
      </c>
      <c r="F1006" s="1">
        <f t="shared" si="175"/>
        <v>-119.26299627797049</v>
      </c>
      <c r="G1006" s="1">
        <f t="shared" si="172"/>
        <v>1.6022815106673665E-52</v>
      </c>
      <c r="H1006" s="1">
        <f t="shared" si="165"/>
        <v>1.5727559890090495E-53</v>
      </c>
      <c r="I1006">
        <f t="shared" si="166"/>
        <v>60</v>
      </c>
      <c r="J1006">
        <f t="shared" si="167"/>
        <v>919</v>
      </c>
      <c r="K1006" s="5">
        <f t="shared" si="168"/>
        <v>0</v>
      </c>
      <c r="L1006">
        <f t="shared" si="169"/>
        <v>85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-117.38266040374894</v>
      </c>
      <c r="F1007" s="1">
        <f t="shared" si="175"/>
        <v>-119.38469321294801</v>
      </c>
      <c r="G1007" s="1">
        <f t="shared" si="172"/>
        <v>1.4186867542367286E-52</v>
      </c>
      <c r="H1007" s="1">
        <f t="shared" si="165"/>
        <v>1.392544365268427E-53</v>
      </c>
      <c r="I1007">
        <f t="shared" si="166"/>
        <v>60</v>
      </c>
      <c r="J1007">
        <f t="shared" si="167"/>
        <v>920</v>
      </c>
      <c r="K1007" s="5">
        <f t="shared" si="168"/>
        <v>0</v>
      </c>
      <c r="L1007">
        <f t="shared" si="169"/>
        <v>85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-117.50435733872646</v>
      </c>
      <c r="F1008" s="1">
        <f t="shared" si="175"/>
        <v>-119.50639014792553</v>
      </c>
      <c r="G1008" s="1">
        <f t="shared" si="172"/>
        <v>1.2561288969804351E-52</v>
      </c>
      <c r="H1008" s="1">
        <f t="shared" si="165"/>
        <v>1.232981990081418E-53</v>
      </c>
      <c r="I1008">
        <f t="shared" si="166"/>
        <v>60</v>
      </c>
      <c r="J1008">
        <f t="shared" si="167"/>
        <v>921</v>
      </c>
      <c r="K1008" s="5">
        <f t="shared" si="168"/>
        <v>0</v>
      </c>
      <c r="L1008">
        <f t="shared" si="169"/>
        <v>85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-117.62605427370399</v>
      </c>
      <c r="F1009" s="1">
        <f t="shared" si="175"/>
        <v>-119.62808708290305</v>
      </c>
      <c r="G1009" s="1">
        <f t="shared" si="172"/>
        <v>1.112197460868092E-52</v>
      </c>
      <c r="H1009" s="1">
        <f t="shared" si="165"/>
        <v>1.0917028037179206E-53</v>
      </c>
      <c r="I1009">
        <f t="shared" si="166"/>
        <v>60</v>
      </c>
      <c r="J1009">
        <f t="shared" si="167"/>
        <v>922</v>
      </c>
      <c r="K1009" s="5">
        <f t="shared" si="168"/>
        <v>0</v>
      </c>
      <c r="L1009">
        <f t="shared" si="169"/>
        <v>85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-117.74775120868151</v>
      </c>
      <c r="F1010" s="1">
        <f t="shared" si="175"/>
        <v>-119.74978401788057</v>
      </c>
      <c r="G1010" s="1">
        <f t="shared" si="172"/>
        <v>9.8475816847695496E-53</v>
      </c>
      <c r="H1010" s="1">
        <f t="shared" si="165"/>
        <v>9.6661185745857413E-54</v>
      </c>
      <c r="I1010">
        <f t="shared" si="166"/>
        <v>60</v>
      </c>
      <c r="J1010">
        <f t="shared" si="167"/>
        <v>923</v>
      </c>
      <c r="K1010" s="5">
        <f t="shared" si="168"/>
        <v>0</v>
      </c>
      <c r="L1010">
        <f t="shared" si="169"/>
        <v>85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-117.86944814365903</v>
      </c>
      <c r="F1011" s="1">
        <f t="shared" si="175"/>
        <v>-119.87148095285809</v>
      </c>
      <c r="G1011" s="1">
        <f t="shared" si="172"/>
        <v>8.7192129500563596E-53</v>
      </c>
      <c r="H1011" s="1">
        <f t="shared" si="165"/>
        <v>8.5585424879144462E-54</v>
      </c>
      <c r="I1011">
        <f t="shared" si="166"/>
        <v>60</v>
      </c>
      <c r="J1011">
        <f t="shared" si="167"/>
        <v>924</v>
      </c>
      <c r="K1011" s="5">
        <f t="shared" si="168"/>
        <v>0</v>
      </c>
      <c r="L1011">
        <f t="shared" si="169"/>
        <v>85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-117.99114507863655</v>
      </c>
      <c r="F1012" s="1">
        <f t="shared" si="175"/>
        <v>-119.99317788783561</v>
      </c>
      <c r="G1012" s="1">
        <f t="shared" si="172"/>
        <v>7.7201364661957248E-53</v>
      </c>
      <c r="H1012" s="1">
        <f t="shared" si="165"/>
        <v>7.5778761611742394E-54</v>
      </c>
      <c r="I1012">
        <f t="shared" si="166"/>
        <v>60</v>
      </c>
      <c r="J1012">
        <f t="shared" si="167"/>
        <v>925</v>
      </c>
      <c r="K1012" s="5">
        <f t="shared" si="168"/>
        <v>0</v>
      </c>
      <c r="L1012">
        <f t="shared" si="169"/>
        <v>85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-118.11284201361407</v>
      </c>
      <c r="F1013" s="1">
        <f t="shared" si="175"/>
        <v>-120.11487482281314</v>
      </c>
      <c r="G1013" s="1">
        <f t="shared" si="172"/>
        <v>6.8355374961107882E-53</v>
      </c>
      <c r="H1013" s="1">
        <f t="shared" si="165"/>
        <v>6.7095778510396822E-54</v>
      </c>
      <c r="I1013">
        <f t="shared" si="166"/>
        <v>60</v>
      </c>
      <c r="J1013">
        <f t="shared" si="167"/>
        <v>926</v>
      </c>
      <c r="K1013" s="5">
        <f t="shared" si="168"/>
        <v>0</v>
      </c>
      <c r="L1013">
        <f t="shared" si="169"/>
        <v>85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-118.23453894859159</v>
      </c>
      <c r="F1014" s="1">
        <f t="shared" si="175"/>
        <v>-120.23657175779066</v>
      </c>
      <c r="G1014" s="1">
        <f t="shared" si="172"/>
        <v>6.0522988246814178E-53</v>
      </c>
      <c r="H1014" s="1">
        <f t="shared" si="165"/>
        <v>5.940772055608042E-54</v>
      </c>
      <c r="I1014">
        <f t="shared" si="166"/>
        <v>60</v>
      </c>
      <c r="J1014">
        <f t="shared" si="167"/>
        <v>927</v>
      </c>
      <c r="K1014" s="5">
        <f t="shared" si="168"/>
        <v>0</v>
      </c>
      <c r="L1014">
        <f t="shared" si="169"/>
        <v>85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-118.35623588356911</v>
      </c>
      <c r="F1015" s="1">
        <f t="shared" si="175"/>
        <v>-120.35826869276818</v>
      </c>
      <c r="G1015" s="1">
        <f t="shared" si="172"/>
        <v>5.3588062510199976E-53</v>
      </c>
      <c r="H1015" s="1">
        <f t="shared" si="165"/>
        <v>5.2600585909029471E-54</v>
      </c>
      <c r="I1015">
        <f t="shared" si="166"/>
        <v>60</v>
      </c>
      <c r="J1015">
        <f t="shared" si="167"/>
        <v>928</v>
      </c>
      <c r="K1015" s="5">
        <f t="shared" si="168"/>
        <v>0</v>
      </c>
      <c r="L1015">
        <f t="shared" si="169"/>
        <v>85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-118.47793281854663</v>
      </c>
      <c r="F1016" s="1">
        <f t="shared" si="175"/>
        <v>-120.4799656277457</v>
      </c>
      <c r="G1016" s="1">
        <f t="shared" si="172"/>
        <v>4.7447763680906162E-53</v>
      </c>
      <c r="H1016" s="1">
        <f t="shared" si="165"/>
        <v>4.6573435440286441E-54</v>
      </c>
      <c r="I1016">
        <f t="shared" si="166"/>
        <v>60</v>
      </c>
      <c r="J1016">
        <f t="shared" si="167"/>
        <v>929</v>
      </c>
      <c r="K1016" s="5">
        <f t="shared" si="168"/>
        <v>0</v>
      </c>
      <c r="L1016">
        <f t="shared" si="169"/>
        <v>85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-118.59962975352416</v>
      </c>
      <c r="F1017" s="1">
        <f t="shared" si="175"/>
        <v>-120.60166256272322</v>
      </c>
      <c r="G1017" s="1">
        <f t="shared" si="172"/>
        <v>4.2011040759135609E-53</v>
      </c>
      <c r="H1017" s="1">
        <f t="shared" si="165"/>
        <v>4.1236895962753564E-54</v>
      </c>
      <c r="I1017">
        <f t="shared" si="166"/>
        <v>60</v>
      </c>
      <c r="J1017">
        <f t="shared" si="167"/>
        <v>930</v>
      </c>
      <c r="K1017" s="5">
        <f t="shared" si="168"/>
        <v>0</v>
      </c>
      <c r="L1017">
        <f t="shared" si="169"/>
        <v>85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-118.72132668850168</v>
      </c>
      <c r="F1018" s="1">
        <f t="shared" si="175"/>
        <v>-120.72335949770074</v>
      </c>
      <c r="G1018" s="1">
        <f t="shared" si="172"/>
        <v>3.7197275672151267E-53</v>
      </c>
      <c r="H1018" s="1">
        <f t="shared" si="165"/>
        <v>3.6511834967021332E-54</v>
      </c>
      <c r="I1018">
        <f t="shared" si="166"/>
        <v>60</v>
      </c>
      <c r="J1018">
        <f t="shared" si="167"/>
        <v>931</v>
      </c>
      <c r="K1018" s="5">
        <f t="shared" si="168"/>
        <v>0</v>
      </c>
      <c r="L1018">
        <f t="shared" si="169"/>
        <v>85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-118.8430236234792</v>
      </c>
      <c r="F1019" s="1">
        <f t="shared" si="175"/>
        <v>-120.84505643267826</v>
      </c>
      <c r="G1019" s="1">
        <f t="shared" si="172"/>
        <v>3.2935087834717221E-53</v>
      </c>
      <c r="H1019" s="1">
        <f t="shared" si="165"/>
        <v>3.2328187210383426E-54</v>
      </c>
      <c r="I1019">
        <f t="shared" si="166"/>
        <v>60</v>
      </c>
      <c r="J1019">
        <f t="shared" si="167"/>
        <v>932</v>
      </c>
      <c r="K1019" s="5">
        <f t="shared" si="168"/>
        <v>0</v>
      </c>
      <c r="L1019">
        <f t="shared" si="169"/>
        <v>85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-118.96472055845672</v>
      </c>
      <c r="F1020" s="1">
        <f t="shared" si="175"/>
        <v>-120.96675336765578</v>
      </c>
      <c r="G1020" s="1">
        <f t="shared" si="172"/>
        <v>2.9161275686989164E-53</v>
      </c>
      <c r="H1020" s="1">
        <f t="shared" si="165"/>
        <v>2.8623915759193618E-54</v>
      </c>
      <c r="I1020">
        <f t="shared" si="166"/>
        <v>60</v>
      </c>
      <c r="J1020">
        <f t="shared" si="167"/>
        <v>933</v>
      </c>
      <c r="K1020" s="5">
        <f t="shared" si="168"/>
        <v>0</v>
      </c>
      <c r="L1020">
        <f t="shared" si="169"/>
        <v>85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-119.08641749343424</v>
      </c>
      <c r="F1021" s="1">
        <f t="shared" si="175"/>
        <v>-121.08845030263331</v>
      </c>
      <c r="G1021" s="1">
        <f t="shared" si="172"/>
        <v>2.5819879514521616E-53</v>
      </c>
      <c r="H1021" s="1">
        <f t="shared" si="165"/>
        <v>2.5344092078452644E-54</v>
      </c>
      <c r="I1021">
        <f t="shared" si="166"/>
        <v>60</v>
      </c>
      <c r="J1021">
        <f t="shared" si="167"/>
        <v>934</v>
      </c>
      <c r="K1021" s="5">
        <f t="shared" si="168"/>
        <v>0</v>
      </c>
      <c r="L1021">
        <f t="shared" si="169"/>
        <v>85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-119.20811442841176</v>
      </c>
      <c r="F1022" s="1">
        <f t="shared" si="175"/>
        <v>-121.21014723761083</v>
      </c>
      <c r="G1022" s="1">
        <f t="shared" si="172"/>
        <v>2.2861351653482651E-53</v>
      </c>
      <c r="H1022" s="1">
        <f t="shared" si="165"/>
        <v>2.2440081527796583E-54</v>
      </c>
      <c r="I1022">
        <f t="shared" si="166"/>
        <v>60</v>
      </c>
      <c r="J1022">
        <f t="shared" si="167"/>
        <v>935</v>
      </c>
      <c r="K1022" s="5">
        <f t="shared" si="168"/>
        <v>0</v>
      </c>
      <c r="L1022">
        <f t="shared" si="169"/>
        <v>85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-119.32981136338928</v>
      </c>
      <c r="F1023" s="1">
        <f t="shared" si="175"/>
        <v>-121.33184417258835</v>
      </c>
      <c r="G1023" s="1">
        <f t="shared" si="172"/>
        <v>2.0241821776521067E-53</v>
      </c>
      <c r="H1023" s="1">
        <f t="shared" si="165"/>
        <v>1.986882218606986E-54</v>
      </c>
      <c r="I1023">
        <f t="shared" si="166"/>
        <v>60</v>
      </c>
      <c r="J1023">
        <f t="shared" si="167"/>
        <v>936</v>
      </c>
      <c r="K1023" s="5">
        <f t="shared" si="168"/>
        <v>0</v>
      </c>
      <c r="L1023">
        <f t="shared" si="169"/>
        <v>85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-119.4515082983668</v>
      </c>
      <c r="F1024" s="1">
        <f t="shared" si="175"/>
        <v>-121.45354110756587</v>
      </c>
      <c r="G1024" s="1">
        <f t="shared" si="172"/>
        <v>1.7922446364628002E-53</v>
      </c>
      <c r="H1024" s="1">
        <f t="shared" si="165"/>
        <v>1.7592186310582663E-54</v>
      </c>
      <c r="I1024">
        <f t="shared" si="166"/>
        <v>60</v>
      </c>
      <c r="J1024">
        <f t="shared" si="167"/>
        <v>937</v>
      </c>
      <c r="K1024" s="5">
        <f t="shared" si="168"/>
        <v>0</v>
      </c>
      <c r="L1024">
        <f t="shared" si="169"/>
        <v>85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-119.57320523334432</v>
      </c>
      <c r="F1025" s="1">
        <f t="shared" si="175"/>
        <v>-121.57523804254339</v>
      </c>
      <c r="G1025" s="1">
        <f t="shared" si="172"/>
        <v>1.5868832718681022E-53</v>
      </c>
      <c r="H1025" s="1">
        <f t="shared" si="165"/>
        <v>1.5576414962495046E-54</v>
      </c>
      <c r="I1025">
        <f t="shared" si="166"/>
        <v>60</v>
      </c>
      <c r="J1025">
        <f t="shared" si="167"/>
        <v>938</v>
      </c>
      <c r="K1025" s="5">
        <f t="shared" si="168"/>
        <v>0</v>
      </c>
      <c r="L1025">
        <f t="shared" si="169"/>
        <v>85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-119.69490216832185</v>
      </c>
      <c r="F1026" s="1">
        <f t="shared" si="175"/>
        <v>-121.69693497752091</v>
      </c>
      <c r="G1026" s="1">
        <f t="shared" si="172"/>
        <v>1.4050528969665469E-53</v>
      </c>
      <c r="H1026" s="1">
        <f t="shared" si="165"/>
        <v>1.3791617414709136E-54</v>
      </c>
      <c r="I1026">
        <f t="shared" si="166"/>
        <v>60</v>
      </c>
      <c r="J1026">
        <f t="shared" si="167"/>
        <v>939</v>
      </c>
      <c r="K1026" s="5">
        <f t="shared" si="168"/>
        <v>0</v>
      </c>
      <c r="L1026">
        <f t="shared" si="169"/>
        <v>85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-119.81659910329937</v>
      </c>
      <c r="F1027" s="1">
        <f t="shared" si="175"/>
        <v>-121.81863191249843</v>
      </c>
      <c r="G1027" s="1">
        <f t="shared" si="172"/>
        <v>1.2440572525224615E-53</v>
      </c>
      <c r="H1027" s="1">
        <f t="shared" si="165"/>
        <v>1.2211327919273696E-54</v>
      </c>
      <c r="I1027">
        <f t="shared" si="166"/>
        <v>60</v>
      </c>
      <c r="J1027">
        <f t="shared" si="167"/>
        <v>940</v>
      </c>
      <c r="K1027" s="5">
        <f t="shared" si="168"/>
        <v>0</v>
      </c>
      <c r="L1027">
        <f t="shared" si="169"/>
        <v>85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-119.93829603827689</v>
      </c>
      <c r="F1028" s="1">
        <f t="shared" si="175"/>
        <v>-121.94032884747595</v>
      </c>
      <c r="G1028" s="1">
        <f t="shared" si="172"/>
        <v>1.1015090256709279E-53</v>
      </c>
      <c r="H1028" s="1">
        <f t="shared" si="165"/>
        <v>1.0812113261856902E-54</v>
      </c>
      <c r="I1028">
        <f t="shared" si="166"/>
        <v>60</v>
      </c>
      <c r="J1028">
        <f t="shared" si="167"/>
        <v>941</v>
      </c>
      <c r="K1028" s="5">
        <f t="shared" si="168"/>
        <v>0</v>
      </c>
      <c r="L1028">
        <f t="shared" si="169"/>
        <v>85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-120.05999297325441</v>
      </c>
      <c r="F1029" s="1">
        <f t="shared" si="175"/>
        <v>-122.06202578245347</v>
      </c>
      <c r="G1029" s="1">
        <f t="shared" si="172"/>
        <v>9.7529444981279935E-54</v>
      </c>
      <c r="H1029" s="1">
        <f t="shared" si="165"/>
        <v>9.5732252839357862E-55</v>
      </c>
      <c r="I1029">
        <f t="shared" si="166"/>
        <v>60</v>
      </c>
      <c r="J1029">
        <f t="shared" si="167"/>
        <v>942</v>
      </c>
      <c r="K1029" s="5">
        <f t="shared" si="168"/>
        <v>0</v>
      </c>
      <c r="L1029">
        <f t="shared" si="169"/>
        <v>85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-120.18168990823193</v>
      </c>
      <c r="F1030" s="1">
        <f t="shared" si="175"/>
        <v>-122.183722717431</v>
      </c>
      <c r="G1030" s="1">
        <f t="shared" si="172"/>
        <v>8.6354196077174822E-54</v>
      </c>
      <c r="H1030" s="1">
        <f t="shared" si="165"/>
        <v>8.4762932201514653E-55</v>
      </c>
      <c r="I1030">
        <f t="shared" si="166"/>
        <v>60</v>
      </c>
      <c r="J1030">
        <f t="shared" si="167"/>
        <v>943</v>
      </c>
      <c r="K1030" s="5">
        <f t="shared" si="168"/>
        <v>0</v>
      </c>
      <c r="L1030">
        <f t="shared" si="169"/>
        <v>85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-120.30338684320945</v>
      </c>
      <c r="F1031" s="1">
        <f t="shared" si="175"/>
        <v>-122.30541965240852</v>
      </c>
      <c r="G1031" s="1">
        <f t="shared" si="172"/>
        <v>7.6459444443331759E-54</v>
      </c>
      <c r="H1031" s="1">
        <f t="shared" si="165"/>
        <v>7.5050512886757644E-55</v>
      </c>
      <c r="I1031">
        <f t="shared" si="166"/>
        <v>60</v>
      </c>
      <c r="J1031">
        <f t="shared" si="167"/>
        <v>944</v>
      </c>
      <c r="K1031" s="5">
        <f t="shared" si="168"/>
        <v>0</v>
      </c>
      <c r="L1031">
        <f t="shared" si="169"/>
        <v>85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-120.42508377818697</v>
      </c>
      <c r="F1032" s="1">
        <f t="shared" si="175"/>
        <v>-122.42711658738604</v>
      </c>
      <c r="G1032" s="1">
        <f t="shared" si="172"/>
        <v>6.7698466434199905E-54</v>
      </c>
      <c r="H1032" s="1">
        <f t="shared" si="165"/>
        <v>6.6450974951816574E-55</v>
      </c>
      <c r="I1032">
        <f t="shared" si="166"/>
        <v>60</v>
      </c>
      <c r="J1032">
        <f t="shared" si="167"/>
        <v>945</v>
      </c>
      <c r="K1032" s="5">
        <f t="shared" si="168"/>
        <v>0</v>
      </c>
      <c r="L1032">
        <f t="shared" si="169"/>
        <v>85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-120.54678071316449</v>
      </c>
      <c r="F1033" s="1">
        <f t="shared" si="175"/>
        <v>-122.54881352236356</v>
      </c>
      <c r="G1033" s="1">
        <f t="shared" si="172"/>
        <v>5.994135048861441E-54</v>
      </c>
      <c r="H1033" s="1">
        <f t="shared" si="165"/>
        <v>5.8836800738587511E-55</v>
      </c>
      <c r="I1033">
        <f t="shared" si="166"/>
        <v>60</v>
      </c>
      <c r="J1033">
        <f t="shared" si="167"/>
        <v>946</v>
      </c>
      <c r="K1033" s="5">
        <f t="shared" si="168"/>
        <v>0</v>
      </c>
      <c r="L1033">
        <f t="shared" si="169"/>
        <v>85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-120.66847764814202</v>
      </c>
      <c r="F1034" s="1">
        <f t="shared" si="175"/>
        <v>-122.67051045734108</v>
      </c>
      <c r="G1034" s="1">
        <f t="shared" si="172"/>
        <v>5.307307074512727E-54</v>
      </c>
      <c r="H1034" s="1">
        <f t="shared" si="165"/>
        <v>5.2095083987290956E-55</v>
      </c>
      <c r="I1034">
        <f t="shared" si="166"/>
        <v>60</v>
      </c>
      <c r="J1034">
        <f t="shared" si="167"/>
        <v>947</v>
      </c>
      <c r="K1034" s="5">
        <f t="shared" si="168"/>
        <v>0</v>
      </c>
      <c r="L1034">
        <f t="shared" si="169"/>
        <v>85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-120.79017458311954</v>
      </c>
      <c r="F1035" s="1">
        <f t="shared" si="175"/>
        <v>-122.7922073923186</v>
      </c>
      <c r="G1035" s="1">
        <f t="shared" si="172"/>
        <v>4.6991781388914701E-54</v>
      </c>
      <c r="H1035" s="1">
        <f t="shared" si="165"/>
        <v>4.6125855613747127E-55</v>
      </c>
      <c r="I1035">
        <f t="shared" si="166"/>
        <v>60</v>
      </c>
      <c r="J1035">
        <f t="shared" si="167"/>
        <v>948</v>
      </c>
      <c r="K1035" s="5">
        <f t="shared" si="168"/>
        <v>0</v>
      </c>
      <c r="L1035">
        <f t="shared" si="169"/>
        <v>85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-120.91187151809706</v>
      </c>
      <c r="F1036" s="1">
        <f t="shared" si="175"/>
        <v>-122.91390432729612</v>
      </c>
      <c r="G1036" s="1">
        <f t="shared" si="172"/>
        <v>4.1607306438101498E-54</v>
      </c>
      <c r="H1036" s="1">
        <f t="shared" si="165"/>
        <v>4.0840601324671879E-55</v>
      </c>
      <c r="I1036">
        <f t="shared" si="166"/>
        <v>60</v>
      </c>
      <c r="J1036">
        <f t="shared" si="167"/>
        <v>949</v>
      </c>
      <c r="K1036" s="5">
        <f t="shared" si="168"/>
        <v>0</v>
      </c>
      <c r="L1036">
        <f t="shared" si="169"/>
        <v>85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-121.03356845307458</v>
      </c>
      <c r="F1037" s="1">
        <f t="shared" si="175"/>
        <v>-123.03560126227364</v>
      </c>
      <c r="G1037" s="1">
        <f t="shared" si="172"/>
        <v>3.6839802575402319E-54</v>
      </c>
      <c r="H1037" s="1">
        <f t="shared" si="165"/>
        <v>3.6160949089553177E-55</v>
      </c>
      <c r="I1037">
        <f t="shared" si="166"/>
        <v>60</v>
      </c>
      <c r="J1037">
        <f t="shared" si="167"/>
        <v>950</v>
      </c>
      <c r="K1037" s="5">
        <f t="shared" si="168"/>
        <v>0</v>
      </c>
      <c r="L1037">
        <f t="shared" si="169"/>
        <v>85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-121.1552653880521</v>
      </c>
      <c r="F1038" s="1">
        <f t="shared" si="175"/>
        <v>-123.15729819725117</v>
      </c>
      <c r="G1038" s="1">
        <f t="shared" si="172"/>
        <v>3.2618575196970755E-54</v>
      </c>
      <c r="H1038" s="1">
        <f t="shared" si="165"/>
        <v>3.2017507006375161E-55</v>
      </c>
      <c r="I1038">
        <f t="shared" si="166"/>
        <v>60</v>
      </c>
      <c r="J1038">
        <f t="shared" si="167"/>
        <v>951</v>
      </c>
      <c r="K1038" s="5">
        <f t="shared" si="168"/>
        <v>0</v>
      </c>
      <c r="L1038">
        <f t="shared" si="169"/>
        <v>85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-121.27696232302962</v>
      </c>
      <c r="F1039" s="1">
        <f t="shared" si="175"/>
        <v>-123.27899513222869</v>
      </c>
      <c r="G1039" s="1">
        <f t="shared" si="172"/>
        <v>2.8881030122317814E-54</v>
      </c>
      <c r="H1039" s="1">
        <f t="shared" si="165"/>
        <v>2.83488343285613E-55</v>
      </c>
      <c r="I1039">
        <f t="shared" si="166"/>
        <v>60</v>
      </c>
      <c r="J1039">
        <f t="shared" si="167"/>
        <v>952</v>
      </c>
      <c r="K1039" s="5">
        <f t="shared" si="168"/>
        <v>0</v>
      </c>
      <c r="L1039">
        <f t="shared" si="169"/>
        <v>85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-121.39865925800714</v>
      </c>
      <c r="F1040" s="1">
        <f t="shared" si="175"/>
        <v>-123.40069206720621</v>
      </c>
      <c r="G1040" s="1">
        <f t="shared" si="172"/>
        <v>2.5571745420802195E-54</v>
      </c>
      <c r="H1040" s="1">
        <f t="shared" si="165"/>
        <v>2.5100530395080283E-55</v>
      </c>
      <c r="I1040">
        <f t="shared" si="166"/>
        <v>60</v>
      </c>
      <c r="J1040">
        <f t="shared" si="167"/>
        <v>953</v>
      </c>
      <c r="K1040" s="5">
        <f t="shared" si="168"/>
        <v>0</v>
      </c>
      <c r="L1040">
        <f t="shared" si="169"/>
        <v>85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-121.52035619298466</v>
      </c>
      <c r="F1041" s="1">
        <f t="shared" si="175"/>
        <v>-123.52238900218373</v>
      </c>
      <c r="G1041" s="1">
        <f t="shared" si="172"/>
        <v>2.2641649591335244E-54</v>
      </c>
      <c r="H1041" s="1">
        <f t="shared" si="165"/>
        <v>2.2224427953977302E-55</v>
      </c>
      <c r="I1041">
        <f t="shared" si="166"/>
        <v>60</v>
      </c>
      <c r="J1041">
        <f t="shared" si="167"/>
        <v>954</v>
      </c>
      <c r="K1041" s="5">
        <f t="shared" si="168"/>
        <v>0</v>
      </c>
      <c r="L1041">
        <f t="shared" si="169"/>
        <v>85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-121.64205312796219</v>
      </c>
      <c r="F1042" s="1">
        <f t="shared" si="175"/>
        <v>-123.64408593716125</v>
      </c>
      <c r="G1042" s="1">
        <f t="shared" si="172"/>
        <v>2.0047293908994719E-54</v>
      </c>
      <c r="H1042" s="1">
        <f t="shared" si="165"/>
        <v>1.967787891758404E-55</v>
      </c>
      <c r="I1042">
        <f t="shared" si="166"/>
        <v>60</v>
      </c>
      <c r="J1042">
        <f t="shared" si="167"/>
        <v>955</v>
      </c>
      <c r="K1042" s="5">
        <f t="shared" si="168"/>
        <v>0</v>
      </c>
      <c r="L1042">
        <f t="shared" si="169"/>
        <v>85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-121.76375006293971</v>
      </c>
      <c r="F1043" s="1">
        <f t="shared" si="175"/>
        <v>-123.76578287213877</v>
      </c>
      <c r="G1043" s="1">
        <f t="shared" si="172"/>
        <v>1.7750208148589048E-54</v>
      </c>
      <c r="H1043" s="1">
        <f t="shared" si="165"/>
        <v>1.7423121958277512E-55</v>
      </c>
      <c r="I1043">
        <f t="shared" si="166"/>
        <v>60</v>
      </c>
      <c r="J1043">
        <f t="shared" si="167"/>
        <v>956</v>
      </c>
      <c r="K1043" s="5">
        <f t="shared" si="168"/>
        <v>0</v>
      </c>
      <c r="L1043">
        <f t="shared" si="169"/>
        <v>85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-121.88544699791723</v>
      </c>
      <c r="F1044" s="1">
        <f t="shared" si="175"/>
        <v>-123.88747980711629</v>
      </c>
      <c r="G1044" s="1">
        <f t="shared" si="172"/>
        <v>1.5716330131563198E-54</v>
      </c>
      <c r="H1044" s="1">
        <f t="shared" si="165"/>
        <v>1.5426722567224858E-55</v>
      </c>
      <c r="I1044">
        <f t="shared" si="166"/>
        <v>60</v>
      </c>
      <c r="J1044">
        <f t="shared" si="167"/>
        <v>957</v>
      </c>
      <c r="K1044" s="5">
        <f t="shared" si="168"/>
        <v>0</v>
      </c>
      <c r="L1044">
        <f t="shared" si="169"/>
        <v>85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-122.00714393289475</v>
      </c>
      <c r="F1045" s="1">
        <f t="shared" si="175"/>
        <v>-124.00917674209381</v>
      </c>
      <c r="G1045" s="1">
        <f t="shared" si="172"/>
        <v>1.3915500637321563E-54</v>
      </c>
      <c r="H1045" s="1">
        <f t="shared" si="165"/>
        <v>1.3659077273063659E-55</v>
      </c>
      <c r="I1045">
        <f t="shared" si="166"/>
        <v>60</v>
      </c>
      <c r="J1045">
        <f t="shared" si="167"/>
        <v>958</v>
      </c>
      <c r="K1045" s="5">
        <f t="shared" si="168"/>
        <v>0</v>
      </c>
      <c r="L1045">
        <f t="shared" si="169"/>
        <v>85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-122.12884086787227</v>
      </c>
      <c r="F1046" s="1">
        <f t="shared" si="175"/>
        <v>-124.13087367707134</v>
      </c>
      <c r="G1046" s="1">
        <f t="shared" si="172"/>
        <v>1.2321016189295116E-54</v>
      </c>
      <c r="H1046" s="1">
        <f t="shared" si="165"/>
        <v>1.209397466885843E-55</v>
      </c>
      <c r="I1046">
        <f t="shared" si="166"/>
        <v>60</v>
      </c>
      <c r="J1046">
        <f t="shared" si="167"/>
        <v>959</v>
      </c>
      <c r="K1046" s="5">
        <f t="shared" si="168"/>
        <v>0</v>
      </c>
      <c r="L1046">
        <f t="shared" si="169"/>
        <v>85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-122.25053780284979</v>
      </c>
      <c r="F1047" s="1">
        <f t="shared" si="175"/>
        <v>-124.25257061204886</v>
      </c>
      <c r="G1047" s="1">
        <f t="shared" si="172"/>
        <v>1.0909233084271701E-54</v>
      </c>
      <c r="H1047" s="1">
        <f t="shared" ref="H1047:H1110" si="176">G1047/$G$21</f>
        <v>1.0708206738051719E-55</v>
      </c>
      <c r="I1047">
        <f t="shared" ref="I1047:I1110" si="177">IF($F$11&lt;=D1047, IF(D1047&lt;=$A$15,D1047-$F$11,$C$11),0)</f>
        <v>60</v>
      </c>
      <c r="J1047">
        <f t="shared" ref="J1047:J1110" si="178">IF(D1047&lt;=$A$15,0,D1047-$A$15)</f>
        <v>960</v>
      </c>
      <c r="K1047" s="5">
        <f t="shared" ref="K1047:K1110" si="179">IF(D1047&lt;$F$11,H1047,0)</f>
        <v>0</v>
      </c>
      <c r="L1047">
        <f t="shared" ref="L1047:L1110" si="180">IF(D1047&lt;$A$15,$D$11,$D$11*(1-$H$11))</f>
        <v>85</v>
      </c>
      <c r="M1047">
        <f t="shared" ref="M1047:M1110" si="181">IF(D1047&lt;$A$15,0,1)</f>
        <v>1</v>
      </c>
      <c r="N1047">
        <f t="shared" ref="N1047:N1110" si="182">IF(SUM(I1047:J1047)&lt;=($G$11/60*$F$11/($E$11/60)),1,0)</f>
        <v>0</v>
      </c>
    </row>
    <row r="1048" spans="4:14" x14ac:dyDescent="0.2">
      <c r="D1048">
        <f t="shared" si="173"/>
        <v>1025</v>
      </c>
      <c r="E1048" s="1">
        <f t="shared" si="174"/>
        <v>-122.37223473782731</v>
      </c>
      <c r="F1048" s="1">
        <f t="shared" si="175"/>
        <v>-124.37426754702638</v>
      </c>
      <c r="G1048" s="1">
        <f t="shared" ref="G1048:G1111" si="183">EXP(F1048)</f>
        <v>9.6592167933655545E-55</v>
      </c>
      <c r="H1048" s="1">
        <f t="shared" si="176"/>
        <v>9.4812247159832795E-56</v>
      </c>
      <c r="I1048">
        <f t="shared" si="177"/>
        <v>60</v>
      </c>
      <c r="J1048">
        <f t="shared" si="178"/>
        <v>961</v>
      </c>
      <c r="K1048" s="5">
        <f t="shared" si="179"/>
        <v>0</v>
      </c>
      <c r="L1048">
        <f t="shared" si="180"/>
        <v>85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IF($H$11=1,IF(D1049&lt;=$A$15, E1048+LN($D$11)-LN(60/$E$11)-LN(MIN(D1049,$F$11)), E1048-LN(60/$E$11)-LN(MIN(D1049,$F$11))), IF(D1049&lt;=$A$15, E1048+LN($D$11)-LN(60/$E$11)-LN(MIN(D1049,$F$11)), E1048+LN($D$11)+LN(1-$H$11)-LN(60/$E$11)-LN(MIN(D1049,$F$11))))</f>
        <v>-122.49393167280483</v>
      </c>
      <c r="F1049" s="1">
        <f t="shared" ref="F1049:F1112" si="186">E1049-$E$21</f>
        <v>-124.4959644820039</v>
      </c>
      <c r="G1049" s="1">
        <f t="shared" si="183"/>
        <v>8.5524315357924061E-55</v>
      </c>
      <c r="H1049" s="1">
        <f t="shared" si="176"/>
        <v>8.394834383943516E-56</v>
      </c>
      <c r="I1049">
        <f t="shared" si="177"/>
        <v>60</v>
      </c>
      <c r="J1049">
        <f t="shared" si="178"/>
        <v>962</v>
      </c>
      <c r="K1049" s="5">
        <f t="shared" si="179"/>
        <v>0</v>
      </c>
      <c r="L1049">
        <f t="shared" si="180"/>
        <v>85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-122.61562860778236</v>
      </c>
      <c r="F1050" s="1">
        <f t="shared" si="186"/>
        <v>-124.61766141698142</v>
      </c>
      <c r="G1050" s="1">
        <f t="shared" si="183"/>
        <v>7.572465422316183E-55</v>
      </c>
      <c r="H1050" s="1">
        <f t="shared" si="176"/>
        <v>7.4329262774499787E-56</v>
      </c>
      <c r="I1050">
        <f t="shared" si="177"/>
        <v>60</v>
      </c>
      <c r="J1050">
        <f t="shared" si="178"/>
        <v>963</v>
      </c>
      <c r="K1050" s="5">
        <f t="shared" si="179"/>
        <v>0</v>
      </c>
      <c r="L1050">
        <f t="shared" si="180"/>
        <v>85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-122.73732554275988</v>
      </c>
      <c r="F1051" s="1">
        <f t="shared" si="186"/>
        <v>-124.73935835195894</v>
      </c>
      <c r="G1051" s="1">
        <f t="shared" si="183"/>
        <v>6.7047870926757771E-55</v>
      </c>
      <c r="H1051" s="1">
        <f t="shared" si="176"/>
        <v>6.5812368081588261E-56</v>
      </c>
      <c r="I1051">
        <f t="shared" si="177"/>
        <v>60</v>
      </c>
      <c r="J1051">
        <f t="shared" si="178"/>
        <v>964</v>
      </c>
      <c r="K1051" s="5">
        <f t="shared" si="179"/>
        <v>0</v>
      </c>
      <c r="L1051">
        <f t="shared" si="180"/>
        <v>85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-122.8590224777374</v>
      </c>
      <c r="F1052" s="1">
        <f t="shared" si="186"/>
        <v>-124.86105528693646</v>
      </c>
      <c r="G1052" s="1">
        <f t="shared" si="183"/>
        <v>5.9365302383066686E-55</v>
      </c>
      <c r="H1052" s="1">
        <f t="shared" si="176"/>
        <v>5.8271367572239514E-56</v>
      </c>
      <c r="I1052">
        <f t="shared" si="177"/>
        <v>60</v>
      </c>
      <c r="J1052">
        <f t="shared" si="178"/>
        <v>965</v>
      </c>
      <c r="K1052" s="5">
        <f t="shared" si="179"/>
        <v>0</v>
      </c>
      <c r="L1052">
        <f t="shared" si="180"/>
        <v>85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-122.98071941271492</v>
      </c>
      <c r="F1053" s="1">
        <f t="shared" si="186"/>
        <v>-124.98275222191398</v>
      </c>
      <c r="G1053" s="1">
        <f t="shared" si="183"/>
        <v>5.256302815167356E-55</v>
      </c>
      <c r="H1053" s="1">
        <f t="shared" si="176"/>
        <v>5.1594440037920339E-56</v>
      </c>
      <c r="I1053">
        <f t="shared" si="177"/>
        <v>60</v>
      </c>
      <c r="J1053">
        <f t="shared" si="178"/>
        <v>966</v>
      </c>
      <c r="K1053" s="5">
        <f t="shared" si="179"/>
        <v>0</v>
      </c>
      <c r="L1053">
        <f t="shared" si="180"/>
        <v>85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-123.10241634769244</v>
      </c>
      <c r="F1054" s="1">
        <f t="shared" si="186"/>
        <v>-125.1044491568915</v>
      </c>
      <c r="G1054" s="1">
        <f t="shared" si="183"/>
        <v>4.6540181175960892E-55</v>
      </c>
      <c r="H1054" s="1">
        <f t="shared" si="176"/>
        <v>4.5682577116908562E-56</v>
      </c>
      <c r="I1054">
        <f t="shared" si="177"/>
        <v>60</v>
      </c>
      <c r="J1054">
        <f t="shared" si="178"/>
        <v>967</v>
      </c>
      <c r="K1054" s="5">
        <f t="shared" si="179"/>
        <v>0</v>
      </c>
      <c r="L1054">
        <f t="shared" si="180"/>
        <v>85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-123.22411328266996</v>
      </c>
      <c r="F1055" s="1">
        <f t="shared" si="186"/>
        <v>-125.22614609186903</v>
      </c>
      <c r="G1055" s="1">
        <f t="shared" si="183"/>
        <v>4.1207452082881985E-55</v>
      </c>
      <c r="H1055" s="1">
        <f t="shared" si="176"/>
        <v>4.0448115155596066E-56</v>
      </c>
      <c r="I1055">
        <f t="shared" si="177"/>
        <v>60</v>
      </c>
      <c r="J1055">
        <f t="shared" si="178"/>
        <v>968</v>
      </c>
      <c r="K1055" s="5">
        <f t="shared" si="179"/>
        <v>0</v>
      </c>
      <c r="L1055">
        <f t="shared" si="180"/>
        <v>85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-123.34581021764748</v>
      </c>
      <c r="F1056" s="1">
        <f t="shared" si="186"/>
        <v>-125.34784302684655</v>
      </c>
      <c r="G1056" s="1">
        <f t="shared" si="183"/>
        <v>3.6485764865051703E-55</v>
      </c>
      <c r="H1056" s="1">
        <f t="shared" si="176"/>
        <v>3.5813435294017298E-56</v>
      </c>
      <c r="I1056">
        <f t="shared" si="177"/>
        <v>60</v>
      </c>
      <c r="J1056">
        <f t="shared" si="178"/>
        <v>969</v>
      </c>
      <c r="K1056" s="5">
        <f t="shared" si="179"/>
        <v>0</v>
      </c>
      <c r="L1056">
        <f t="shared" si="180"/>
        <v>85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-123.467507152625</v>
      </c>
      <c r="F1057" s="1">
        <f t="shared" si="186"/>
        <v>-125.46953996182407</v>
      </c>
      <c r="G1057" s="1">
        <f t="shared" si="183"/>
        <v>3.2305104307597819E-55</v>
      </c>
      <c r="H1057" s="1">
        <f t="shared" si="176"/>
        <v>3.1709812499911104E-56</v>
      </c>
      <c r="I1057">
        <f t="shared" si="177"/>
        <v>60</v>
      </c>
      <c r="J1057">
        <f t="shared" si="178"/>
        <v>970</v>
      </c>
      <c r="K1057" s="5">
        <f t="shared" si="179"/>
        <v>0</v>
      </c>
      <c r="L1057">
        <f t="shared" si="180"/>
        <v>85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-123.58920408760252</v>
      </c>
      <c r="F1058" s="1">
        <f t="shared" si="186"/>
        <v>-125.59123689680159</v>
      </c>
      <c r="G1058" s="1">
        <f t="shared" si="183"/>
        <v>2.8603477772352194E-55</v>
      </c>
      <c r="H1058" s="1">
        <f t="shared" si="176"/>
        <v>2.8076396484296253E-56</v>
      </c>
      <c r="I1058">
        <f t="shared" si="177"/>
        <v>60</v>
      </c>
      <c r="J1058">
        <f t="shared" si="178"/>
        <v>971</v>
      </c>
      <c r="K1058" s="5">
        <f t="shared" si="179"/>
        <v>0</v>
      </c>
      <c r="L1058">
        <f t="shared" si="180"/>
        <v>85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-123.71090102258005</v>
      </c>
      <c r="F1059" s="1">
        <f t="shared" si="186"/>
        <v>-125.71293383177911</v>
      </c>
      <c r="G1059" s="1">
        <f t="shared" si="183"/>
        <v>2.5325995944270137E-55</v>
      </c>
      <c r="H1059" s="1">
        <f t="shared" si="176"/>
        <v>2.4859309387137271E-56</v>
      </c>
      <c r="I1059">
        <f t="shared" si="177"/>
        <v>60</v>
      </c>
      <c r="J1059">
        <f t="shared" si="178"/>
        <v>972</v>
      </c>
      <c r="K1059" s="5">
        <f t="shared" si="179"/>
        <v>0</v>
      </c>
      <c r="L1059">
        <f t="shared" si="180"/>
        <v>85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-123.83259795755757</v>
      </c>
      <c r="F1060" s="1">
        <f t="shared" si="186"/>
        <v>-125.83463076675663</v>
      </c>
      <c r="G1060" s="1">
        <f t="shared" si="183"/>
        <v>2.2424058908989148E-55</v>
      </c>
      <c r="H1060" s="1">
        <f t="shared" si="176"/>
        <v>2.2010846853194423E-56</v>
      </c>
      <c r="I1060">
        <f t="shared" si="177"/>
        <v>60</v>
      </c>
      <c r="J1060">
        <f t="shared" si="178"/>
        <v>973</v>
      </c>
      <c r="K1060" s="5">
        <f t="shared" si="179"/>
        <v>0</v>
      </c>
      <c r="L1060">
        <f t="shared" si="180"/>
        <v>85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-123.95429489253509</v>
      </c>
      <c r="F1061" s="1">
        <f t="shared" si="186"/>
        <v>-125.95632770173415</v>
      </c>
      <c r="G1061" s="1">
        <f t="shared" si="183"/>
        <v>1.9854635492334116E-55</v>
      </c>
      <c r="H1061" s="1">
        <f t="shared" si="176"/>
        <v>1.948877065126587E-56</v>
      </c>
      <c r="I1061">
        <f t="shared" si="177"/>
        <v>60</v>
      </c>
      <c r="J1061">
        <f t="shared" si="178"/>
        <v>974</v>
      </c>
      <c r="K1061" s="5">
        <f t="shared" si="179"/>
        <v>0</v>
      </c>
      <c r="L1061">
        <f t="shared" si="180"/>
        <v>85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-124.07599182751261</v>
      </c>
      <c r="F1062" s="1">
        <f t="shared" si="186"/>
        <v>-126.07802463671167</v>
      </c>
      <c r="G1062" s="1">
        <f t="shared" si="183"/>
        <v>1.757962517550414E-55</v>
      </c>
      <c r="H1062" s="1">
        <f t="shared" si="176"/>
        <v>1.7255682347474966E-56</v>
      </c>
      <c r="I1062">
        <f t="shared" si="177"/>
        <v>60</v>
      </c>
      <c r="J1062">
        <f t="shared" si="178"/>
        <v>975</v>
      </c>
      <c r="K1062" s="5">
        <f t="shared" si="179"/>
        <v>0</v>
      </c>
      <c r="L1062">
        <f t="shared" si="180"/>
        <v>85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-124.19768876249013</v>
      </c>
      <c r="F1063" s="1">
        <f t="shared" si="186"/>
        <v>-126.1997215716892</v>
      </c>
      <c r="G1063" s="1">
        <f t="shared" si="183"/>
        <v>1.5565293124144269E-55</v>
      </c>
      <c r="H1063" s="1">
        <f t="shared" si="176"/>
        <v>1.5278468745160105E-56</v>
      </c>
      <c r="I1063">
        <f t="shared" si="177"/>
        <v>60</v>
      </c>
      <c r="J1063">
        <f t="shared" si="178"/>
        <v>976</v>
      </c>
      <c r="K1063" s="5">
        <f t="shared" si="179"/>
        <v>0</v>
      </c>
      <c r="L1063">
        <f t="shared" si="180"/>
        <v>85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-124.31938569746765</v>
      </c>
      <c r="F1064" s="1">
        <f t="shared" si="186"/>
        <v>-126.32141850666672</v>
      </c>
      <c r="G1064" s="1">
        <f t="shared" si="183"/>
        <v>1.3781769953669383E-55</v>
      </c>
      <c r="H1064" s="1">
        <f t="shared" si="176"/>
        <v>1.3527810868110489E-56</v>
      </c>
      <c r="I1064">
        <f t="shared" si="177"/>
        <v>60</v>
      </c>
      <c r="J1064">
        <f t="shared" si="178"/>
        <v>977</v>
      </c>
      <c r="K1064" s="5">
        <f t="shared" si="179"/>
        <v>0</v>
      </c>
      <c r="L1064">
        <f t="shared" si="180"/>
        <v>85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-124.44108263244517</v>
      </c>
      <c r="F1065" s="1">
        <f t="shared" si="186"/>
        <v>-126.44311544164424</v>
      </c>
      <c r="G1065" s="1">
        <f t="shared" si="183"/>
        <v>1.220260881314475E-55</v>
      </c>
      <c r="H1065" s="1">
        <f t="shared" si="176"/>
        <v>1.1977749206139478E-56</v>
      </c>
      <c r="I1065">
        <f t="shared" si="177"/>
        <v>60</v>
      </c>
      <c r="J1065">
        <f t="shared" si="178"/>
        <v>978</v>
      </c>
      <c r="K1065" s="5">
        <f t="shared" si="179"/>
        <v>0</v>
      </c>
      <c r="L1065">
        <f t="shared" si="180"/>
        <v>85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-124.56277956742269</v>
      </c>
      <c r="F1066" s="1">
        <f t="shared" si="186"/>
        <v>-126.56481237662176</v>
      </c>
      <c r="G1066" s="1">
        <f t="shared" si="183"/>
        <v>1.0804393219971899E-55</v>
      </c>
      <c r="H1066" s="1">
        <f t="shared" si="176"/>
        <v>1.0605298776269314E-56</v>
      </c>
      <c r="I1066">
        <f t="shared" si="177"/>
        <v>60</v>
      </c>
      <c r="J1066">
        <f t="shared" si="178"/>
        <v>979</v>
      </c>
      <c r="K1066" s="5">
        <f t="shared" si="179"/>
        <v>0</v>
      </c>
      <c r="L1066">
        <f t="shared" si="180"/>
        <v>85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-124.68447650240022</v>
      </c>
      <c r="F1067" s="1">
        <f t="shared" si="186"/>
        <v>-126.68650931159928</v>
      </c>
      <c r="G1067" s="1">
        <f t="shared" si="183"/>
        <v>9.5663898301834387E-56</v>
      </c>
      <c r="H1067" s="1">
        <f t="shared" si="176"/>
        <v>9.3901082914884425E-57</v>
      </c>
      <c r="I1067">
        <f t="shared" si="177"/>
        <v>60</v>
      </c>
      <c r="J1067">
        <f t="shared" si="178"/>
        <v>980</v>
      </c>
      <c r="K1067" s="5">
        <f t="shared" si="179"/>
        <v>0</v>
      </c>
      <c r="L1067">
        <f t="shared" si="180"/>
        <v>85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-124.80617343737774</v>
      </c>
      <c r="F1068" s="1">
        <f t="shared" si="186"/>
        <v>-126.8082062465768</v>
      </c>
      <c r="G1068" s="1">
        <f t="shared" si="183"/>
        <v>8.4702409954749077E-56</v>
      </c>
      <c r="H1068" s="1">
        <f t="shared" si="176"/>
        <v>8.3141583830887139E-57</v>
      </c>
      <c r="I1068">
        <f t="shared" si="177"/>
        <v>60</v>
      </c>
      <c r="J1068">
        <f t="shared" si="178"/>
        <v>981</v>
      </c>
      <c r="K1068" s="5">
        <f t="shared" si="179"/>
        <v>0</v>
      </c>
      <c r="L1068">
        <f t="shared" si="180"/>
        <v>85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-124.92787037235526</v>
      </c>
      <c r="F1069" s="1">
        <f t="shared" si="186"/>
        <v>-126.92990318155432</v>
      </c>
      <c r="G1069" s="1">
        <f t="shared" si="183"/>
        <v>7.4996925480767302E-56</v>
      </c>
      <c r="H1069" s="1">
        <f t="shared" si="176"/>
        <v>7.3614944016931214E-57</v>
      </c>
      <c r="I1069">
        <f t="shared" si="177"/>
        <v>60</v>
      </c>
      <c r="J1069">
        <f t="shared" si="178"/>
        <v>982</v>
      </c>
      <c r="K1069" s="5">
        <f t="shared" si="179"/>
        <v>0</v>
      </c>
      <c r="L1069">
        <f t="shared" si="180"/>
        <v>85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-125.04956730733278</v>
      </c>
      <c r="F1070" s="1">
        <f t="shared" si="186"/>
        <v>-127.05160011653184</v>
      </c>
      <c r="G1070" s="1">
        <f t="shared" si="183"/>
        <v>6.6403527769429284E-56</v>
      </c>
      <c r="H1070" s="1">
        <f t="shared" si="176"/>
        <v>6.5179898348324407E-57</v>
      </c>
      <c r="I1070">
        <f t="shared" si="177"/>
        <v>60</v>
      </c>
      <c r="J1070">
        <f t="shared" si="178"/>
        <v>983</v>
      </c>
      <c r="K1070" s="5">
        <f t="shared" si="179"/>
        <v>0</v>
      </c>
      <c r="L1070">
        <f t="shared" si="180"/>
        <v>85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-125.1712642423103</v>
      </c>
      <c r="F1071" s="1">
        <f t="shared" si="186"/>
        <v>-127.17329705150937</v>
      </c>
      <c r="G1071" s="1">
        <f t="shared" si="183"/>
        <v>5.8794790212515426E-56</v>
      </c>
      <c r="H1071" s="1">
        <f t="shared" si="176"/>
        <v>5.7711368329245488E-57</v>
      </c>
      <c r="I1071">
        <f t="shared" si="177"/>
        <v>60</v>
      </c>
      <c r="J1071">
        <f t="shared" si="178"/>
        <v>984</v>
      </c>
      <c r="K1071" s="5">
        <f t="shared" si="179"/>
        <v>0</v>
      </c>
      <c r="L1071">
        <f t="shared" si="180"/>
        <v>85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-125.29296117728782</v>
      </c>
      <c r="F1072" s="1">
        <f t="shared" si="186"/>
        <v>-127.29499398648689</v>
      </c>
      <c r="G1072" s="1">
        <f t="shared" si="183"/>
        <v>5.2057887167331293E-56</v>
      </c>
      <c r="H1072" s="1">
        <f t="shared" si="176"/>
        <v>5.1098607374852702E-57</v>
      </c>
      <c r="I1072">
        <f t="shared" si="177"/>
        <v>60</v>
      </c>
      <c r="J1072">
        <f t="shared" si="178"/>
        <v>985</v>
      </c>
      <c r="K1072" s="5">
        <f t="shared" si="179"/>
        <v>0</v>
      </c>
      <c r="L1072">
        <f t="shared" si="180"/>
        <v>85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-125.41465811226534</v>
      </c>
      <c r="F1073" s="1">
        <f t="shared" si="186"/>
        <v>-127.41669092146441</v>
      </c>
      <c r="G1073" s="1">
        <f t="shared" si="183"/>
        <v>4.6092920929407849E-56</v>
      </c>
      <c r="H1073" s="1">
        <f t="shared" si="176"/>
        <v>4.5243558613150766E-57</v>
      </c>
      <c r="I1073">
        <f t="shared" si="177"/>
        <v>60</v>
      </c>
      <c r="J1073">
        <f t="shared" si="178"/>
        <v>986</v>
      </c>
      <c r="K1073" s="5">
        <f t="shared" si="179"/>
        <v>0</v>
      </c>
      <c r="L1073">
        <f t="shared" si="180"/>
        <v>85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-125.53635504724286</v>
      </c>
      <c r="F1074" s="1">
        <f t="shared" si="186"/>
        <v>-127.53838785644193</v>
      </c>
      <c r="G1074" s="1">
        <f t="shared" si="183"/>
        <v>4.0811440406246479E-56</v>
      </c>
      <c r="H1074" s="1">
        <f t="shared" si="176"/>
        <v>4.0059400855393854E-57</v>
      </c>
      <c r="I1074">
        <f t="shared" si="177"/>
        <v>60</v>
      </c>
      <c r="J1074">
        <f t="shared" si="178"/>
        <v>987</v>
      </c>
      <c r="K1074" s="5">
        <f t="shared" si="179"/>
        <v>0</v>
      </c>
      <c r="L1074">
        <f t="shared" si="180"/>
        <v>85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-125.65805198222039</v>
      </c>
      <c r="F1075" s="1">
        <f t="shared" si="186"/>
        <v>-127.66008479141945</v>
      </c>
      <c r="G1075" s="1">
        <f t="shared" si="183"/>
        <v>3.6135129526364017E-56</v>
      </c>
      <c r="H1075" s="1">
        <f t="shared" si="176"/>
        <v>3.5469261174046591E-57</v>
      </c>
      <c r="I1075">
        <f t="shared" si="177"/>
        <v>60</v>
      </c>
      <c r="J1075">
        <f t="shared" si="178"/>
        <v>988</v>
      </c>
      <c r="K1075" s="5">
        <f t="shared" si="179"/>
        <v>0</v>
      </c>
      <c r="L1075">
        <f t="shared" si="180"/>
        <v>85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-125.77974891719791</v>
      </c>
      <c r="F1076" s="1">
        <f t="shared" si="186"/>
        <v>-127.78178172639697</v>
      </c>
      <c r="G1076" s="1">
        <f t="shared" si="183"/>
        <v>3.1994645934801427E-56</v>
      </c>
      <c r="H1076" s="1">
        <f t="shared" si="176"/>
        <v>3.1405074997853709E-57</v>
      </c>
      <c r="I1076">
        <f t="shared" si="177"/>
        <v>60</v>
      </c>
      <c r="J1076">
        <f t="shared" si="178"/>
        <v>989</v>
      </c>
      <c r="K1076" s="5">
        <f t="shared" si="179"/>
        <v>0</v>
      </c>
      <c r="L1076">
        <f t="shared" si="180"/>
        <v>85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-125.90144585217543</v>
      </c>
      <c r="F1077" s="1">
        <f t="shared" si="186"/>
        <v>-127.90347866137449</v>
      </c>
      <c r="G1077" s="1">
        <f t="shared" si="183"/>
        <v>2.8328592754772058E-56</v>
      </c>
      <c r="H1077" s="1">
        <f t="shared" si="176"/>
        <v>2.7806576821016268E-57</v>
      </c>
      <c r="I1077">
        <f t="shared" si="177"/>
        <v>60</v>
      </c>
      <c r="J1077">
        <f t="shared" si="178"/>
        <v>990</v>
      </c>
      <c r="K1077" s="5">
        <f t="shared" si="179"/>
        <v>0</v>
      </c>
      <c r="L1077">
        <f t="shared" si="180"/>
        <v>85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-126.02314278715295</v>
      </c>
      <c r="F1078" s="1">
        <f t="shared" si="186"/>
        <v>-128.025175596352</v>
      </c>
      <c r="G1078" s="1">
        <f t="shared" si="183"/>
        <v>2.5082608168288079E-56</v>
      </c>
      <c r="H1078" s="1">
        <f t="shared" si="176"/>
        <v>2.4620406560275132E-57</v>
      </c>
      <c r="I1078">
        <f t="shared" si="177"/>
        <v>60</v>
      </c>
      <c r="J1078">
        <f t="shared" si="178"/>
        <v>991</v>
      </c>
      <c r="K1078" s="5">
        <f t="shared" si="179"/>
        <v>0</v>
      </c>
      <c r="L1078">
        <f t="shared" si="180"/>
        <v>85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-126.14483972213047</v>
      </c>
      <c r="F1079" s="1">
        <f t="shared" si="186"/>
        <v>-128.14687253132954</v>
      </c>
      <c r="G1079" s="1">
        <f t="shared" si="183"/>
        <v>2.220855931567139E-56</v>
      </c>
      <c r="H1079" s="1">
        <f t="shared" si="176"/>
        <v>2.17993183085766E-57</v>
      </c>
      <c r="I1079">
        <f t="shared" si="177"/>
        <v>60</v>
      </c>
      <c r="J1079">
        <f t="shared" si="178"/>
        <v>992</v>
      </c>
      <c r="K1079" s="5">
        <f t="shared" si="179"/>
        <v>0</v>
      </c>
      <c r="L1079">
        <f t="shared" si="180"/>
        <v>85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-126.26653665710799</v>
      </c>
      <c r="F1080" s="1">
        <f t="shared" si="186"/>
        <v>-128.26856946630704</v>
      </c>
      <c r="G1080" s="1">
        <f t="shared" si="183"/>
        <v>1.966382856075096E-56</v>
      </c>
      <c r="H1080" s="1">
        <f t="shared" si="176"/>
        <v>1.9301479752385776E-57</v>
      </c>
      <c r="I1080">
        <f t="shared" si="177"/>
        <v>60</v>
      </c>
      <c r="J1080">
        <f t="shared" si="178"/>
        <v>993</v>
      </c>
      <c r="K1080" s="5">
        <f t="shared" si="179"/>
        <v>0</v>
      </c>
      <c r="L1080">
        <f t="shared" si="180"/>
        <v>85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-126.38823359208551</v>
      </c>
      <c r="F1081" s="1">
        <f t="shared" si="186"/>
        <v>-128.39026640128458</v>
      </c>
      <c r="G1081" s="1">
        <f t="shared" si="183"/>
        <v>1.7410681538164642E-56</v>
      </c>
      <c r="H1081" s="1">
        <f t="shared" si="176"/>
        <v>1.7089851864091307E-57</v>
      </c>
      <c r="I1081">
        <f t="shared" si="177"/>
        <v>60</v>
      </c>
      <c r="J1081">
        <f t="shared" si="178"/>
        <v>994</v>
      </c>
      <c r="K1081" s="5">
        <f t="shared" si="179"/>
        <v>0</v>
      </c>
      <c r="L1081">
        <f t="shared" si="180"/>
        <v>85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-126.50993052706303</v>
      </c>
      <c r="F1082" s="1">
        <f t="shared" si="186"/>
        <v>-128.51196333626208</v>
      </c>
      <c r="G1082" s="1">
        <f t="shared" si="183"/>
        <v>1.5415707611916808E-56</v>
      </c>
      <c r="H1082" s="1">
        <f t="shared" si="176"/>
        <v>1.5131639671331038E-57</v>
      </c>
      <c r="I1082">
        <f t="shared" si="177"/>
        <v>60</v>
      </c>
      <c r="J1082">
        <f t="shared" si="178"/>
        <v>995</v>
      </c>
      <c r="K1082" s="5">
        <f t="shared" si="179"/>
        <v>0</v>
      </c>
      <c r="L1082">
        <f t="shared" si="180"/>
        <v>85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-126.63162746204056</v>
      </c>
      <c r="F1083" s="1">
        <f t="shared" si="186"/>
        <v>-128.63366027123962</v>
      </c>
      <c r="G1083" s="1">
        <f t="shared" si="183"/>
        <v>1.3649324448051126E-56</v>
      </c>
      <c r="H1083" s="1">
        <f t="shared" si="176"/>
        <v>1.3397805958990813E-57</v>
      </c>
      <c r="I1083">
        <f t="shared" si="177"/>
        <v>60</v>
      </c>
      <c r="J1083">
        <f t="shared" si="178"/>
        <v>996</v>
      </c>
      <c r="K1083" s="5">
        <f t="shared" si="179"/>
        <v>0</v>
      </c>
      <c r="L1083">
        <f t="shared" si="180"/>
        <v>85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-126.75332439701808</v>
      </c>
      <c r="F1084" s="1">
        <f t="shared" si="186"/>
        <v>-128.75535720621713</v>
      </c>
      <c r="G1084" s="1">
        <f t="shared" si="183"/>
        <v>1.2085339355045422E-56</v>
      </c>
      <c r="H1084" s="1">
        <f t="shared" si="176"/>
        <v>1.1862640692856601E-57</v>
      </c>
      <c r="I1084">
        <f t="shared" si="177"/>
        <v>60</v>
      </c>
      <c r="J1084">
        <f t="shared" si="178"/>
        <v>997</v>
      </c>
      <c r="K1084" s="5">
        <f t="shared" si="179"/>
        <v>0</v>
      </c>
      <c r="L1084">
        <f t="shared" si="180"/>
        <v>85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-126.8750213319956</v>
      </c>
      <c r="F1085" s="1">
        <f t="shared" si="186"/>
        <v>-128.87705414119466</v>
      </c>
      <c r="G1085" s="1">
        <f t="shared" si="183"/>
        <v>1.0700560887279633E-56</v>
      </c>
      <c r="H1085" s="1">
        <f t="shared" si="176"/>
        <v>1.0503379780133284E-57</v>
      </c>
      <c r="I1085">
        <f t="shared" si="177"/>
        <v>60</v>
      </c>
      <c r="J1085">
        <f t="shared" si="178"/>
        <v>998</v>
      </c>
      <c r="K1085" s="5">
        <f t="shared" si="179"/>
        <v>0</v>
      </c>
      <c r="L1085">
        <f t="shared" si="180"/>
        <v>85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-126.99671826697312</v>
      </c>
      <c r="F1086" s="1">
        <f t="shared" si="186"/>
        <v>-128.99875107617217</v>
      </c>
      <c r="G1086" s="1">
        <f t="shared" si="183"/>
        <v>9.4744549522789635E-57</v>
      </c>
      <c r="H1086" s="1">
        <f t="shared" si="176"/>
        <v>9.2998675136597979E-58</v>
      </c>
      <c r="I1086">
        <f t="shared" si="177"/>
        <v>60</v>
      </c>
      <c r="J1086">
        <f t="shared" si="178"/>
        <v>999</v>
      </c>
      <c r="K1086" s="5">
        <f t="shared" si="179"/>
        <v>0</v>
      </c>
      <c r="L1086">
        <f t="shared" si="180"/>
        <v>85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-127.11841520195064</v>
      </c>
      <c r="F1087" s="1">
        <f t="shared" si="186"/>
        <v>-129.1204480111497</v>
      </c>
      <c r="G1087" s="1">
        <f t="shared" si="183"/>
        <v>8.3888403223302004E-57</v>
      </c>
      <c r="H1087" s="1">
        <f t="shared" si="176"/>
        <v>8.2342576943861497E-58</v>
      </c>
      <c r="I1087">
        <f t="shared" si="177"/>
        <v>60</v>
      </c>
      <c r="J1087">
        <f t="shared" si="178"/>
        <v>1000</v>
      </c>
      <c r="K1087" s="5">
        <f t="shared" si="179"/>
        <v>0</v>
      </c>
      <c r="L1087">
        <f t="shared" si="180"/>
        <v>85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-127.24011213692816</v>
      </c>
      <c r="F1088" s="1">
        <f t="shared" si="186"/>
        <v>-129.24214494612721</v>
      </c>
      <c r="G1088" s="1">
        <f t="shared" si="183"/>
        <v>7.4276190353966266E-57</v>
      </c>
      <c r="H1088" s="1">
        <f t="shared" si="176"/>
        <v>7.29074900023783E-58</v>
      </c>
      <c r="I1088">
        <f t="shared" si="177"/>
        <v>60</v>
      </c>
      <c r="J1088">
        <f t="shared" si="178"/>
        <v>1001</v>
      </c>
      <c r="K1088" s="5">
        <f t="shared" si="179"/>
        <v>0</v>
      </c>
      <c r="L1088">
        <f t="shared" si="180"/>
        <v>85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-127.36180907190568</v>
      </c>
      <c r="F1089" s="1">
        <f t="shared" si="186"/>
        <v>-129.36384188110475</v>
      </c>
      <c r="G1089" s="1">
        <f t="shared" si="183"/>
        <v>6.5765376875906607E-57</v>
      </c>
      <c r="H1089" s="1">
        <f t="shared" si="176"/>
        <v>6.4553506772938123E-58</v>
      </c>
      <c r="I1089">
        <f t="shared" si="177"/>
        <v>60</v>
      </c>
      <c r="J1089">
        <f t="shared" si="178"/>
        <v>1002</v>
      </c>
      <c r="K1089" s="5">
        <f t="shared" si="179"/>
        <v>0</v>
      </c>
      <c r="L1089">
        <f t="shared" si="180"/>
        <v>85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-127.4835060068832</v>
      </c>
      <c r="F1090" s="1">
        <f t="shared" si="186"/>
        <v>-129.48553881608225</v>
      </c>
      <c r="G1090" s="1">
        <f t="shared" si="183"/>
        <v>5.8229760775543053E-57</v>
      </c>
      <c r="H1090" s="1">
        <f t="shared" si="176"/>
        <v>5.7156750788539687E-58</v>
      </c>
      <c r="I1090">
        <f t="shared" si="177"/>
        <v>60</v>
      </c>
      <c r="J1090">
        <f t="shared" si="178"/>
        <v>1003</v>
      </c>
      <c r="K1090" s="5">
        <f t="shared" si="179"/>
        <v>0</v>
      </c>
      <c r="L1090">
        <f t="shared" si="180"/>
        <v>85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-127.60520294186072</v>
      </c>
      <c r="F1091" s="1">
        <f t="shared" si="186"/>
        <v>-129.60723575105979</v>
      </c>
      <c r="G1091" s="1">
        <f t="shared" si="183"/>
        <v>5.1557600686677934E-57</v>
      </c>
      <c r="H1091" s="1">
        <f t="shared" si="176"/>
        <v>5.0607539760685384E-58</v>
      </c>
      <c r="I1091">
        <f t="shared" si="177"/>
        <v>60</v>
      </c>
      <c r="J1091">
        <f t="shared" si="178"/>
        <v>1004</v>
      </c>
      <c r="K1091" s="5">
        <f t="shared" si="179"/>
        <v>0</v>
      </c>
      <c r="L1091">
        <f t="shared" si="180"/>
        <v>85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-127.72689987683825</v>
      </c>
      <c r="F1092" s="1">
        <f t="shared" si="186"/>
        <v>-129.7289326860373</v>
      </c>
      <c r="G1092" s="1">
        <f t="shared" si="183"/>
        <v>4.5649958941330011E-57</v>
      </c>
      <c r="H1092" s="1">
        <f t="shared" si="176"/>
        <v>4.4808759163107432E-58</v>
      </c>
      <c r="I1092">
        <f t="shared" si="177"/>
        <v>60</v>
      </c>
      <c r="J1092">
        <f t="shared" si="178"/>
        <v>1005</v>
      </c>
      <c r="K1092" s="5">
        <f t="shared" si="179"/>
        <v>0</v>
      </c>
      <c r="L1092">
        <f t="shared" si="180"/>
        <v>85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-127.84859681181577</v>
      </c>
      <c r="F1093" s="1">
        <f t="shared" si="186"/>
        <v>-129.85062962101483</v>
      </c>
      <c r="G1093" s="1">
        <f t="shared" si="183"/>
        <v>4.041923447930198E-57</v>
      </c>
      <c r="H1093" s="1">
        <f t="shared" si="176"/>
        <v>3.9674422175667415E-58</v>
      </c>
      <c r="I1093">
        <f t="shared" si="177"/>
        <v>60</v>
      </c>
      <c r="J1093">
        <f t="shared" si="178"/>
        <v>1006</v>
      </c>
      <c r="K1093" s="5">
        <f t="shared" si="179"/>
        <v>0</v>
      </c>
      <c r="L1093">
        <f t="shared" si="180"/>
        <v>85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-127.97029374679329</v>
      </c>
      <c r="F1094" s="1">
        <f t="shared" si="186"/>
        <v>-129.97232655599234</v>
      </c>
      <c r="G1094" s="1">
        <f t="shared" si="183"/>
        <v>3.5787863861882416E-57</v>
      </c>
      <c r="H1094" s="1">
        <f t="shared" si="176"/>
        <v>3.512839463470597E-58</v>
      </c>
      <c r="I1094">
        <f t="shared" si="177"/>
        <v>60</v>
      </c>
      <c r="J1094">
        <f t="shared" si="178"/>
        <v>1007</v>
      </c>
      <c r="K1094" s="5">
        <f t="shared" si="179"/>
        <v>0</v>
      </c>
      <c r="L1094">
        <f t="shared" si="180"/>
        <v>85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-128.0919906817708</v>
      </c>
      <c r="F1095" s="1">
        <f t="shared" si="186"/>
        <v>-130.09402349096985</v>
      </c>
      <c r="G1095" s="1">
        <f t="shared" si="183"/>
        <v>3.1687171127708794E-57</v>
      </c>
      <c r="H1095" s="1">
        <f t="shared" si="176"/>
        <v>3.1103266082812975E-58</v>
      </c>
      <c r="I1095">
        <f t="shared" si="177"/>
        <v>60</v>
      </c>
      <c r="J1095">
        <f t="shared" si="178"/>
        <v>1008</v>
      </c>
      <c r="K1095" s="5">
        <f t="shared" si="179"/>
        <v>0</v>
      </c>
      <c r="L1095">
        <f t="shared" si="180"/>
        <v>85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-128.2136876167483</v>
      </c>
      <c r="F1096" s="1">
        <f t="shared" si="186"/>
        <v>-130.21572042594735</v>
      </c>
      <c r="G1096" s="1">
        <f t="shared" si="183"/>
        <v>2.8056349435992524E-57</v>
      </c>
      <c r="H1096" s="1">
        <f t="shared" si="176"/>
        <v>2.7539350177491014E-58</v>
      </c>
      <c r="I1096">
        <f t="shared" si="177"/>
        <v>60</v>
      </c>
      <c r="J1096">
        <f t="shared" si="178"/>
        <v>1009</v>
      </c>
      <c r="K1096" s="5">
        <f t="shared" si="179"/>
        <v>0</v>
      </c>
      <c r="L1096">
        <f t="shared" si="180"/>
        <v>85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-128.33538455172581</v>
      </c>
      <c r="F1097" s="1">
        <f t="shared" si="186"/>
        <v>-130.33741736092486</v>
      </c>
      <c r="G1097" s="1">
        <f t="shared" si="183"/>
        <v>2.4841559396452029E-57</v>
      </c>
      <c r="H1097" s="1">
        <f t="shared" si="176"/>
        <v>2.4383799636320476E-58</v>
      </c>
      <c r="I1097">
        <f t="shared" si="177"/>
        <v>60</v>
      </c>
      <c r="J1097">
        <f t="shared" si="178"/>
        <v>1010</v>
      </c>
      <c r="K1097" s="5">
        <f t="shared" si="179"/>
        <v>0</v>
      </c>
      <c r="L1097">
        <f t="shared" si="180"/>
        <v>85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-128.45708148670332</v>
      </c>
      <c r="F1098" s="1">
        <f t="shared" si="186"/>
        <v>-130.45911429590237</v>
      </c>
      <c r="G1098" s="1">
        <f t="shared" si="183"/>
        <v>2.199513071560885E-57</v>
      </c>
      <c r="H1098" s="1">
        <f t="shared" si="176"/>
        <v>2.1589822594659031E-58</v>
      </c>
      <c r="I1098">
        <f t="shared" si="177"/>
        <v>60</v>
      </c>
      <c r="J1098">
        <f t="shared" si="178"/>
        <v>1011</v>
      </c>
      <c r="K1098" s="5">
        <f t="shared" si="179"/>
        <v>0</v>
      </c>
      <c r="L1098">
        <f t="shared" si="180"/>
        <v>85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-128.57877842168082</v>
      </c>
      <c r="F1099" s="1">
        <f t="shared" si="186"/>
        <v>-130.58081123087987</v>
      </c>
      <c r="G1099" s="1">
        <f t="shared" si="183"/>
        <v>1.9474855321112251E-57</v>
      </c>
      <c r="H1099" s="1">
        <f t="shared" si="176"/>
        <v>1.911598875568793E-58</v>
      </c>
      <c r="I1099">
        <f t="shared" si="177"/>
        <v>60</v>
      </c>
      <c r="J1099">
        <f t="shared" si="178"/>
        <v>1012</v>
      </c>
      <c r="K1099" s="5">
        <f t="shared" si="179"/>
        <v>0</v>
      </c>
      <c r="L1099">
        <f t="shared" si="180"/>
        <v>85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-128.70047535665833</v>
      </c>
      <c r="F1100" s="1">
        <f t="shared" si="186"/>
        <v>-130.70250816585738</v>
      </c>
      <c r="G1100" s="1">
        <f t="shared" si="183"/>
        <v>1.7243361482235025E-57</v>
      </c>
      <c r="H1100" s="1">
        <f t="shared" si="176"/>
        <v>1.6925615044098904E-58</v>
      </c>
      <c r="I1100">
        <f t="shared" si="177"/>
        <v>60</v>
      </c>
      <c r="J1100">
        <f t="shared" si="178"/>
        <v>1013</v>
      </c>
      <c r="K1100" s="5">
        <f t="shared" si="179"/>
        <v>0</v>
      </c>
      <c r="L1100">
        <f t="shared" si="180"/>
        <v>85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-128.82217229163584</v>
      </c>
      <c r="F1101" s="1">
        <f t="shared" si="186"/>
        <v>-130.82420510083489</v>
      </c>
      <c r="G1101" s="1">
        <f t="shared" si="183"/>
        <v>1.5267559645729126E-57</v>
      </c>
      <c r="H1101" s="1">
        <f t="shared" si="176"/>
        <v>1.4986221653629429E-58</v>
      </c>
      <c r="I1101">
        <f t="shared" si="177"/>
        <v>60</v>
      </c>
      <c r="J1101">
        <f t="shared" si="178"/>
        <v>1014</v>
      </c>
      <c r="K1101" s="5">
        <f t="shared" si="179"/>
        <v>0</v>
      </c>
      <c r="L1101">
        <f t="shared" si="180"/>
        <v>85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-128.94386922661334</v>
      </c>
      <c r="F1102" s="1">
        <f t="shared" si="186"/>
        <v>-130.9459020358124</v>
      </c>
      <c r="G1102" s="1">
        <f t="shared" si="183"/>
        <v>1.351815176965617E-57</v>
      </c>
      <c r="H1102" s="1">
        <f t="shared" si="176"/>
        <v>1.3269050422484562E-58</v>
      </c>
      <c r="I1102">
        <f t="shared" si="177"/>
        <v>60</v>
      </c>
      <c r="J1102">
        <f t="shared" si="178"/>
        <v>1015</v>
      </c>
      <c r="K1102" s="5">
        <f t="shared" si="179"/>
        <v>0</v>
      </c>
      <c r="L1102">
        <f t="shared" si="180"/>
        <v>85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-129.06556616159085</v>
      </c>
      <c r="F1103" s="1">
        <f t="shared" si="186"/>
        <v>-131.0675989707899</v>
      </c>
      <c r="G1103" s="1">
        <f t="shared" si="183"/>
        <v>1.1969196879383219E-57</v>
      </c>
      <c r="H1103" s="1">
        <f t="shared" si="176"/>
        <v>1.1748638394908354E-58</v>
      </c>
      <c r="I1103">
        <f t="shared" si="177"/>
        <v>60</v>
      </c>
      <c r="J1103">
        <f t="shared" si="178"/>
        <v>1016</v>
      </c>
      <c r="K1103" s="5">
        <f t="shared" si="179"/>
        <v>0</v>
      </c>
      <c r="L1103">
        <f t="shared" si="180"/>
        <v>85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-129.18726309656836</v>
      </c>
      <c r="F1104" s="1">
        <f t="shared" si="186"/>
        <v>-131.18929590576741</v>
      </c>
      <c r="G1104" s="1">
        <f t="shared" si="183"/>
        <v>1.0597726403620693E-57</v>
      </c>
      <c r="H1104" s="1">
        <f t="shared" si="176"/>
        <v>1.0402440245491904E-58</v>
      </c>
      <c r="I1104">
        <f t="shared" si="177"/>
        <v>60</v>
      </c>
      <c r="J1104">
        <f t="shared" si="178"/>
        <v>1017</v>
      </c>
      <c r="K1104" s="5">
        <f t="shared" si="179"/>
        <v>0</v>
      </c>
      <c r="L1104">
        <f t="shared" si="180"/>
        <v>85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-129.30896003154587</v>
      </c>
      <c r="F1105" s="1">
        <f t="shared" si="186"/>
        <v>-131.31099284074492</v>
      </c>
      <c r="G1105" s="1">
        <f t="shared" si="183"/>
        <v>9.3834035865392765E-58</v>
      </c>
      <c r="H1105" s="1">
        <f t="shared" si="176"/>
        <v>9.2104939673627428E-59</v>
      </c>
      <c r="I1105">
        <f t="shared" si="177"/>
        <v>60</v>
      </c>
      <c r="J1105">
        <f t="shared" si="178"/>
        <v>1018</v>
      </c>
      <c r="K1105" s="5">
        <f t="shared" si="179"/>
        <v>0</v>
      </c>
      <c r="L1105">
        <f t="shared" si="180"/>
        <v>85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-129.43065696652337</v>
      </c>
      <c r="F1106" s="1">
        <f t="shared" si="186"/>
        <v>-131.43268977572242</v>
      </c>
      <c r="G1106" s="1">
        <f t="shared" si="183"/>
        <v>8.3082219255817564E-58</v>
      </c>
      <c r="H1106" s="1">
        <f t="shared" si="176"/>
        <v>8.1551248669358642E-59</v>
      </c>
      <c r="I1106">
        <f t="shared" si="177"/>
        <v>60</v>
      </c>
      <c r="J1106">
        <f t="shared" si="178"/>
        <v>1019</v>
      </c>
      <c r="K1106" s="5">
        <f t="shared" si="179"/>
        <v>0</v>
      </c>
      <c r="L1106">
        <f t="shared" si="180"/>
        <v>85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-129.55235390150088</v>
      </c>
      <c r="F1107" s="1">
        <f t="shared" si="186"/>
        <v>-131.55438671069993</v>
      </c>
      <c r="G1107" s="1">
        <f t="shared" si="183"/>
        <v>7.3562381632756074E-58</v>
      </c>
      <c r="H1107" s="1">
        <f t="shared" si="176"/>
        <v>7.2206834759328889E-59</v>
      </c>
      <c r="I1107">
        <f t="shared" si="177"/>
        <v>60</v>
      </c>
      <c r="J1107">
        <f t="shared" si="178"/>
        <v>1020</v>
      </c>
      <c r="K1107" s="5">
        <f t="shared" si="179"/>
        <v>0</v>
      </c>
      <c r="L1107">
        <f t="shared" si="180"/>
        <v>85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-129.67405083647839</v>
      </c>
      <c r="F1108" s="1">
        <f t="shared" si="186"/>
        <v>-131.67608364567744</v>
      </c>
      <c r="G1108" s="1">
        <f t="shared" si="183"/>
        <v>6.5133358737336951E-58</v>
      </c>
      <c r="H1108" s="1">
        <f t="shared" si="176"/>
        <v>6.3933134943156616E-59</v>
      </c>
      <c r="I1108">
        <f t="shared" si="177"/>
        <v>60</v>
      </c>
      <c r="J1108">
        <f t="shared" si="178"/>
        <v>1021</v>
      </c>
      <c r="K1108" s="5">
        <f t="shared" si="179"/>
        <v>0</v>
      </c>
      <c r="L1108">
        <f t="shared" si="180"/>
        <v>85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-129.79574777145589</v>
      </c>
      <c r="F1109" s="1">
        <f t="shared" si="186"/>
        <v>-131.79778058065494</v>
      </c>
      <c r="G1109" s="1">
        <f t="shared" si="183"/>
        <v>5.7670161382017824E-58</v>
      </c>
      <c r="H1109" s="1">
        <f t="shared" si="176"/>
        <v>5.6607463230920642E-59</v>
      </c>
      <c r="I1109">
        <f t="shared" si="177"/>
        <v>60</v>
      </c>
      <c r="J1109">
        <f t="shared" si="178"/>
        <v>1022</v>
      </c>
      <c r="K1109" s="5">
        <f t="shared" si="179"/>
        <v>0</v>
      </c>
      <c r="L1109">
        <f t="shared" si="180"/>
        <v>85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-129.9174447064334</v>
      </c>
      <c r="F1110" s="1">
        <f t="shared" si="186"/>
        <v>-131.91947751563245</v>
      </c>
      <c r="G1110" s="1">
        <f t="shared" si="183"/>
        <v>5.1062122056995602E-58</v>
      </c>
      <c r="H1110" s="1">
        <f t="shared" si="176"/>
        <v>5.0121191402378289E-59</v>
      </c>
      <c r="I1110">
        <f t="shared" si="177"/>
        <v>60</v>
      </c>
      <c r="J1110">
        <f t="shared" si="178"/>
        <v>1023</v>
      </c>
      <c r="K1110" s="5">
        <f t="shared" si="179"/>
        <v>0</v>
      </c>
      <c r="L1110">
        <f t="shared" si="180"/>
        <v>85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-130.03914164141091</v>
      </c>
      <c r="F1111" s="1">
        <f t="shared" si="186"/>
        <v>-132.04117445060996</v>
      </c>
      <c r="G1111" s="1">
        <f t="shared" si="183"/>
        <v>4.5211253904632097E-58</v>
      </c>
      <c r="H1111" s="1">
        <f t="shared" ref="H1111:H1174" si="187">G1111/$G$21</f>
        <v>4.4378138220856348E-59</v>
      </c>
      <c r="I1111">
        <f t="shared" ref="I1111:I1174" si="188">IF($F$11&lt;=D1111, IF(D1111&lt;=$A$15,D1111-$F$11,$C$11),0)</f>
        <v>60</v>
      </c>
      <c r="J1111">
        <f t="shared" ref="J1111:J1174" si="189">IF(D1111&lt;=$A$15,0,D1111-$A$15)</f>
        <v>1024</v>
      </c>
      <c r="K1111" s="5">
        <f t="shared" ref="K1111:K1174" si="190">IF(D1111&lt;$F$11,H1111,0)</f>
        <v>0</v>
      </c>
      <c r="L1111">
        <f t="shared" ref="L1111:L1174" si="191">IF(D1111&lt;$A$15,$D$11,$D$11*(1-$H$11))</f>
        <v>85</v>
      </c>
      <c r="M1111">
        <f t="shared" ref="M1111:M1174" si="192">IF(D1111&lt;$A$15,0,1)</f>
        <v>1</v>
      </c>
      <c r="N1111">
        <f t="shared" ref="N1111:N1174" si="193">IF(SUM(I1111:J1111)&lt;=($G$11/60*$F$11/($E$11/60)),1,0)</f>
        <v>0</v>
      </c>
    </row>
    <row r="1112" spans="4:14" x14ac:dyDescent="0.2">
      <c r="D1112">
        <f t="shared" si="184"/>
        <v>1089</v>
      </c>
      <c r="E1112" s="1">
        <f t="shared" si="185"/>
        <v>-130.16083857638841</v>
      </c>
      <c r="F1112" s="1">
        <f t="shared" si="186"/>
        <v>-132.16287138558747</v>
      </c>
      <c r="G1112" s="1">
        <f t="shared" ref="G1112:G1175" si="194">EXP(F1112)</f>
        <v>4.0030797728060183E-58</v>
      </c>
      <c r="H1112" s="1">
        <f t="shared" si="187"/>
        <v>3.9293143216383724E-59</v>
      </c>
      <c r="I1112">
        <f t="shared" si="188"/>
        <v>60</v>
      </c>
      <c r="J1112">
        <f t="shared" si="189"/>
        <v>1025</v>
      </c>
      <c r="K1112" s="5">
        <f t="shared" si="190"/>
        <v>0</v>
      </c>
      <c r="L1112">
        <f t="shared" si="191"/>
        <v>85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IF($H$11=1,IF(D1113&lt;=$A$15, E1112+LN($D$11)-LN(60/$E$11)-LN(MIN(D1113,$F$11)), E1112-LN(60/$E$11)-LN(MIN(D1113,$F$11))), IF(D1113&lt;=$A$15, E1112+LN($D$11)-LN(60/$E$11)-LN(MIN(D1113,$F$11)), E1112+LN($D$11)+LN(1-$H$11)-LN(60/$E$11)-LN(MIN(D1113,$F$11))))</f>
        <v>-130.28253551136592</v>
      </c>
      <c r="F1113" s="1">
        <f t="shared" ref="F1113:F1176" si="197">E1113-$E$21</f>
        <v>-132.28456832056497</v>
      </c>
      <c r="G1113" s="1">
        <f t="shared" si="194"/>
        <v>3.5443935488387074E-58</v>
      </c>
      <c r="H1113" s="1">
        <f t="shared" si="187"/>
        <v>3.479080388950687E-59</v>
      </c>
      <c r="I1113">
        <f t="shared" si="188"/>
        <v>60</v>
      </c>
      <c r="J1113">
        <f t="shared" si="189"/>
        <v>1026</v>
      </c>
      <c r="K1113" s="5">
        <f t="shared" si="190"/>
        <v>0</v>
      </c>
      <c r="L1113">
        <f t="shared" si="191"/>
        <v>85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-130.40423244634343</v>
      </c>
      <c r="F1114" s="1">
        <f t="shared" si="197"/>
        <v>-132.40626525554248</v>
      </c>
      <c r="G1114" s="1">
        <f t="shared" si="194"/>
        <v>3.1382651213676454E-58</v>
      </c>
      <c r="H1114" s="1">
        <f t="shared" si="187"/>
        <v>3.0804357610501264E-59</v>
      </c>
      <c r="I1114">
        <f t="shared" si="188"/>
        <v>60</v>
      </c>
      <c r="J1114">
        <f t="shared" si="189"/>
        <v>1027</v>
      </c>
      <c r="K1114" s="5">
        <f t="shared" si="190"/>
        <v>0</v>
      </c>
      <c r="L1114">
        <f t="shared" si="191"/>
        <v>85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-130.52592938132094</v>
      </c>
      <c r="F1115" s="1">
        <f t="shared" si="197"/>
        <v>-132.52796219051999</v>
      </c>
      <c r="G1115" s="1">
        <f t="shared" si="194"/>
        <v>2.7786722428776383E-58</v>
      </c>
      <c r="H1115" s="1">
        <f t="shared" si="187"/>
        <v>2.7274691634298345E-59</v>
      </c>
      <c r="I1115">
        <f t="shared" si="188"/>
        <v>60</v>
      </c>
      <c r="J1115">
        <f t="shared" si="189"/>
        <v>1028</v>
      </c>
      <c r="K1115" s="5">
        <f t="shared" si="190"/>
        <v>0</v>
      </c>
      <c r="L1115">
        <f t="shared" si="191"/>
        <v>85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-130.64762631629844</v>
      </c>
      <c r="F1116" s="1">
        <f t="shared" si="197"/>
        <v>-132.64965912549749</v>
      </c>
      <c r="G1116" s="1">
        <f t="shared" si="194"/>
        <v>2.4602827150479403E-58</v>
      </c>
      <c r="H1116" s="1">
        <f t="shared" si="187"/>
        <v>2.4149466551201968E-59</v>
      </c>
      <c r="I1116">
        <f t="shared" si="188"/>
        <v>60</v>
      </c>
      <c r="J1116">
        <f t="shared" si="189"/>
        <v>1029</v>
      </c>
      <c r="K1116" s="5">
        <f t="shared" si="190"/>
        <v>0</v>
      </c>
      <c r="L1116">
        <f t="shared" si="191"/>
        <v>85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-130.76932325127595</v>
      </c>
      <c r="F1117" s="1">
        <f t="shared" si="197"/>
        <v>-132.771356060475</v>
      </c>
      <c r="G1117" s="1">
        <f t="shared" si="194"/>
        <v>2.1783753206153918E-58</v>
      </c>
      <c r="H1117" s="1">
        <f t="shared" si="187"/>
        <v>2.1382340175543684E-59</v>
      </c>
      <c r="I1117">
        <f t="shared" si="188"/>
        <v>60</v>
      </c>
      <c r="J1117">
        <f t="shared" si="189"/>
        <v>1030</v>
      </c>
      <c r="K1117" s="5">
        <f t="shared" si="190"/>
        <v>0</v>
      </c>
      <c r="L1117">
        <f t="shared" si="191"/>
        <v>85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-130.89102018625346</v>
      </c>
      <c r="F1118" s="1">
        <f t="shared" si="197"/>
        <v>-132.89305299545251</v>
      </c>
      <c r="G1118" s="1">
        <f t="shared" si="194"/>
        <v>1.9287698151282363E-58</v>
      </c>
      <c r="H1118" s="1">
        <f t="shared" si="187"/>
        <v>1.893228036376288E-59</v>
      </c>
      <c r="I1118">
        <f t="shared" si="188"/>
        <v>60</v>
      </c>
      <c r="J1118">
        <f t="shared" si="189"/>
        <v>1031</v>
      </c>
      <c r="K1118" s="5">
        <f t="shared" si="190"/>
        <v>0</v>
      </c>
      <c r="L1118">
        <f t="shared" si="191"/>
        <v>85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-131.01271712123096</v>
      </c>
      <c r="F1119" s="1">
        <f t="shared" si="197"/>
        <v>-133.01474993043001</v>
      </c>
      <c r="G1119" s="1">
        <f t="shared" si="194"/>
        <v>1.7077649404781477E-58</v>
      </c>
      <c r="H1119" s="1">
        <f t="shared" si="187"/>
        <v>1.676295657208193E-59</v>
      </c>
      <c r="I1119">
        <f t="shared" si="188"/>
        <v>60</v>
      </c>
      <c r="J1119">
        <f t="shared" si="189"/>
        <v>1032</v>
      </c>
      <c r="K1119" s="5">
        <f t="shared" si="190"/>
        <v>0</v>
      </c>
      <c r="L1119">
        <f t="shared" si="191"/>
        <v>85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-131.13441405620847</v>
      </c>
      <c r="F1120" s="1">
        <f t="shared" si="197"/>
        <v>-133.13644686540752</v>
      </c>
      <c r="G1120" s="1">
        <f t="shared" si="194"/>
        <v>1.5120835410483792E-58</v>
      </c>
      <c r="H1120" s="1">
        <f t="shared" si="187"/>
        <v>1.4842201131531066E-59</v>
      </c>
      <c r="I1120">
        <f t="shared" si="188"/>
        <v>60</v>
      </c>
      <c r="J1120">
        <f t="shared" si="189"/>
        <v>1033</v>
      </c>
      <c r="K1120" s="5">
        <f t="shared" si="190"/>
        <v>0</v>
      </c>
      <c r="L1120">
        <f t="shared" si="191"/>
        <v>85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-131.25611099118598</v>
      </c>
      <c r="F1121" s="1">
        <f t="shared" si="197"/>
        <v>-133.25814380038503</v>
      </c>
      <c r="G1121" s="1">
        <f t="shared" si="194"/>
        <v>1.3388239686366028E-58</v>
      </c>
      <c r="H1121" s="1">
        <f t="shared" si="187"/>
        <v>1.3141532251876632E-59</v>
      </c>
      <c r="I1121">
        <f t="shared" si="188"/>
        <v>60</v>
      </c>
      <c r="J1121">
        <f t="shared" si="189"/>
        <v>1034</v>
      </c>
      <c r="K1121" s="5">
        <f t="shared" si="190"/>
        <v>0</v>
      </c>
      <c r="L1121">
        <f t="shared" si="191"/>
        <v>85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-131.37780792616348</v>
      </c>
      <c r="F1122" s="1">
        <f t="shared" si="197"/>
        <v>-133.37984073536254</v>
      </c>
      <c r="G1122" s="1">
        <f t="shared" si="194"/>
        <v>1.1854170555636739E-58</v>
      </c>
      <c r="H1122" s="1">
        <f t="shared" si="187"/>
        <v>1.163573168134925E-59</v>
      </c>
      <c r="I1122">
        <f t="shared" si="188"/>
        <v>60</v>
      </c>
      <c r="J1122">
        <f t="shared" si="189"/>
        <v>1035</v>
      </c>
      <c r="K1122" s="5">
        <f t="shared" si="190"/>
        <v>0</v>
      </c>
      <c r="L1122">
        <f t="shared" si="191"/>
        <v>85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-131.49950486114099</v>
      </c>
      <c r="F1123" s="1">
        <f t="shared" si="197"/>
        <v>-133.50153767034004</v>
      </c>
      <c r="G1123" s="1">
        <f t="shared" si="194"/>
        <v>1.0495880179470164E-58</v>
      </c>
      <c r="H1123" s="1">
        <f t="shared" si="187"/>
        <v>1.0302470759528113E-59</v>
      </c>
      <c r="I1123">
        <f t="shared" si="188"/>
        <v>60</v>
      </c>
      <c r="J1123">
        <f t="shared" si="189"/>
        <v>1036</v>
      </c>
      <c r="K1123" s="5">
        <f t="shared" si="190"/>
        <v>0</v>
      </c>
      <c r="L1123">
        <f t="shared" si="191"/>
        <v>85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-131.6212017961185</v>
      </c>
      <c r="F1124" s="1">
        <f t="shared" si="197"/>
        <v>-133.62323460531755</v>
      </c>
      <c r="G1124" s="1">
        <f t="shared" si="194"/>
        <v>9.2932272422393257E-59</v>
      </c>
      <c r="H1124" s="1">
        <f t="shared" si="187"/>
        <v>9.1219793183322997E-60</v>
      </c>
      <c r="I1124">
        <f t="shared" si="188"/>
        <v>60</v>
      </c>
      <c r="J1124">
        <f t="shared" si="189"/>
        <v>1037</v>
      </c>
      <c r="K1124" s="5">
        <f t="shared" si="190"/>
        <v>0</v>
      </c>
      <c r="L1124">
        <f t="shared" si="191"/>
        <v>85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-131.74289873109601</v>
      </c>
      <c r="F1125" s="1">
        <f t="shared" si="197"/>
        <v>-133.74493154029506</v>
      </c>
      <c r="G1125" s="1">
        <f t="shared" si="194"/>
        <v>8.2283782873995079E-59</v>
      </c>
      <c r="H1125" s="1">
        <f t="shared" si="187"/>
        <v>8.0767525214401598E-60</v>
      </c>
      <c r="I1125">
        <f t="shared" si="188"/>
        <v>60</v>
      </c>
      <c r="J1125">
        <f t="shared" si="189"/>
        <v>1038</v>
      </c>
      <c r="K1125" s="5">
        <f t="shared" si="190"/>
        <v>0</v>
      </c>
      <c r="L1125">
        <f t="shared" si="191"/>
        <v>85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-131.86459566607351</v>
      </c>
      <c r="F1126" s="1">
        <f t="shared" si="197"/>
        <v>-133.86662847527256</v>
      </c>
      <c r="G1126" s="1">
        <f t="shared" si="194"/>
        <v>7.2855432753017413E-59</v>
      </c>
      <c r="H1126" s="1">
        <f t="shared" si="187"/>
        <v>7.1512912950252336E-60</v>
      </c>
      <c r="I1126">
        <f t="shared" si="188"/>
        <v>60</v>
      </c>
      <c r="J1126">
        <f t="shared" si="189"/>
        <v>1039</v>
      </c>
      <c r="K1126" s="5">
        <f t="shared" si="190"/>
        <v>0</v>
      </c>
      <c r="L1126">
        <f t="shared" si="191"/>
        <v>85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-131.98629260105102</v>
      </c>
      <c r="F1127" s="1">
        <f t="shared" si="197"/>
        <v>-133.98832541025007</v>
      </c>
      <c r="G1127" s="1">
        <f t="shared" si="194"/>
        <v>6.4507414416734997E-59</v>
      </c>
      <c r="H1127" s="1">
        <f t="shared" si="187"/>
        <v>6.331872500803674E-60</v>
      </c>
      <c r="I1127">
        <f t="shared" si="188"/>
        <v>60</v>
      </c>
      <c r="J1127">
        <f t="shared" si="189"/>
        <v>1040</v>
      </c>
      <c r="K1127" s="5">
        <f t="shared" si="190"/>
        <v>0</v>
      </c>
      <c r="L1127">
        <f t="shared" si="191"/>
        <v>85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-132.10798953602853</v>
      </c>
      <c r="F1128" s="1">
        <f t="shared" si="197"/>
        <v>-134.11002234522758</v>
      </c>
      <c r="G1128" s="1">
        <f t="shared" si="194"/>
        <v>5.7115939848151508E-59</v>
      </c>
      <c r="H1128" s="1">
        <f t="shared" si="187"/>
        <v>5.6063454434199913E-60</v>
      </c>
      <c r="I1128">
        <f t="shared" si="188"/>
        <v>60</v>
      </c>
      <c r="J1128">
        <f t="shared" si="189"/>
        <v>1041</v>
      </c>
      <c r="K1128" s="5">
        <f t="shared" si="190"/>
        <v>0</v>
      </c>
      <c r="L1128">
        <f t="shared" si="191"/>
        <v>85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-132.22968647100603</v>
      </c>
      <c r="F1129" s="1">
        <f t="shared" si="197"/>
        <v>-134.23171928020508</v>
      </c>
      <c r="G1129" s="1">
        <f t="shared" si="194"/>
        <v>5.0571405073884789E-59</v>
      </c>
      <c r="H1129" s="1">
        <f t="shared" si="187"/>
        <v>4.9639516946948466E-60</v>
      </c>
      <c r="I1129">
        <f t="shared" si="188"/>
        <v>60</v>
      </c>
      <c r="J1129">
        <f t="shared" si="189"/>
        <v>1042</v>
      </c>
      <c r="K1129" s="5">
        <f t="shared" si="190"/>
        <v>0</v>
      </c>
      <c r="L1129">
        <f t="shared" si="191"/>
        <v>85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-132.35138340598354</v>
      </c>
      <c r="F1130" s="1">
        <f t="shared" si="197"/>
        <v>-134.35341621518259</v>
      </c>
      <c r="G1130" s="1">
        <f t="shared" si="194"/>
        <v>4.4776764909169403E-59</v>
      </c>
      <c r="H1130" s="1">
        <f t="shared" si="187"/>
        <v>4.3951655630111189E-60</v>
      </c>
      <c r="I1130">
        <f t="shared" si="188"/>
        <v>60</v>
      </c>
      <c r="J1130">
        <f t="shared" si="189"/>
        <v>1043</v>
      </c>
      <c r="K1130" s="5">
        <f t="shared" si="190"/>
        <v>0</v>
      </c>
      <c r="L1130">
        <f t="shared" si="191"/>
        <v>85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-132.47308034096105</v>
      </c>
      <c r="F1131" s="1">
        <f t="shared" si="197"/>
        <v>-134.4751131501601</v>
      </c>
      <c r="G1131" s="1">
        <f t="shared" si="194"/>
        <v>3.9646093929994246E-59</v>
      </c>
      <c r="H1131" s="1">
        <f t="shared" si="187"/>
        <v>3.8915528422494778E-60</v>
      </c>
      <c r="I1131">
        <f t="shared" si="188"/>
        <v>60</v>
      </c>
      <c r="J1131">
        <f t="shared" si="189"/>
        <v>1044</v>
      </c>
      <c r="K1131" s="5">
        <f t="shared" si="190"/>
        <v>0</v>
      </c>
      <c r="L1131">
        <f t="shared" si="191"/>
        <v>85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-132.59477727593858</v>
      </c>
      <c r="F1132" s="1">
        <f t="shared" si="197"/>
        <v>-134.59681008513763</v>
      </c>
      <c r="G1132" s="1">
        <f t="shared" si="194"/>
        <v>3.5103312333848522E-59</v>
      </c>
      <c r="H1132" s="1">
        <f t="shared" si="187"/>
        <v>3.4456457457416712E-60</v>
      </c>
      <c r="I1132">
        <f t="shared" si="188"/>
        <v>60</v>
      </c>
      <c r="J1132">
        <f t="shared" si="189"/>
        <v>1045</v>
      </c>
      <c r="K1132" s="5">
        <f t="shared" si="190"/>
        <v>0</v>
      </c>
      <c r="L1132">
        <f t="shared" si="191"/>
        <v>85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-132.71647421091612</v>
      </c>
      <c r="F1133" s="1">
        <f t="shared" si="197"/>
        <v>-134.71850702011517</v>
      </c>
      <c r="G1133" s="1">
        <f t="shared" si="194"/>
        <v>3.1081057795594561E-59</v>
      </c>
      <c r="H1133" s="1">
        <f t="shared" si="187"/>
        <v>3.0508321707087235E-60</v>
      </c>
      <c r="I1133">
        <f t="shared" si="188"/>
        <v>60</v>
      </c>
      <c r="J1133">
        <f t="shared" si="189"/>
        <v>1046</v>
      </c>
      <c r="K1133" s="5">
        <f t="shared" si="190"/>
        <v>0</v>
      </c>
      <c r="L1133">
        <f t="shared" si="191"/>
        <v>85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-132.83817114589365</v>
      </c>
      <c r="F1134" s="1">
        <f t="shared" si="197"/>
        <v>-134.8402039550927</v>
      </c>
      <c r="G1134" s="1">
        <f t="shared" si="194"/>
        <v>2.7519686589848922E-59</v>
      </c>
      <c r="H1134" s="1">
        <f t="shared" si="187"/>
        <v>2.701257651148307E-60</v>
      </c>
      <c r="I1134">
        <f t="shared" si="188"/>
        <v>60</v>
      </c>
      <c r="J1134">
        <f t="shared" si="189"/>
        <v>1047</v>
      </c>
      <c r="K1134" s="5">
        <f t="shared" si="190"/>
        <v>0</v>
      </c>
      <c r="L1134">
        <f t="shared" si="191"/>
        <v>85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-132.95986808087119</v>
      </c>
      <c r="F1135" s="1">
        <f t="shared" si="197"/>
        <v>-134.96190089007024</v>
      </c>
      <c r="G1135" s="1">
        <f t="shared" si="194"/>
        <v>2.4366389168095018E-59</v>
      </c>
      <c r="H1135" s="1">
        <f t="shared" si="187"/>
        <v>2.3917385452875261E-60</v>
      </c>
      <c r="I1135">
        <f t="shared" si="188"/>
        <v>60</v>
      </c>
      <c r="J1135">
        <f t="shared" si="189"/>
        <v>1048</v>
      </c>
      <c r="K1135" s="5">
        <f t="shared" si="190"/>
        <v>0</v>
      </c>
      <c r="L1135">
        <f t="shared" si="191"/>
        <v>85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-133.08156501584872</v>
      </c>
      <c r="F1136" s="1">
        <f t="shared" si="197"/>
        <v>-135.08359782504778</v>
      </c>
      <c r="G1136" s="1">
        <f t="shared" si="194"/>
        <v>2.1574407075917126E-59</v>
      </c>
      <c r="H1136" s="1">
        <f t="shared" si="187"/>
        <v>2.1176851703066304E-60</v>
      </c>
      <c r="I1136">
        <f t="shared" si="188"/>
        <v>60</v>
      </c>
      <c r="J1136">
        <f t="shared" si="189"/>
        <v>1049</v>
      </c>
      <c r="K1136" s="5">
        <f t="shared" si="190"/>
        <v>0</v>
      </c>
      <c r="L1136">
        <f t="shared" si="191"/>
        <v>85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-133.20326195082626</v>
      </c>
      <c r="F1137" s="1">
        <f t="shared" si="197"/>
        <v>-135.20529476002531</v>
      </c>
      <c r="G1137" s="1">
        <f t="shared" si="194"/>
        <v>1.9102339598467989E-59</v>
      </c>
      <c r="H1137" s="1">
        <f t="shared" si="187"/>
        <v>1.8750337445422995E-60</v>
      </c>
      <c r="I1137">
        <f t="shared" si="188"/>
        <v>60</v>
      </c>
      <c r="J1137">
        <f t="shared" si="189"/>
        <v>1050</v>
      </c>
      <c r="K1137" s="5">
        <f t="shared" si="190"/>
        <v>0</v>
      </c>
      <c r="L1137">
        <f t="shared" si="191"/>
        <v>85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-133.3249588858038</v>
      </c>
      <c r="F1138" s="1">
        <f t="shared" si="197"/>
        <v>-135.32699169500285</v>
      </c>
      <c r="G1138" s="1">
        <f t="shared" si="194"/>
        <v>1.6913529852809935E-59</v>
      </c>
      <c r="H1138" s="1">
        <f t="shared" si="187"/>
        <v>1.6601861279801353E-60</v>
      </c>
      <c r="I1138">
        <f t="shared" si="188"/>
        <v>60</v>
      </c>
      <c r="J1138">
        <f t="shared" si="189"/>
        <v>1051</v>
      </c>
      <c r="K1138" s="5">
        <f t="shared" si="190"/>
        <v>0</v>
      </c>
      <c r="L1138">
        <f t="shared" si="191"/>
        <v>85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-133.44665582078133</v>
      </c>
      <c r="F1139" s="1">
        <f t="shared" si="197"/>
        <v>-135.44868862998038</v>
      </c>
      <c r="G1139" s="1">
        <f t="shared" si="194"/>
        <v>1.4975521223841895E-59</v>
      </c>
      <c r="H1139" s="1">
        <f t="shared" si="187"/>
        <v>1.4699564674823883E-60</v>
      </c>
      <c r="I1139">
        <f t="shared" si="188"/>
        <v>60</v>
      </c>
      <c r="J1139">
        <f t="shared" si="189"/>
        <v>1052</v>
      </c>
      <c r="K1139" s="5">
        <f t="shared" si="190"/>
        <v>0</v>
      </c>
      <c r="L1139">
        <f t="shared" si="191"/>
        <v>85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-133.56835275575887</v>
      </c>
      <c r="F1140" s="1">
        <f t="shared" si="197"/>
        <v>-135.57038556495792</v>
      </c>
      <c r="G1140" s="1">
        <f t="shared" si="194"/>
        <v>1.3259576083609805E-59</v>
      </c>
      <c r="H1140" s="1">
        <f t="shared" si="187"/>
        <v>1.3015239555833445E-60</v>
      </c>
      <c r="I1140">
        <f t="shared" si="188"/>
        <v>60</v>
      </c>
      <c r="J1140">
        <f t="shared" si="189"/>
        <v>1053</v>
      </c>
      <c r="K1140" s="5">
        <f t="shared" si="190"/>
        <v>0</v>
      </c>
      <c r="L1140">
        <f t="shared" si="191"/>
        <v>85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-133.6900496907364</v>
      </c>
      <c r="F1141" s="1">
        <f t="shared" si="197"/>
        <v>-135.69208249993545</v>
      </c>
      <c r="G1141" s="1">
        <f t="shared" si="194"/>
        <v>1.1740249657362665E-59</v>
      </c>
      <c r="H1141" s="1">
        <f t="shared" si="187"/>
        <v>1.1523910023394015E-60</v>
      </c>
      <c r="I1141">
        <f t="shared" si="188"/>
        <v>60</v>
      </c>
      <c r="J1141">
        <f t="shared" si="189"/>
        <v>1054</v>
      </c>
      <c r="K1141" s="5">
        <f t="shared" si="190"/>
        <v>0</v>
      </c>
      <c r="L1141">
        <f t="shared" si="191"/>
        <v>85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-133.81174662571394</v>
      </c>
      <c r="F1142" s="1">
        <f t="shared" si="197"/>
        <v>-135.81377943491299</v>
      </c>
      <c r="G1142" s="1">
        <f t="shared" si="194"/>
        <v>1.0395012717456362E-59</v>
      </c>
      <c r="H1142" s="1">
        <f t="shared" si="187"/>
        <v>1.0203461999879957E-60</v>
      </c>
      <c r="I1142">
        <f t="shared" si="188"/>
        <v>60</v>
      </c>
      <c r="J1142">
        <f t="shared" si="189"/>
        <v>1055</v>
      </c>
      <c r="K1142" s="5">
        <f t="shared" si="190"/>
        <v>0</v>
      </c>
      <c r="L1142">
        <f t="shared" si="191"/>
        <v>85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-133.93344356069147</v>
      </c>
      <c r="F1143" s="1">
        <f t="shared" si="197"/>
        <v>-135.93547636989052</v>
      </c>
      <c r="G1143" s="1">
        <f t="shared" si="194"/>
        <v>9.2039175102476777E-60</v>
      </c>
      <c r="H1143" s="1">
        <f t="shared" si="187"/>
        <v>9.0343153123935721E-61</v>
      </c>
      <c r="I1143">
        <f t="shared" si="188"/>
        <v>60</v>
      </c>
      <c r="J1143">
        <f t="shared" si="189"/>
        <v>1056</v>
      </c>
      <c r="K1143" s="5">
        <f t="shared" si="190"/>
        <v>0</v>
      </c>
      <c r="L1143">
        <f t="shared" si="191"/>
        <v>85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-134.05514049566901</v>
      </c>
      <c r="F1144" s="1">
        <f t="shared" si="197"/>
        <v>-136.05717330486806</v>
      </c>
      <c r="G1144" s="1">
        <f t="shared" si="194"/>
        <v>8.1493019621983368E-60</v>
      </c>
      <c r="H1144" s="1">
        <f t="shared" si="187"/>
        <v>7.9991333495150159E-61</v>
      </c>
      <c r="I1144">
        <f t="shared" si="188"/>
        <v>60</v>
      </c>
      <c r="J1144">
        <f t="shared" si="189"/>
        <v>1057</v>
      </c>
      <c r="K1144" s="5">
        <f t="shared" si="190"/>
        <v>0</v>
      </c>
      <c r="L1144">
        <f t="shared" si="191"/>
        <v>85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-134.17683743064654</v>
      </c>
      <c r="F1145" s="1">
        <f t="shared" si="197"/>
        <v>-136.17887023984559</v>
      </c>
      <c r="G1145" s="1">
        <f t="shared" si="194"/>
        <v>7.2155277790296644E-60</v>
      </c>
      <c r="H1145" s="1">
        <f t="shared" si="187"/>
        <v>7.0825659865496427E-61</v>
      </c>
      <c r="I1145">
        <f t="shared" si="188"/>
        <v>60</v>
      </c>
      <c r="J1145">
        <f t="shared" si="189"/>
        <v>1058</v>
      </c>
      <c r="K1145" s="5">
        <f t="shared" si="190"/>
        <v>0</v>
      </c>
      <c r="L1145">
        <f t="shared" si="191"/>
        <v>85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-134.29853436562408</v>
      </c>
      <c r="F1146" s="1">
        <f t="shared" si="197"/>
        <v>-136.30056717482313</v>
      </c>
      <c r="G1146" s="1">
        <f t="shared" si="194"/>
        <v>6.3887485543490823E-60</v>
      </c>
      <c r="H1146" s="1">
        <f t="shared" si="187"/>
        <v>6.2710219672573988E-61</v>
      </c>
      <c r="I1146">
        <f t="shared" si="188"/>
        <v>60</v>
      </c>
      <c r="J1146">
        <f t="shared" si="189"/>
        <v>1059</v>
      </c>
      <c r="K1146" s="5">
        <f t="shared" si="190"/>
        <v>0</v>
      </c>
      <c r="L1146">
        <f t="shared" si="191"/>
        <v>85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-134.42023130060161</v>
      </c>
      <c r="F1147" s="1">
        <f t="shared" si="197"/>
        <v>-136.42226410980066</v>
      </c>
      <c r="G1147" s="1">
        <f t="shared" si="194"/>
        <v>5.6567044491631618E-60</v>
      </c>
      <c r="H1147" s="1">
        <f t="shared" si="187"/>
        <v>5.5524673668424016E-61</v>
      </c>
      <c r="I1147">
        <f t="shared" si="188"/>
        <v>60</v>
      </c>
      <c r="J1147">
        <f t="shared" si="189"/>
        <v>1060</v>
      </c>
      <c r="K1147" s="5">
        <f t="shared" si="190"/>
        <v>0</v>
      </c>
      <c r="L1147">
        <f t="shared" si="191"/>
        <v>85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-134.54192823557915</v>
      </c>
      <c r="F1148" s="1">
        <f t="shared" si="197"/>
        <v>-136.5439610447782</v>
      </c>
      <c r="G1148" s="1">
        <f t="shared" si="194"/>
        <v>5.0085403976964705E-60</v>
      </c>
      <c r="H1148" s="1">
        <f t="shared" si="187"/>
        <v>4.916247147724966E-61</v>
      </c>
      <c r="I1148">
        <f t="shared" si="188"/>
        <v>60</v>
      </c>
      <c r="J1148">
        <f t="shared" si="189"/>
        <v>1061</v>
      </c>
      <c r="K1148" s="5">
        <f t="shared" si="190"/>
        <v>0</v>
      </c>
      <c r="L1148">
        <f t="shared" si="191"/>
        <v>85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-134.66362517055668</v>
      </c>
      <c r="F1149" s="1">
        <f t="shared" si="197"/>
        <v>-136.66565797975574</v>
      </c>
      <c r="G1149" s="1">
        <f t="shared" si="194"/>
        <v>4.4346451437936808E-60</v>
      </c>
      <c r="H1149" s="1">
        <f t="shared" si="187"/>
        <v>4.3529271620480792E-61</v>
      </c>
      <c r="I1149">
        <f t="shared" si="188"/>
        <v>60</v>
      </c>
      <c r="J1149">
        <f t="shared" si="189"/>
        <v>1062</v>
      </c>
      <c r="K1149" s="5">
        <f t="shared" si="190"/>
        <v>0</v>
      </c>
      <c r="L1149">
        <f t="shared" si="191"/>
        <v>85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-134.78532210553422</v>
      </c>
      <c r="F1150" s="1">
        <f t="shared" si="197"/>
        <v>-136.78735491473327</v>
      </c>
      <c r="G1150" s="1">
        <f t="shared" si="194"/>
        <v>3.9265087210672605E-60</v>
      </c>
      <c r="H1150" s="1">
        <f t="shared" si="187"/>
        <v>3.854154258063343E-61</v>
      </c>
      <c r="I1150">
        <f t="shared" si="188"/>
        <v>60</v>
      </c>
      <c r="J1150">
        <f t="shared" si="189"/>
        <v>1063</v>
      </c>
      <c r="K1150" s="5">
        <f t="shared" si="190"/>
        <v>0</v>
      </c>
      <c r="L1150">
        <f t="shared" si="191"/>
        <v>85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-134.90701904051176</v>
      </c>
      <c r="F1151" s="1">
        <f t="shared" si="197"/>
        <v>-136.90905184971081</v>
      </c>
      <c r="G1151" s="1">
        <f t="shared" si="194"/>
        <v>3.4765962634449155E-60</v>
      </c>
      <c r="H1151" s="1">
        <f t="shared" si="187"/>
        <v>3.4125324159935312E-61</v>
      </c>
      <c r="I1151">
        <f t="shared" si="188"/>
        <v>60</v>
      </c>
      <c r="J1151">
        <f t="shared" si="189"/>
        <v>1064</v>
      </c>
      <c r="K1151" s="5">
        <f t="shared" si="190"/>
        <v>0</v>
      </c>
      <c r="L1151">
        <f t="shared" si="191"/>
        <v>85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-135.02871597548929</v>
      </c>
      <c r="F1152" s="1">
        <f t="shared" si="197"/>
        <v>-137.03074878468834</v>
      </c>
      <c r="G1152" s="1">
        <f t="shared" si="194"/>
        <v>3.0782362749251376E-60</v>
      </c>
      <c r="H1152" s="1">
        <f t="shared" si="187"/>
        <v>3.0215130766608922E-61</v>
      </c>
      <c r="I1152">
        <f t="shared" si="188"/>
        <v>60</v>
      </c>
      <c r="J1152">
        <f t="shared" si="189"/>
        <v>1065</v>
      </c>
      <c r="K1152" s="5">
        <f t="shared" si="190"/>
        <v>0</v>
      </c>
      <c r="L1152">
        <f t="shared" si="191"/>
        <v>85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-135.15041291046683</v>
      </c>
      <c r="F1153" s="1">
        <f t="shared" si="197"/>
        <v>-137.15244571966588</v>
      </c>
      <c r="G1153" s="1">
        <f t="shared" si="194"/>
        <v>2.7255217017565894E-60</v>
      </c>
      <c r="H1153" s="1">
        <f t="shared" si="187"/>
        <v>2.6752980366267897E-61</v>
      </c>
      <c r="I1153">
        <f t="shared" si="188"/>
        <v>60</v>
      </c>
      <c r="J1153">
        <f t="shared" si="189"/>
        <v>1066</v>
      </c>
      <c r="K1153" s="5">
        <f t="shared" si="190"/>
        <v>0</v>
      </c>
      <c r="L1153">
        <f t="shared" si="191"/>
        <v>85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-135.27210984544436</v>
      </c>
      <c r="F1154" s="1">
        <f t="shared" si="197"/>
        <v>-137.27414265464341</v>
      </c>
      <c r="G1154" s="1">
        <f t="shared" si="194"/>
        <v>2.4132223400969428E-60</v>
      </c>
      <c r="H1154" s="1">
        <f t="shared" si="187"/>
        <v>2.3687534699299331E-61</v>
      </c>
      <c r="I1154">
        <f t="shared" si="188"/>
        <v>60</v>
      </c>
      <c r="J1154">
        <f t="shared" si="189"/>
        <v>1067</v>
      </c>
      <c r="K1154" s="5">
        <f t="shared" si="190"/>
        <v>0</v>
      </c>
      <c r="L1154">
        <f t="shared" si="191"/>
        <v>85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-135.3938067804219</v>
      </c>
      <c r="F1155" s="1">
        <f t="shared" si="197"/>
        <v>-137.39583958962095</v>
      </c>
      <c r="G1155" s="1">
        <f t="shared" si="194"/>
        <v>2.1367072802941347E-60</v>
      </c>
      <c r="H1155" s="1">
        <f t="shared" si="187"/>
        <v>2.0973338015004289E-61</v>
      </c>
      <c r="I1155">
        <f t="shared" si="188"/>
        <v>60</v>
      </c>
      <c r="J1155">
        <f t="shared" si="189"/>
        <v>1068</v>
      </c>
      <c r="K1155" s="5">
        <f t="shared" si="190"/>
        <v>0</v>
      </c>
      <c r="L1155">
        <f t="shared" si="191"/>
        <v>85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-135.51550371539943</v>
      </c>
      <c r="F1156" s="1">
        <f t="shared" si="197"/>
        <v>-137.51753652459848</v>
      </c>
      <c r="G1156" s="1">
        <f t="shared" si="194"/>
        <v>1.891876237760402E-60</v>
      </c>
      <c r="H1156" s="1">
        <f t="shared" si="187"/>
        <v>1.857014303411809E-61</v>
      </c>
      <c r="I1156">
        <f t="shared" si="188"/>
        <v>60</v>
      </c>
      <c r="J1156">
        <f t="shared" si="189"/>
        <v>1069</v>
      </c>
      <c r="K1156" s="5">
        <f t="shared" si="190"/>
        <v>0</v>
      </c>
      <c r="L1156">
        <f t="shared" si="191"/>
        <v>85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-135.63720065037697</v>
      </c>
      <c r="F1157" s="1">
        <f t="shared" si="197"/>
        <v>-137.63923345957602</v>
      </c>
      <c r="G1157" s="1">
        <f t="shared" si="194"/>
        <v>1.6750987521836633E-60</v>
      </c>
      <c r="H1157" s="1">
        <f t="shared" si="187"/>
        <v>1.6442314144791803E-61</v>
      </c>
      <c r="I1157">
        <f t="shared" si="188"/>
        <v>60</v>
      </c>
      <c r="J1157">
        <f t="shared" si="189"/>
        <v>1070</v>
      </c>
      <c r="K1157" s="5">
        <f t="shared" si="190"/>
        <v>0</v>
      </c>
      <c r="L1157">
        <f t="shared" si="191"/>
        <v>85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-135.7588975853545</v>
      </c>
      <c r="F1158" s="1">
        <f t="shared" si="197"/>
        <v>-137.76093039455355</v>
      </c>
      <c r="G1158" s="1">
        <f t="shared" si="194"/>
        <v>1.4831603534959285E-60</v>
      </c>
      <c r="H1158" s="1">
        <f t="shared" si="187"/>
        <v>1.4558298982367513E-61</v>
      </c>
      <c r="I1158">
        <f t="shared" si="188"/>
        <v>60</v>
      </c>
      <c r="J1158">
        <f t="shared" si="189"/>
        <v>1071</v>
      </c>
      <c r="K1158" s="5">
        <f t="shared" si="190"/>
        <v>0</v>
      </c>
      <c r="L1158">
        <f t="shared" si="191"/>
        <v>85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-135.88059452033204</v>
      </c>
      <c r="F1159" s="1">
        <f t="shared" si="197"/>
        <v>-137.88262732953109</v>
      </c>
      <c r="G1159" s="1">
        <f t="shared" si="194"/>
        <v>1.3132148963244996E-60</v>
      </c>
      <c r="H1159" s="1">
        <f t="shared" si="187"/>
        <v>1.2890160557304368E-61</v>
      </c>
      <c r="I1159">
        <f t="shared" si="188"/>
        <v>60</v>
      </c>
      <c r="J1159">
        <f t="shared" si="189"/>
        <v>1072</v>
      </c>
      <c r="K1159" s="5">
        <f t="shared" si="190"/>
        <v>0</v>
      </c>
      <c r="L1159">
        <f t="shared" si="191"/>
        <v>85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-136.00229145530957</v>
      </c>
      <c r="F1160" s="1">
        <f t="shared" si="197"/>
        <v>-138.00432426450863</v>
      </c>
      <c r="G1160" s="1">
        <f t="shared" si="194"/>
        <v>1.1627423561206325E-60</v>
      </c>
      <c r="H1160" s="1">
        <f t="shared" si="187"/>
        <v>1.1413162993446398E-61</v>
      </c>
      <c r="I1160">
        <f t="shared" si="188"/>
        <v>60</v>
      </c>
      <c r="J1160">
        <f t="shared" si="189"/>
        <v>1073</v>
      </c>
      <c r="K1160" s="5">
        <f t="shared" si="190"/>
        <v>0</v>
      </c>
      <c r="L1160">
        <f t="shared" si="191"/>
        <v>85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-136.12398839028711</v>
      </c>
      <c r="F1161" s="1">
        <f t="shared" si="197"/>
        <v>-138.12602119948616</v>
      </c>
      <c r="G1161" s="1">
        <f t="shared" si="194"/>
        <v>1.0295114611484606E-60</v>
      </c>
      <c r="H1161" s="1">
        <f t="shared" si="187"/>
        <v>1.0105404733780507E-61</v>
      </c>
      <c r="I1161">
        <f t="shared" si="188"/>
        <v>60</v>
      </c>
      <c r="J1161">
        <f t="shared" si="189"/>
        <v>1074</v>
      </c>
      <c r="K1161" s="5">
        <f t="shared" si="190"/>
        <v>0</v>
      </c>
      <c r="L1161">
        <f t="shared" si="191"/>
        <v>85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-136.24568532526465</v>
      </c>
      <c r="F1162" s="1">
        <f t="shared" si="197"/>
        <v>-138.2477181344637</v>
      </c>
      <c r="G1162" s="1">
        <f t="shared" si="194"/>
        <v>9.1154660622518524E-61</v>
      </c>
      <c r="H1162" s="1">
        <f t="shared" si="187"/>
        <v>8.9474937747013496E-62</v>
      </c>
      <c r="I1162">
        <f t="shared" si="188"/>
        <v>60</v>
      </c>
      <c r="J1162">
        <f t="shared" si="189"/>
        <v>1075</v>
      </c>
      <c r="K1162" s="5">
        <f t="shared" si="190"/>
        <v>0</v>
      </c>
      <c r="L1162">
        <f t="shared" si="191"/>
        <v>85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-136.36738226024218</v>
      </c>
      <c r="F1163" s="1">
        <f t="shared" si="197"/>
        <v>-138.36941506944123</v>
      </c>
      <c r="G1163" s="1">
        <f t="shared" si="194"/>
        <v>8.0709855759520339E-61</v>
      </c>
      <c r="H1163" s="1">
        <f t="shared" si="187"/>
        <v>7.9222601130166964E-62</v>
      </c>
      <c r="I1163">
        <f t="shared" si="188"/>
        <v>60</v>
      </c>
      <c r="J1163">
        <f t="shared" si="189"/>
        <v>1076</v>
      </c>
      <c r="K1163" s="5">
        <f t="shared" si="190"/>
        <v>0</v>
      </c>
      <c r="L1163">
        <f t="shared" si="191"/>
        <v>85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-136.48907919521972</v>
      </c>
      <c r="F1164" s="1">
        <f t="shared" si="197"/>
        <v>-138.49111200441877</v>
      </c>
      <c r="G1164" s="1">
        <f t="shared" si="194"/>
        <v>7.1461851453740855E-61</v>
      </c>
      <c r="H1164" s="1">
        <f t="shared" si="187"/>
        <v>7.0145011417334234E-62</v>
      </c>
      <c r="I1164">
        <f t="shared" si="188"/>
        <v>60</v>
      </c>
      <c r="J1164">
        <f t="shared" si="189"/>
        <v>1077</v>
      </c>
      <c r="K1164" s="5">
        <f t="shared" si="190"/>
        <v>0</v>
      </c>
      <c r="L1164">
        <f t="shared" si="191"/>
        <v>85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-136.61077613019725</v>
      </c>
      <c r="F1165" s="1">
        <f t="shared" si="197"/>
        <v>-138.6128089393963</v>
      </c>
      <c r="G1165" s="1">
        <f t="shared" si="194"/>
        <v>6.327351430799873E-61</v>
      </c>
      <c r="H1165" s="1">
        <f t="shared" si="187"/>
        <v>6.2107562192430388E-62</v>
      </c>
      <c r="I1165">
        <f t="shared" si="188"/>
        <v>60</v>
      </c>
      <c r="J1165">
        <f t="shared" si="189"/>
        <v>1078</v>
      </c>
      <c r="K1165" s="5">
        <f t="shared" si="190"/>
        <v>0</v>
      </c>
      <c r="L1165">
        <f t="shared" si="191"/>
        <v>85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-136.73247306517479</v>
      </c>
      <c r="F1166" s="1">
        <f t="shared" si="197"/>
        <v>-138.73450587437384</v>
      </c>
      <c r="G1166" s="1">
        <f t="shared" si="194"/>
        <v>5.6023424126872997E-61</v>
      </c>
      <c r="H1166" s="1">
        <f t="shared" si="187"/>
        <v>5.4991070691213545E-62</v>
      </c>
      <c r="I1166">
        <f t="shared" si="188"/>
        <v>60</v>
      </c>
      <c r="J1166">
        <f t="shared" si="189"/>
        <v>1079</v>
      </c>
      <c r="K1166" s="5">
        <f t="shared" si="190"/>
        <v>0</v>
      </c>
      <c r="L1166">
        <f t="shared" si="191"/>
        <v>85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-136.85417000015232</v>
      </c>
      <c r="F1167" s="1">
        <f t="shared" si="197"/>
        <v>-138.85620280935137</v>
      </c>
      <c r="G1167" s="1">
        <f t="shared" si="194"/>
        <v>4.9604073445668023E-61</v>
      </c>
      <c r="H1167" s="1">
        <f t="shared" si="187"/>
        <v>4.8690010507844564E-62</v>
      </c>
      <c r="I1167">
        <f t="shared" si="188"/>
        <v>60</v>
      </c>
      <c r="J1167">
        <f t="shared" si="189"/>
        <v>1080</v>
      </c>
      <c r="K1167" s="5">
        <f t="shared" si="190"/>
        <v>0</v>
      </c>
      <c r="L1167">
        <f t="shared" si="191"/>
        <v>85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-136.97586693512986</v>
      </c>
      <c r="F1168" s="1">
        <f t="shared" si="197"/>
        <v>-138.97789974432891</v>
      </c>
      <c r="G1168" s="1">
        <f t="shared" si="194"/>
        <v>4.392027336335121E-61</v>
      </c>
      <c r="H1168" s="1">
        <f t="shared" si="187"/>
        <v>4.3110946803820036E-62</v>
      </c>
      <c r="I1168">
        <f t="shared" si="188"/>
        <v>60</v>
      </c>
      <c r="J1168">
        <f t="shared" si="189"/>
        <v>1081</v>
      </c>
      <c r="K1168" s="5">
        <f t="shared" si="190"/>
        <v>0</v>
      </c>
      <c r="L1168">
        <f t="shared" si="191"/>
        <v>85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-137.09756387010739</v>
      </c>
      <c r="F1169" s="1">
        <f t="shared" si="197"/>
        <v>-139.09959667930644</v>
      </c>
      <c r="G1169" s="1">
        <f t="shared" si="194"/>
        <v>3.8887742040466604E-61</v>
      </c>
      <c r="H1169" s="1">
        <f t="shared" si="187"/>
        <v>3.817115081588172E-62</v>
      </c>
      <c r="I1169">
        <f t="shared" si="188"/>
        <v>60</v>
      </c>
      <c r="J1169">
        <f t="shared" si="189"/>
        <v>1082</v>
      </c>
      <c r="K1169" s="5">
        <f t="shared" si="190"/>
        <v>0</v>
      </c>
      <c r="L1169">
        <f t="shared" si="191"/>
        <v>85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-137.21926080508493</v>
      </c>
      <c r="F1170" s="1">
        <f t="shared" si="197"/>
        <v>-139.22129361428398</v>
      </c>
      <c r="G1170" s="1">
        <f t="shared" si="194"/>
        <v>3.4431854931662601E-61</v>
      </c>
      <c r="H1170" s="1">
        <f t="shared" si="187"/>
        <v>3.3797373118228077E-62</v>
      </c>
      <c r="I1170">
        <f t="shared" si="188"/>
        <v>60</v>
      </c>
      <c r="J1170">
        <f t="shared" si="189"/>
        <v>1083</v>
      </c>
      <c r="K1170" s="5">
        <f t="shared" si="190"/>
        <v>0</v>
      </c>
      <c r="L1170">
        <f t="shared" si="191"/>
        <v>85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-137.34095774006246</v>
      </c>
      <c r="F1171" s="1">
        <f t="shared" si="197"/>
        <v>-139.34299054926151</v>
      </c>
      <c r="G1171" s="1">
        <f t="shared" si="194"/>
        <v>3.0486538220742455E-61</v>
      </c>
      <c r="H1171" s="1">
        <f t="shared" si="187"/>
        <v>2.9924757448430647E-62</v>
      </c>
      <c r="I1171">
        <f t="shared" si="188"/>
        <v>60</v>
      </c>
      <c r="J1171">
        <f t="shared" si="189"/>
        <v>1084</v>
      </c>
      <c r="K1171" s="5">
        <f t="shared" si="190"/>
        <v>0</v>
      </c>
      <c r="L1171">
        <f t="shared" si="191"/>
        <v>85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-137.46265467504</v>
      </c>
      <c r="F1172" s="1">
        <f t="shared" si="197"/>
        <v>-139.46468748423905</v>
      </c>
      <c r="G1172" s="1">
        <f t="shared" si="194"/>
        <v>2.6993289049615292E-61</v>
      </c>
      <c r="H1172" s="1">
        <f t="shared" si="187"/>
        <v>2.6495878990797552E-62</v>
      </c>
      <c r="I1172">
        <f t="shared" si="188"/>
        <v>60</v>
      </c>
      <c r="J1172">
        <f t="shared" si="189"/>
        <v>1085</v>
      </c>
      <c r="K1172" s="5">
        <f t="shared" si="190"/>
        <v>0</v>
      </c>
      <c r="L1172">
        <f t="shared" si="191"/>
        <v>85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-137.58435161001753</v>
      </c>
      <c r="F1173" s="1">
        <f t="shared" si="197"/>
        <v>-139.58638441921659</v>
      </c>
      <c r="G1173" s="1">
        <f t="shared" si="194"/>
        <v>2.3900308012679832E-61</v>
      </c>
      <c r="H1173" s="1">
        <f t="shared" si="187"/>
        <v>2.3459892856434968E-62</v>
      </c>
      <c r="I1173">
        <f t="shared" si="188"/>
        <v>60</v>
      </c>
      <c r="J1173">
        <f t="shared" si="189"/>
        <v>1086</v>
      </c>
      <c r="K1173" s="5">
        <f t="shared" si="190"/>
        <v>0</v>
      </c>
      <c r="L1173">
        <f t="shared" si="191"/>
        <v>85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-137.70604854499507</v>
      </c>
      <c r="F1174" s="1">
        <f t="shared" si="197"/>
        <v>-139.70808135419412</v>
      </c>
      <c r="G1174" s="1">
        <f t="shared" si="194"/>
        <v>2.1161731052893271E-61</v>
      </c>
      <c r="H1174" s="1">
        <f t="shared" si="187"/>
        <v>2.077178013330147E-62</v>
      </c>
      <c r="I1174">
        <f t="shared" si="188"/>
        <v>60</v>
      </c>
      <c r="J1174">
        <f t="shared" si="189"/>
        <v>1087</v>
      </c>
      <c r="K1174" s="5">
        <f t="shared" si="190"/>
        <v>0</v>
      </c>
      <c r="L1174">
        <f t="shared" si="191"/>
        <v>85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-137.82774547997261</v>
      </c>
      <c r="F1175" s="1">
        <f t="shared" si="197"/>
        <v>-139.82977828917166</v>
      </c>
      <c r="G1175" s="1">
        <f t="shared" si="194"/>
        <v>1.8736949369748958E-61</v>
      </c>
      <c r="H1175" s="1">
        <f t="shared" ref="H1175:H1238" si="198">G1175/$G$21</f>
        <v>1.8391680326360388E-62</v>
      </c>
      <c r="I1175">
        <f t="shared" ref="I1175:I1238" si="199">IF($F$11&lt;=D1175, IF(D1175&lt;=$A$15,D1175-$F$11,$C$11),0)</f>
        <v>60</v>
      </c>
      <c r="J1175">
        <f t="shared" ref="J1175:J1238" si="200">IF(D1175&lt;=$A$15,0,D1175-$A$15)</f>
        <v>1088</v>
      </c>
      <c r="K1175" s="5">
        <f t="shared" ref="K1175:K1238" si="201">IF(D1175&lt;$F$11,H1175,0)</f>
        <v>0</v>
      </c>
      <c r="L1175">
        <f t="shared" ref="L1175:L1238" si="202">IF(D1175&lt;$A$15,$D$11,$D$11*(1-$H$11))</f>
        <v>85</v>
      </c>
      <c r="M1175">
        <f t="shared" ref="M1175:M1238" si="203">IF(D1175&lt;$A$15,0,1)</f>
        <v>1</v>
      </c>
      <c r="N1175">
        <f t="shared" ref="N1175:N1238" si="204">IF(SUM(I1175:J1175)&lt;=($G$11/60*$F$11/($E$11/60)),1,0)</f>
        <v>0</v>
      </c>
    </row>
    <row r="1176" spans="4:14" x14ac:dyDescent="0.2">
      <c r="D1176">
        <f t="shared" si="195"/>
        <v>1153</v>
      </c>
      <c r="E1176" s="1">
        <f t="shared" si="196"/>
        <v>-137.94944241495014</v>
      </c>
      <c r="F1176" s="1">
        <f t="shared" si="197"/>
        <v>-139.95147522414919</v>
      </c>
      <c r="G1176" s="1">
        <f t="shared" ref="G1176:G1239" si="205">EXP(F1176)</f>
        <v>1.6590007254464963E-61</v>
      </c>
      <c r="H1176" s="1">
        <f t="shared" si="198"/>
        <v>1.628430028896467E-62</v>
      </c>
      <c r="I1176">
        <f t="shared" si="199"/>
        <v>60</v>
      </c>
      <c r="J1176">
        <f t="shared" si="200"/>
        <v>1089</v>
      </c>
      <c r="K1176" s="5">
        <f t="shared" si="201"/>
        <v>0</v>
      </c>
      <c r="L1176">
        <f t="shared" si="202"/>
        <v>85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IF($H$11=1,IF(D1177&lt;=$A$15, E1176+LN($D$11)-LN(60/$E$11)-LN(MIN(D1177,$F$11)), E1176-LN(60/$E$11)-LN(MIN(D1177,$F$11))), IF(D1177&lt;=$A$15, E1176+LN($D$11)-LN(60/$E$11)-LN(MIN(D1177,$F$11)), E1176+LN($D$11)+LN(1-$H$11)-LN(60/$E$11)-LN(MIN(D1177,$F$11))))</f>
        <v>-138.07113934992768</v>
      </c>
      <c r="F1177" s="1">
        <f t="shared" ref="F1177:F1240" si="208">E1177-$E$21</f>
        <v>-140.07317215912673</v>
      </c>
      <c r="G1177" s="1">
        <f t="shared" si="205"/>
        <v>1.4689068923223956E-61</v>
      </c>
      <c r="H1177" s="1">
        <f t="shared" si="198"/>
        <v>1.441839088085391E-62</v>
      </c>
      <c r="I1177">
        <f t="shared" si="199"/>
        <v>60</v>
      </c>
      <c r="J1177">
        <f t="shared" si="200"/>
        <v>1090</v>
      </c>
      <c r="K1177" s="5">
        <f t="shared" si="201"/>
        <v>0</v>
      </c>
      <c r="L1177">
        <f t="shared" si="202"/>
        <v>85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-138.19283628490521</v>
      </c>
      <c r="F1178" s="1">
        <f t="shared" si="208"/>
        <v>-140.19486909410426</v>
      </c>
      <c r="G1178" s="1">
        <f t="shared" si="205"/>
        <v>1.3005946442437675E-61</v>
      </c>
      <c r="H1178" s="1">
        <f t="shared" si="198"/>
        <v>1.2766283592422535E-62</v>
      </c>
      <c r="I1178">
        <f t="shared" si="199"/>
        <v>60</v>
      </c>
      <c r="J1178">
        <f t="shared" si="200"/>
        <v>1091</v>
      </c>
      <c r="K1178" s="5">
        <f t="shared" si="201"/>
        <v>0</v>
      </c>
      <c r="L1178">
        <f t="shared" si="202"/>
        <v>85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-138.31453321988275</v>
      </c>
      <c r="F1179" s="1">
        <f t="shared" si="208"/>
        <v>-140.3165660290818</v>
      </c>
      <c r="G1179" s="1">
        <f t="shared" si="205"/>
        <v>1.1515681745908177E-61</v>
      </c>
      <c r="H1179" s="1">
        <f t="shared" si="198"/>
        <v>1.130348026412394E-62</v>
      </c>
      <c r="I1179">
        <f t="shared" si="199"/>
        <v>60</v>
      </c>
      <c r="J1179">
        <f t="shared" si="200"/>
        <v>1092</v>
      </c>
      <c r="K1179" s="5">
        <f t="shared" si="201"/>
        <v>0</v>
      </c>
      <c r="L1179">
        <f t="shared" si="202"/>
        <v>85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-138.43623015486028</v>
      </c>
      <c r="F1180" s="1">
        <f t="shared" si="208"/>
        <v>-140.43826296405933</v>
      </c>
      <c r="G1180" s="1">
        <f t="shared" si="205"/>
        <v>1.019617654585604E-61</v>
      </c>
      <c r="H1180" s="1">
        <f t="shared" si="198"/>
        <v>1.0008289817192917E-62</v>
      </c>
      <c r="I1180">
        <f t="shared" si="199"/>
        <v>60</v>
      </c>
      <c r="J1180">
        <f t="shared" si="200"/>
        <v>1093</v>
      </c>
      <c r="K1180" s="5">
        <f t="shared" si="201"/>
        <v>0</v>
      </c>
      <c r="L1180">
        <f t="shared" si="202"/>
        <v>85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-138.55792708983782</v>
      </c>
      <c r="F1181" s="1">
        <f t="shared" si="208"/>
        <v>-140.55995989903687</v>
      </c>
      <c r="G1181" s="1">
        <f t="shared" si="205"/>
        <v>9.0278646499765602E-62</v>
      </c>
      <c r="H1181" s="1">
        <f t="shared" si="198"/>
        <v>8.8615066089727563E-63</v>
      </c>
      <c r="I1181">
        <f t="shared" si="199"/>
        <v>60</v>
      </c>
      <c r="J1181">
        <f t="shared" si="200"/>
        <v>1094</v>
      </c>
      <c r="K1181" s="5">
        <f t="shared" si="201"/>
        <v>0</v>
      </c>
      <c r="L1181">
        <f t="shared" si="202"/>
        <v>85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-138.67962402481535</v>
      </c>
      <c r="F1182" s="1">
        <f t="shared" si="208"/>
        <v>-140.6816568340144</v>
      </c>
      <c r="G1182" s="1">
        <f t="shared" si="205"/>
        <v>7.993421825499954E-62</v>
      </c>
      <c r="H1182" s="1">
        <f t="shared" si="198"/>
        <v>7.8461256433611718E-63</v>
      </c>
      <c r="I1182">
        <f t="shared" si="199"/>
        <v>60</v>
      </c>
      <c r="J1182">
        <f t="shared" si="200"/>
        <v>1095</v>
      </c>
      <c r="K1182" s="5">
        <f t="shared" si="201"/>
        <v>0</v>
      </c>
      <c r="L1182">
        <f t="shared" si="202"/>
        <v>85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-138.80132095979289</v>
      </c>
      <c r="F1183" s="1">
        <f t="shared" si="208"/>
        <v>-140.80335376899194</v>
      </c>
      <c r="G1183" s="1">
        <f t="shared" si="205"/>
        <v>7.0775089079946404E-62</v>
      </c>
      <c r="H1183" s="1">
        <f t="shared" si="198"/>
        <v>6.9470904133925953E-63</v>
      </c>
      <c r="I1183">
        <f t="shared" si="199"/>
        <v>60</v>
      </c>
      <c r="J1183">
        <f t="shared" si="200"/>
        <v>1096</v>
      </c>
      <c r="K1183" s="5">
        <f t="shared" si="201"/>
        <v>0</v>
      </c>
      <c r="L1183">
        <f t="shared" si="202"/>
        <v>85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-138.92301789477042</v>
      </c>
      <c r="F1184" s="1">
        <f t="shared" si="208"/>
        <v>-140.92505070396948</v>
      </c>
      <c r="G1184" s="1">
        <f t="shared" si="205"/>
        <v>6.2665443456201566E-62</v>
      </c>
      <c r="H1184" s="1">
        <f t="shared" si="198"/>
        <v>6.1510696368579317E-63</v>
      </c>
      <c r="I1184">
        <f t="shared" si="199"/>
        <v>60</v>
      </c>
      <c r="J1184">
        <f t="shared" si="200"/>
        <v>1097</v>
      </c>
      <c r="K1184" s="5">
        <f t="shared" si="201"/>
        <v>0</v>
      </c>
      <c r="L1184">
        <f t="shared" si="202"/>
        <v>85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-139.04471482974796</v>
      </c>
      <c r="F1185" s="1">
        <f t="shared" si="208"/>
        <v>-141.04674763894701</v>
      </c>
      <c r="G1185" s="1">
        <f t="shared" si="205"/>
        <v>5.5485028060177602E-62</v>
      </c>
      <c r="H1185" s="1">
        <f t="shared" si="198"/>
        <v>5.4462595743012085E-63</v>
      </c>
      <c r="I1185">
        <f t="shared" si="199"/>
        <v>60</v>
      </c>
      <c r="J1185">
        <f t="shared" si="200"/>
        <v>1098</v>
      </c>
      <c r="K1185" s="5">
        <f t="shared" si="201"/>
        <v>0</v>
      </c>
      <c r="L1185">
        <f t="shared" si="202"/>
        <v>85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-139.1664117647255</v>
      </c>
      <c r="F1186" s="1">
        <f t="shared" si="208"/>
        <v>-141.16844457392455</v>
      </c>
      <c r="G1186" s="1">
        <f t="shared" si="205"/>
        <v>4.9127368594948156E-62</v>
      </c>
      <c r="H1186" s="1">
        <f t="shared" si="198"/>
        <v>4.8222089980791198E-63</v>
      </c>
      <c r="I1186">
        <f t="shared" si="199"/>
        <v>60</v>
      </c>
      <c r="J1186">
        <f t="shared" si="200"/>
        <v>1099</v>
      </c>
      <c r="K1186" s="5">
        <f t="shared" si="201"/>
        <v>0</v>
      </c>
      <c r="L1186">
        <f t="shared" si="202"/>
        <v>85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-139.28810869970303</v>
      </c>
      <c r="F1187" s="1">
        <f t="shared" si="208"/>
        <v>-141.29014150890208</v>
      </c>
      <c r="G1187" s="1">
        <f t="shared" si="205"/>
        <v>4.3498190943443E-62</v>
      </c>
      <c r="H1187" s="1">
        <f t="shared" si="198"/>
        <v>4.2696642170491541E-63</v>
      </c>
      <c r="I1187">
        <f t="shared" si="199"/>
        <v>60</v>
      </c>
      <c r="J1187">
        <f t="shared" si="200"/>
        <v>1100</v>
      </c>
      <c r="K1187" s="5">
        <f t="shared" si="201"/>
        <v>0</v>
      </c>
      <c r="L1187">
        <f t="shared" si="202"/>
        <v>85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-139.40980563468057</v>
      </c>
      <c r="F1188" s="1">
        <f t="shared" si="208"/>
        <v>-141.41183844387962</v>
      </c>
      <c r="G1188" s="1">
        <f t="shared" si="205"/>
        <v>3.8514023231172883E-62</v>
      </c>
      <c r="H1188" s="1">
        <f t="shared" si="198"/>
        <v>3.7804318588455456E-63</v>
      </c>
      <c r="I1188">
        <f t="shared" si="199"/>
        <v>60</v>
      </c>
      <c r="J1188">
        <f t="shared" si="200"/>
        <v>1101</v>
      </c>
      <c r="K1188" s="5">
        <f t="shared" si="201"/>
        <v>0</v>
      </c>
      <c r="L1188">
        <f t="shared" si="202"/>
        <v>85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-139.5315025696581</v>
      </c>
      <c r="F1189" s="1">
        <f t="shared" si="208"/>
        <v>-141.53353537885715</v>
      </c>
      <c r="G1189" s="1">
        <f t="shared" si="205"/>
        <v>3.4100958069267123E-62</v>
      </c>
      <c r="H1189" s="1">
        <f t="shared" si="198"/>
        <v>3.347257375019441E-63</v>
      </c>
      <c r="I1189">
        <f t="shared" si="199"/>
        <v>60</v>
      </c>
      <c r="J1189">
        <f t="shared" si="200"/>
        <v>1102</v>
      </c>
      <c r="K1189" s="5">
        <f t="shared" si="201"/>
        <v>0</v>
      </c>
      <c r="L1189">
        <f t="shared" si="202"/>
        <v>85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-139.65319950463564</v>
      </c>
      <c r="F1190" s="1">
        <f t="shared" si="208"/>
        <v>-141.65523231383469</v>
      </c>
      <c r="G1190" s="1">
        <f t="shared" si="205"/>
        <v>3.0193556623829794E-62</v>
      </c>
      <c r="H1190" s="1">
        <f t="shared" si="198"/>
        <v>2.9637174674650839E-63</v>
      </c>
      <c r="I1190">
        <f t="shared" si="199"/>
        <v>60</v>
      </c>
      <c r="J1190">
        <f t="shared" si="200"/>
        <v>1103</v>
      </c>
      <c r="K1190" s="5">
        <f t="shared" si="201"/>
        <v>0</v>
      </c>
      <c r="L1190">
        <f t="shared" si="202"/>
        <v>85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-139.77489643961317</v>
      </c>
      <c r="F1191" s="1">
        <f t="shared" si="208"/>
        <v>-141.77692924881222</v>
      </c>
      <c r="G1191" s="1">
        <f t="shared" si="205"/>
        <v>2.6733878260682215E-62</v>
      </c>
      <c r="H1191" s="1">
        <f t="shared" si="198"/>
        <v>2.6241248409846688E-63</v>
      </c>
      <c r="I1191">
        <f t="shared" si="199"/>
        <v>60</v>
      </c>
      <c r="J1191">
        <f t="shared" si="200"/>
        <v>1104</v>
      </c>
      <c r="K1191" s="5">
        <f t="shared" si="201"/>
        <v>0</v>
      </c>
      <c r="L1191">
        <f t="shared" si="202"/>
        <v>85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-139.89659337459071</v>
      </c>
      <c r="F1192" s="1">
        <f t="shared" si="208"/>
        <v>-141.89862618378976</v>
      </c>
      <c r="G1192" s="1">
        <f t="shared" si="205"/>
        <v>2.367062137664534E-62</v>
      </c>
      <c r="H1192" s="1">
        <f t="shared" si="198"/>
        <v>2.3234438696218056E-63</v>
      </c>
      <c r="I1192">
        <f t="shared" si="199"/>
        <v>60</v>
      </c>
      <c r="J1192">
        <f t="shared" si="200"/>
        <v>1105</v>
      </c>
      <c r="K1192" s="5">
        <f t="shared" si="201"/>
        <v>0</v>
      </c>
      <c r="L1192">
        <f t="shared" si="202"/>
        <v>85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-140.01829030956824</v>
      </c>
      <c r="F1193" s="1">
        <f t="shared" si="208"/>
        <v>-142.02032311876729</v>
      </c>
      <c r="G1193" s="1">
        <f t="shared" si="205"/>
        <v>2.0958362677237731E-62</v>
      </c>
      <c r="H1193" s="1">
        <f t="shared" si="198"/>
        <v>2.057215926227608E-63</v>
      </c>
      <c r="I1193">
        <f t="shared" si="199"/>
        <v>60</v>
      </c>
      <c r="J1193">
        <f t="shared" si="200"/>
        <v>1106</v>
      </c>
      <c r="K1193" s="5">
        <f t="shared" si="201"/>
        <v>0</v>
      </c>
      <c r="L1193">
        <f t="shared" si="202"/>
        <v>85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-140.13998724454578</v>
      </c>
      <c r="F1194" s="1">
        <f t="shared" si="208"/>
        <v>-142.14202005374483</v>
      </c>
      <c r="G1194" s="1">
        <f t="shared" si="205"/>
        <v>1.855688362047062E-62</v>
      </c>
      <c r="H1194" s="1">
        <f t="shared" si="198"/>
        <v>1.8214932680139999E-63</v>
      </c>
      <c r="I1194">
        <f t="shared" si="199"/>
        <v>60</v>
      </c>
      <c r="J1194">
        <f t="shared" si="200"/>
        <v>1107</v>
      </c>
      <c r="K1194" s="5">
        <f t="shared" si="201"/>
        <v>0</v>
      </c>
      <c r="L1194">
        <f t="shared" si="202"/>
        <v>85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-140.26168417952331</v>
      </c>
      <c r="F1195" s="1">
        <f t="shared" si="208"/>
        <v>-142.26371698872236</v>
      </c>
      <c r="G1195" s="1">
        <f t="shared" si="205"/>
        <v>1.6430574038958103E-62</v>
      </c>
      <c r="H1195" s="1">
        <f t="shared" si="198"/>
        <v>1.6127804977207036E-63</v>
      </c>
      <c r="I1195">
        <f t="shared" si="199"/>
        <v>60</v>
      </c>
      <c r="J1195">
        <f t="shared" si="200"/>
        <v>1108</v>
      </c>
      <c r="K1195" s="5">
        <f t="shared" si="201"/>
        <v>0</v>
      </c>
      <c r="L1195">
        <f t="shared" si="202"/>
        <v>85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-140.38338111450085</v>
      </c>
      <c r="F1196" s="1">
        <f t="shared" si="208"/>
        <v>-142.3854139236999</v>
      </c>
      <c r="G1196" s="1">
        <f t="shared" si="205"/>
        <v>1.4547904096993928E-62</v>
      </c>
      <c r="H1196" s="1">
        <f t="shared" si="198"/>
        <v>1.4279827323568507E-63</v>
      </c>
      <c r="I1196">
        <f t="shared" si="199"/>
        <v>60</v>
      </c>
      <c r="J1196">
        <f t="shared" si="200"/>
        <v>1109</v>
      </c>
      <c r="K1196" s="5">
        <f t="shared" si="201"/>
        <v>0</v>
      </c>
      <c r="L1196">
        <f t="shared" si="202"/>
        <v>85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-140.50507804947839</v>
      </c>
      <c r="F1197" s="1">
        <f t="shared" si="208"/>
        <v>-142.50711085867744</v>
      </c>
      <c r="G1197" s="1">
        <f t="shared" si="205"/>
        <v>1.2880956752546505E-62</v>
      </c>
      <c r="H1197" s="1">
        <f t="shared" si="198"/>
        <v>1.2643597109409418E-63</v>
      </c>
      <c r="I1197">
        <f t="shared" si="199"/>
        <v>60</v>
      </c>
      <c r="J1197">
        <f t="shared" si="200"/>
        <v>1110</v>
      </c>
      <c r="K1197" s="5">
        <f t="shared" si="201"/>
        <v>0</v>
      </c>
      <c r="L1197">
        <f t="shared" si="202"/>
        <v>85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-140.62677498445592</v>
      </c>
      <c r="F1198" s="1">
        <f t="shared" si="208"/>
        <v>-142.62880779365497</v>
      </c>
      <c r="G1198" s="1">
        <f t="shared" si="205"/>
        <v>1.1405013791317039E-62</v>
      </c>
      <c r="H1198" s="1">
        <f t="shared" si="198"/>
        <v>1.1194851607289414E-63</v>
      </c>
      <c r="I1198">
        <f t="shared" si="199"/>
        <v>60</v>
      </c>
      <c r="J1198">
        <f t="shared" si="200"/>
        <v>1111</v>
      </c>
      <c r="K1198" s="5">
        <f t="shared" si="201"/>
        <v>0</v>
      </c>
      <c r="L1198">
        <f t="shared" si="202"/>
        <v>85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-140.74847191943346</v>
      </c>
      <c r="F1199" s="1">
        <f t="shared" si="208"/>
        <v>-142.75050472863251</v>
      </c>
      <c r="G1199" s="1">
        <f t="shared" si="205"/>
        <v>1.0098189294395137E-62</v>
      </c>
      <c r="H1199" s="1">
        <f t="shared" si="198"/>
        <v>9.9121081939540126E-64</v>
      </c>
      <c r="I1199">
        <f t="shared" si="199"/>
        <v>60</v>
      </c>
      <c r="J1199">
        <f t="shared" si="200"/>
        <v>1112</v>
      </c>
      <c r="K1199" s="5">
        <f t="shared" si="201"/>
        <v>0</v>
      </c>
      <c r="L1199">
        <f t="shared" si="202"/>
        <v>85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-140.87016885441099</v>
      </c>
      <c r="F1200" s="1">
        <f t="shared" si="208"/>
        <v>-142.87220166361004</v>
      </c>
      <c r="G1200" s="1">
        <f t="shared" si="205"/>
        <v>8.9411051044122211E-63</v>
      </c>
      <c r="H1200" s="1">
        <f t="shared" si="198"/>
        <v>8.7763457967299792E-64</v>
      </c>
      <c r="I1200">
        <f t="shared" si="199"/>
        <v>60</v>
      </c>
      <c r="J1200">
        <f t="shared" si="200"/>
        <v>1113</v>
      </c>
      <c r="K1200" s="5">
        <f t="shared" si="201"/>
        <v>0</v>
      </c>
      <c r="L1200">
        <f t="shared" si="202"/>
        <v>85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-140.99186578938853</v>
      </c>
      <c r="F1201" s="1">
        <f t="shared" si="208"/>
        <v>-142.99389859858758</v>
      </c>
      <c r="G1201" s="1">
        <f t="shared" si="205"/>
        <v>7.9166034778648644E-63</v>
      </c>
      <c r="H1201" s="1">
        <f t="shared" si="198"/>
        <v>7.7707228408545471E-64</v>
      </c>
      <c r="I1201">
        <f t="shared" si="199"/>
        <v>60</v>
      </c>
      <c r="J1201">
        <f t="shared" si="200"/>
        <v>1114</v>
      </c>
      <c r="K1201" s="5">
        <f t="shared" si="201"/>
        <v>0</v>
      </c>
      <c r="L1201">
        <f t="shared" si="202"/>
        <v>85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-141.11356272436606</v>
      </c>
      <c r="F1202" s="1">
        <f t="shared" si="208"/>
        <v>-143.11559553356511</v>
      </c>
      <c r="G1202" s="1">
        <f t="shared" si="205"/>
        <v>7.009492662692739E-63</v>
      </c>
      <c r="H1202" s="1">
        <f t="shared" si="198"/>
        <v>6.8803275153398566E-64</v>
      </c>
      <c r="I1202">
        <f t="shared" si="199"/>
        <v>60</v>
      </c>
      <c r="J1202">
        <f t="shared" si="200"/>
        <v>1115</v>
      </c>
      <c r="K1202" s="5">
        <f t="shared" si="201"/>
        <v>0</v>
      </c>
      <c r="L1202">
        <f t="shared" si="202"/>
        <v>85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-141.2352596593436</v>
      </c>
      <c r="F1203" s="1">
        <f t="shared" si="208"/>
        <v>-143.23729246854265</v>
      </c>
      <c r="G1203" s="1">
        <f t="shared" si="205"/>
        <v>6.206321628425765E-63</v>
      </c>
      <c r="H1203" s="1">
        <f t="shared" si="198"/>
        <v>6.0919566542070695E-64</v>
      </c>
      <c r="I1203">
        <f t="shared" si="199"/>
        <v>60</v>
      </c>
      <c r="J1203">
        <f t="shared" si="200"/>
        <v>1116</v>
      </c>
      <c r="K1203" s="5">
        <f t="shared" si="201"/>
        <v>0</v>
      </c>
      <c r="L1203">
        <f t="shared" si="202"/>
        <v>85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-141.35695659432113</v>
      </c>
      <c r="F1204" s="1">
        <f t="shared" si="208"/>
        <v>-143.35898940352018</v>
      </c>
      <c r="G1204" s="1">
        <f t="shared" si="205"/>
        <v>5.4951806085018934E-63</v>
      </c>
      <c r="H1204" s="1">
        <f t="shared" si="198"/>
        <v>5.3939199542457574E-64</v>
      </c>
      <c r="I1204">
        <f t="shared" si="199"/>
        <v>60</v>
      </c>
      <c r="J1204">
        <f t="shared" si="200"/>
        <v>1117</v>
      </c>
      <c r="K1204" s="5">
        <f t="shared" si="201"/>
        <v>0</v>
      </c>
      <c r="L1204">
        <f t="shared" si="202"/>
        <v>85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-141.47865352929867</v>
      </c>
      <c r="F1205" s="1">
        <f t="shared" si="208"/>
        <v>-143.48068633849772</v>
      </c>
      <c r="G1205" s="1">
        <f t="shared" si="205"/>
        <v>4.8655244971109759E-63</v>
      </c>
      <c r="H1205" s="1">
        <f t="shared" si="198"/>
        <v>4.7758666261550237E-64</v>
      </c>
      <c r="I1205">
        <f t="shared" si="199"/>
        <v>60</v>
      </c>
      <c r="J1205">
        <f t="shared" si="200"/>
        <v>1118</v>
      </c>
      <c r="K1205" s="5">
        <f t="shared" si="201"/>
        <v>0</v>
      </c>
      <c r="L1205">
        <f t="shared" si="202"/>
        <v>85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-141.6003504642762</v>
      </c>
      <c r="F1206" s="1">
        <f t="shared" si="208"/>
        <v>-143.60238327347525</v>
      </c>
      <c r="G1206" s="1">
        <f t="shared" si="205"/>
        <v>4.3080164818169426E-63</v>
      </c>
      <c r="H1206" s="1">
        <f t="shared" si="198"/>
        <v>4.2286319085746947E-64</v>
      </c>
      <c r="I1206">
        <f t="shared" si="199"/>
        <v>60</v>
      </c>
      <c r="J1206">
        <f t="shared" si="200"/>
        <v>1119</v>
      </c>
      <c r="K1206" s="5">
        <f t="shared" si="201"/>
        <v>0</v>
      </c>
      <c r="L1206">
        <f t="shared" si="202"/>
        <v>85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-141.72204739925374</v>
      </c>
      <c r="F1207" s="1">
        <f t="shared" si="208"/>
        <v>-143.72408020845279</v>
      </c>
      <c r="G1207" s="1">
        <f t="shared" si="205"/>
        <v>3.8143895932753582E-63</v>
      </c>
      <c r="H1207" s="1">
        <f t="shared" si="198"/>
        <v>3.7441011690504521E-64</v>
      </c>
      <c r="I1207">
        <f t="shared" si="199"/>
        <v>60</v>
      </c>
      <c r="J1207">
        <f t="shared" si="200"/>
        <v>1120</v>
      </c>
      <c r="K1207" s="5">
        <f t="shared" si="201"/>
        <v>0</v>
      </c>
      <c r="L1207">
        <f t="shared" si="202"/>
        <v>85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-141.84374433423127</v>
      </c>
      <c r="F1208" s="1">
        <f t="shared" si="208"/>
        <v>-143.84577714343033</v>
      </c>
      <c r="G1208" s="1">
        <f t="shared" si="205"/>
        <v>3.3773241190458371E-63</v>
      </c>
      <c r="H1208" s="1">
        <f t="shared" si="198"/>
        <v>3.3150895767633695E-64</v>
      </c>
      <c r="I1208">
        <f t="shared" si="199"/>
        <v>60</v>
      </c>
      <c r="J1208">
        <f t="shared" si="200"/>
        <v>1121</v>
      </c>
      <c r="K1208" s="5">
        <f t="shared" si="201"/>
        <v>0</v>
      </c>
      <c r="L1208">
        <f t="shared" si="202"/>
        <v>85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-141.96544126920881</v>
      </c>
      <c r="F1209" s="1">
        <f t="shared" si="208"/>
        <v>-143.96747407840786</v>
      </c>
      <c r="G1209" s="1">
        <f t="shared" si="205"/>
        <v>2.9903390637384551E-63</v>
      </c>
      <c r="H1209" s="1">
        <f t="shared" si="198"/>
        <v>2.9352355627591875E-64</v>
      </c>
      <c r="I1209">
        <f t="shared" si="199"/>
        <v>60</v>
      </c>
      <c r="J1209">
        <f t="shared" si="200"/>
        <v>1122</v>
      </c>
      <c r="K1209" s="5">
        <f t="shared" si="201"/>
        <v>0</v>
      </c>
      <c r="L1209">
        <f t="shared" si="202"/>
        <v>85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-142.08713820418635</v>
      </c>
      <c r="F1210" s="1">
        <f t="shared" si="208"/>
        <v>-144.0891710133854</v>
      </c>
      <c r="G1210" s="1">
        <f t="shared" si="205"/>
        <v>2.6476960460183821E-63</v>
      </c>
      <c r="H1210" s="1">
        <f t="shared" si="198"/>
        <v>2.5989064878596564E-64</v>
      </c>
      <c r="I1210">
        <f t="shared" si="199"/>
        <v>60</v>
      </c>
      <c r="J1210">
        <f t="shared" si="200"/>
        <v>1123</v>
      </c>
      <c r="K1210" s="5">
        <f t="shared" si="201"/>
        <v>0</v>
      </c>
      <c r="L1210">
        <f t="shared" si="202"/>
        <v>85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-142.20883513916388</v>
      </c>
      <c r="F1211" s="1">
        <f t="shared" si="208"/>
        <v>-144.21086794836293</v>
      </c>
      <c r="G1211" s="1">
        <f t="shared" si="205"/>
        <v>2.3443142074120727E-63</v>
      </c>
      <c r="H1211" s="1">
        <f t="shared" si="198"/>
        <v>2.3011151194590349E-64</v>
      </c>
      <c r="I1211">
        <f t="shared" si="199"/>
        <v>60</v>
      </c>
      <c r="J1211">
        <f t="shared" si="200"/>
        <v>1124</v>
      </c>
      <c r="K1211" s="5">
        <f t="shared" si="201"/>
        <v>0</v>
      </c>
      <c r="L1211">
        <f t="shared" si="202"/>
        <v>85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-142.33053207414142</v>
      </c>
      <c r="F1212" s="1">
        <f t="shared" si="208"/>
        <v>-144.33256488334047</v>
      </c>
      <c r="G1212" s="1">
        <f t="shared" si="205"/>
        <v>2.0756948711460735E-63</v>
      </c>
      <c r="H1212" s="1">
        <f t="shared" si="198"/>
        <v>2.0374456786876552E-64</v>
      </c>
      <c r="I1212">
        <f t="shared" si="199"/>
        <v>60</v>
      </c>
      <c r="J1212">
        <f t="shared" si="200"/>
        <v>1125</v>
      </c>
      <c r="K1212" s="5">
        <f t="shared" si="201"/>
        <v>0</v>
      </c>
      <c r="L1212">
        <f t="shared" si="202"/>
        <v>85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-142.45222900911895</v>
      </c>
      <c r="F1213" s="1">
        <f t="shared" si="208"/>
        <v>-144.454261818318</v>
      </c>
      <c r="G1213" s="1">
        <f t="shared" si="205"/>
        <v>1.837854833827224E-63</v>
      </c>
      <c r="H1213" s="1">
        <f t="shared" si="198"/>
        <v>1.8039883613379998E-64</v>
      </c>
      <c r="I1213">
        <f t="shared" si="199"/>
        <v>60</v>
      </c>
      <c r="J1213">
        <f t="shared" si="200"/>
        <v>1126</v>
      </c>
      <c r="K1213" s="5">
        <f t="shared" si="201"/>
        <v>0</v>
      </c>
      <c r="L1213">
        <f t="shared" si="202"/>
        <v>85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-142.57392594409649</v>
      </c>
      <c r="F1214" s="1">
        <f t="shared" si="208"/>
        <v>-144.57595875329554</v>
      </c>
      <c r="G1214" s="1">
        <f t="shared" si="205"/>
        <v>1.6272673007844956E-63</v>
      </c>
      <c r="H1214" s="1">
        <f t="shared" si="198"/>
        <v>1.597281361601329E-64</v>
      </c>
      <c r="I1214">
        <f t="shared" si="199"/>
        <v>60</v>
      </c>
      <c r="J1214">
        <f t="shared" si="200"/>
        <v>1127</v>
      </c>
      <c r="K1214" s="5">
        <f t="shared" si="201"/>
        <v>0</v>
      </c>
      <c r="L1214">
        <f t="shared" si="202"/>
        <v>85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-142.69562287907402</v>
      </c>
      <c r="F1215" s="1">
        <f t="shared" si="208"/>
        <v>-144.69765568827307</v>
      </c>
      <c r="G1215" s="1">
        <f t="shared" si="205"/>
        <v>1.4408095892362497E-63</v>
      </c>
      <c r="H1215" s="1">
        <f t="shared" si="198"/>
        <v>1.4142595389178214E-64</v>
      </c>
      <c r="I1215">
        <f t="shared" si="199"/>
        <v>60</v>
      </c>
      <c r="J1215">
        <f t="shared" si="200"/>
        <v>1128</v>
      </c>
      <c r="K1215" s="5">
        <f t="shared" si="201"/>
        <v>0</v>
      </c>
      <c r="L1215">
        <f t="shared" si="202"/>
        <v>85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-142.81731981405156</v>
      </c>
      <c r="F1216" s="1">
        <f t="shared" si="208"/>
        <v>-144.81935262325061</v>
      </c>
      <c r="G1216" s="1">
        <f t="shared" si="205"/>
        <v>1.2757168238029094E-63</v>
      </c>
      <c r="H1216" s="1">
        <f t="shared" si="198"/>
        <v>1.2522089667501347E-64</v>
      </c>
      <c r="I1216">
        <f t="shared" si="199"/>
        <v>60</v>
      </c>
      <c r="J1216">
        <f t="shared" si="200"/>
        <v>1129</v>
      </c>
      <c r="K1216" s="5">
        <f t="shared" si="201"/>
        <v>0</v>
      </c>
      <c r="L1216">
        <f t="shared" si="202"/>
        <v>85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-142.93901674902909</v>
      </c>
      <c r="F1217" s="1">
        <f t="shared" si="208"/>
        <v>-144.94104955822814</v>
      </c>
      <c r="G1217" s="1">
        <f t="shared" si="205"/>
        <v>1.1295409377421417E-63</v>
      </c>
      <c r="H1217" s="1">
        <f t="shared" si="198"/>
        <v>1.1087266893099977E-64</v>
      </c>
      <c r="I1217">
        <f t="shared" si="199"/>
        <v>60</v>
      </c>
      <c r="J1217">
        <f t="shared" si="200"/>
        <v>1130</v>
      </c>
      <c r="K1217" s="5">
        <f t="shared" si="201"/>
        <v>0</v>
      </c>
      <c r="L1217">
        <f t="shared" si="202"/>
        <v>85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-143.06071368400663</v>
      </c>
      <c r="F1218" s="1">
        <f t="shared" si="208"/>
        <v>-145.06274649320568</v>
      </c>
      <c r="G1218" s="1">
        <f t="shared" si="205"/>
        <v>1.0001143719591723E-63</v>
      </c>
      <c r="H1218" s="1">
        <f t="shared" si="198"/>
        <v>9.8168508949321186E-65</v>
      </c>
      <c r="I1218">
        <f t="shared" si="199"/>
        <v>60</v>
      </c>
      <c r="J1218">
        <f t="shared" si="200"/>
        <v>1131</v>
      </c>
      <c r="K1218" s="5">
        <f t="shared" si="201"/>
        <v>0</v>
      </c>
      <c r="L1218">
        <f t="shared" si="202"/>
        <v>85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-143.18241061898416</v>
      </c>
      <c r="F1219" s="1">
        <f t="shared" si="208"/>
        <v>-145.18444342818322</v>
      </c>
      <c r="G1219" s="1">
        <f t="shared" si="205"/>
        <v>8.855179335055034E-64</v>
      </c>
      <c r="H1219" s="1">
        <f t="shared" si="198"/>
        <v>8.6920033965543449E-65</v>
      </c>
      <c r="I1219">
        <f t="shared" si="199"/>
        <v>60</v>
      </c>
      <c r="J1219">
        <f t="shared" si="200"/>
        <v>1132</v>
      </c>
      <c r="K1219" s="5">
        <f t="shared" si="201"/>
        <v>0</v>
      </c>
      <c r="L1219">
        <f t="shared" si="202"/>
        <v>85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-143.3041075539617</v>
      </c>
      <c r="F1220" s="1">
        <f t="shared" si="208"/>
        <v>-145.30614036316075</v>
      </c>
      <c r="G1220" s="1">
        <f t="shared" si="205"/>
        <v>7.8405233695798546E-64</v>
      </c>
      <c r="H1220" s="1">
        <f t="shared" si="198"/>
        <v>7.6960446740323709E-65</v>
      </c>
      <c r="I1220">
        <f t="shared" si="199"/>
        <v>60</v>
      </c>
      <c r="J1220">
        <f t="shared" si="200"/>
        <v>1133</v>
      </c>
      <c r="K1220" s="5">
        <f t="shared" si="201"/>
        <v>0</v>
      </c>
      <c r="L1220">
        <f t="shared" si="202"/>
        <v>85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-143.42580448893924</v>
      </c>
      <c r="F1221" s="1">
        <f t="shared" si="208"/>
        <v>-145.42783729813829</v>
      </c>
      <c r="G1221" s="1">
        <f t="shared" si="205"/>
        <v>6.9421300668153883E-64</v>
      </c>
      <c r="H1221" s="1">
        <f t="shared" si="198"/>
        <v>6.8142062217993893E-65</v>
      </c>
      <c r="I1221">
        <f t="shared" si="199"/>
        <v>60</v>
      </c>
      <c r="J1221">
        <f t="shared" si="200"/>
        <v>1134</v>
      </c>
      <c r="K1221" s="5">
        <f t="shared" si="201"/>
        <v>0</v>
      </c>
      <c r="L1221">
        <f t="shared" si="202"/>
        <v>85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-143.54750142391677</v>
      </c>
      <c r="F1222" s="1">
        <f t="shared" si="208"/>
        <v>-145.54953423311582</v>
      </c>
      <c r="G1222" s="1">
        <f t="shared" si="205"/>
        <v>6.1466776633260293E-64</v>
      </c>
      <c r="H1222" s="1">
        <f t="shared" si="198"/>
        <v>6.0334117588847822E-65</v>
      </c>
      <c r="I1222">
        <f t="shared" si="199"/>
        <v>60</v>
      </c>
      <c r="J1222">
        <f t="shared" si="200"/>
        <v>1135</v>
      </c>
      <c r="K1222" s="5">
        <f t="shared" si="201"/>
        <v>0</v>
      </c>
      <c r="L1222">
        <f t="shared" si="202"/>
        <v>85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-143.66919835889431</v>
      </c>
      <c r="F1223" s="1">
        <f t="shared" si="208"/>
        <v>-145.67123116809336</v>
      </c>
      <c r="G1223" s="1">
        <f t="shared" si="205"/>
        <v>5.4423708477365031E-64</v>
      </c>
      <c r="H1223" s="1">
        <f t="shared" si="198"/>
        <v>5.3420833281791507E-65</v>
      </c>
      <c r="I1223">
        <f t="shared" si="199"/>
        <v>60</v>
      </c>
      <c r="J1223">
        <f t="shared" si="200"/>
        <v>1136</v>
      </c>
      <c r="K1223" s="5">
        <f t="shared" si="201"/>
        <v>0</v>
      </c>
      <c r="L1223">
        <f t="shared" si="202"/>
        <v>85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-143.79089529387184</v>
      </c>
      <c r="F1224" s="1">
        <f t="shared" si="208"/>
        <v>-145.79292810307089</v>
      </c>
      <c r="G1224" s="1">
        <f t="shared" si="205"/>
        <v>4.8187658547666196E-64</v>
      </c>
      <c r="H1224" s="1">
        <f t="shared" si="198"/>
        <v>4.729969613491882E-65</v>
      </c>
      <c r="I1224">
        <f t="shared" si="199"/>
        <v>60</v>
      </c>
      <c r="J1224">
        <f t="shared" si="200"/>
        <v>1137</v>
      </c>
      <c r="K1224" s="5">
        <f t="shared" si="201"/>
        <v>0</v>
      </c>
      <c r="L1224">
        <f t="shared" si="202"/>
        <v>85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-143.91259222884938</v>
      </c>
      <c r="F1225" s="1">
        <f t="shared" si="208"/>
        <v>-145.91462503804843</v>
      </c>
      <c r="G1225" s="1">
        <f t="shared" si="205"/>
        <v>4.2666156005745448E-64</v>
      </c>
      <c r="H1225" s="1">
        <f t="shared" si="198"/>
        <v>4.1879939286125386E-65</v>
      </c>
      <c r="I1225">
        <f t="shared" si="199"/>
        <v>60</v>
      </c>
      <c r="J1225">
        <f t="shared" si="200"/>
        <v>1138</v>
      </c>
      <c r="K1225" s="5">
        <f t="shared" si="201"/>
        <v>0</v>
      </c>
      <c r="L1225">
        <f t="shared" si="202"/>
        <v>85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-144.03428916382691</v>
      </c>
      <c r="F1226" s="1">
        <f t="shared" si="208"/>
        <v>-146.03632197302596</v>
      </c>
      <c r="G1226" s="1">
        <f t="shared" si="205"/>
        <v>3.7777325630086526E-64</v>
      </c>
      <c r="H1226" s="1">
        <f t="shared" si="198"/>
        <v>3.7081196242922942E-65</v>
      </c>
      <c r="I1226">
        <f t="shared" si="199"/>
        <v>60</v>
      </c>
      <c r="J1226">
        <f t="shared" si="200"/>
        <v>1139</v>
      </c>
      <c r="K1226" s="5">
        <f t="shared" si="201"/>
        <v>0</v>
      </c>
      <c r="L1226">
        <f t="shared" si="202"/>
        <v>85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-144.15598609880445</v>
      </c>
      <c r="F1227" s="1">
        <f t="shared" si="208"/>
        <v>-146.1580189080035</v>
      </c>
      <c r="G1227" s="1">
        <f t="shared" si="205"/>
        <v>3.344867373497192E-64</v>
      </c>
      <c r="H1227" s="1">
        <f t="shared" si="198"/>
        <v>3.2832309173420839E-65</v>
      </c>
      <c r="I1227">
        <f t="shared" si="199"/>
        <v>60</v>
      </c>
      <c r="J1227">
        <f t="shared" si="200"/>
        <v>1140</v>
      </c>
      <c r="K1227" s="5">
        <f t="shared" si="201"/>
        <v>0</v>
      </c>
      <c r="L1227">
        <f t="shared" si="202"/>
        <v>85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-144.27768303378198</v>
      </c>
      <c r="F1228" s="1">
        <f t="shared" si="208"/>
        <v>-146.27971584298103</v>
      </c>
      <c r="G1228" s="1">
        <f t="shared" si="205"/>
        <v>2.9616013202839258E-64</v>
      </c>
      <c r="H1228" s="1">
        <f t="shared" si="198"/>
        <v>2.9070273747299244E-65</v>
      </c>
      <c r="I1228">
        <f t="shared" si="199"/>
        <v>60</v>
      </c>
      <c r="J1228">
        <f t="shared" si="200"/>
        <v>1141</v>
      </c>
      <c r="K1228" s="5">
        <f t="shared" si="201"/>
        <v>0</v>
      </c>
      <c r="L1228">
        <f t="shared" si="202"/>
        <v>85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-144.39937996875952</v>
      </c>
      <c r="F1229" s="1">
        <f t="shared" si="208"/>
        <v>-146.40141277795857</v>
      </c>
      <c r="G1229" s="1">
        <f t="shared" si="205"/>
        <v>2.6222511690013516E-64</v>
      </c>
      <c r="H1229" s="1">
        <f t="shared" si="198"/>
        <v>2.5739304880420803E-65</v>
      </c>
      <c r="I1229">
        <f t="shared" si="199"/>
        <v>60</v>
      </c>
      <c r="J1229">
        <f t="shared" si="200"/>
        <v>1142</v>
      </c>
      <c r="K1229" s="5">
        <f t="shared" si="201"/>
        <v>0</v>
      </c>
      <c r="L1229">
        <f t="shared" si="202"/>
        <v>85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-144.52107690373705</v>
      </c>
      <c r="F1230" s="1">
        <f t="shared" si="208"/>
        <v>-146.5231097129361</v>
      </c>
      <c r="G1230" s="1">
        <f t="shared" si="205"/>
        <v>2.3217848892199102E-64</v>
      </c>
      <c r="H1230" s="1">
        <f t="shared" si="198"/>
        <v>2.2790009529538896E-65</v>
      </c>
      <c r="I1230">
        <f t="shared" si="199"/>
        <v>60</v>
      </c>
      <c r="J1230">
        <f t="shared" si="200"/>
        <v>1143</v>
      </c>
      <c r="K1230" s="5">
        <f t="shared" si="201"/>
        <v>0</v>
      </c>
      <c r="L1230">
        <f t="shared" si="202"/>
        <v>85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-144.64277383871459</v>
      </c>
      <c r="F1231" s="1">
        <f t="shared" si="208"/>
        <v>-146.64480664791364</v>
      </c>
      <c r="G1231" s="1">
        <f t="shared" si="205"/>
        <v>2.0557470373300968E-64</v>
      </c>
      <c r="H1231" s="1">
        <f t="shared" si="198"/>
        <v>2.0178654270945585E-65</v>
      </c>
      <c r="I1231">
        <f t="shared" si="199"/>
        <v>60</v>
      </c>
      <c r="J1231">
        <f t="shared" si="200"/>
        <v>1144</v>
      </c>
      <c r="K1231" s="5">
        <f t="shared" si="201"/>
        <v>0</v>
      </c>
      <c r="L1231">
        <f t="shared" si="202"/>
        <v>85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-144.76447077369212</v>
      </c>
      <c r="F1232" s="1">
        <f t="shared" si="208"/>
        <v>-146.76650358289118</v>
      </c>
      <c r="G1232" s="1">
        <f t="shared" si="205"/>
        <v>1.8201926893026615E-64</v>
      </c>
      <c r="H1232" s="1">
        <f t="shared" si="198"/>
        <v>1.7866516802399456E-65</v>
      </c>
      <c r="I1232">
        <f t="shared" si="199"/>
        <v>60</v>
      </c>
      <c r="J1232">
        <f t="shared" si="200"/>
        <v>1145</v>
      </c>
      <c r="K1232" s="5">
        <f t="shared" si="201"/>
        <v>0</v>
      </c>
      <c r="L1232">
        <f t="shared" si="202"/>
        <v>85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-144.88616770866966</v>
      </c>
      <c r="F1233" s="1">
        <f t="shared" si="208"/>
        <v>-146.88820051786871</v>
      </c>
      <c r="G1233" s="1">
        <f t="shared" si="205"/>
        <v>1.6116289436533731E-64</v>
      </c>
      <c r="H1233" s="1">
        <f t="shared" si="198"/>
        <v>1.5819311752124271E-65</v>
      </c>
      <c r="I1233">
        <f t="shared" si="199"/>
        <v>60</v>
      </c>
      <c r="J1233">
        <f t="shared" si="200"/>
        <v>1146</v>
      </c>
      <c r="K1233" s="5">
        <f t="shared" si="201"/>
        <v>0</v>
      </c>
      <c r="L1233">
        <f t="shared" si="202"/>
        <v>85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-145.0078646436472</v>
      </c>
      <c r="F1234" s="1">
        <f t="shared" si="208"/>
        <v>-147.00989745284625</v>
      </c>
      <c r="G1234" s="1">
        <f t="shared" si="205"/>
        <v>1.4269631271930683E-64</v>
      </c>
      <c r="H1234" s="1">
        <f t="shared" si="198"/>
        <v>1.4006682280526479E-65</v>
      </c>
      <c r="I1234">
        <f t="shared" si="199"/>
        <v>60</v>
      </c>
      <c r="J1234">
        <f t="shared" si="200"/>
        <v>1147</v>
      </c>
      <c r="K1234" s="5">
        <f t="shared" si="201"/>
        <v>0</v>
      </c>
      <c r="L1234">
        <f t="shared" si="202"/>
        <v>85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-145.12956157862473</v>
      </c>
      <c r="F1235" s="1">
        <f t="shared" si="208"/>
        <v>-147.13159438782378</v>
      </c>
      <c r="G1235" s="1">
        <f t="shared" si="205"/>
        <v>1.2634569355355095E-64</v>
      </c>
      <c r="H1235" s="1">
        <f t="shared" si="198"/>
        <v>1.2401749935882625E-65</v>
      </c>
      <c r="I1235">
        <f t="shared" si="199"/>
        <v>60</v>
      </c>
      <c r="J1235">
        <f t="shared" si="200"/>
        <v>1148</v>
      </c>
      <c r="K1235" s="5">
        <f t="shared" si="201"/>
        <v>0</v>
      </c>
      <c r="L1235">
        <f t="shared" si="202"/>
        <v>85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-145.25125851360227</v>
      </c>
      <c r="F1236" s="1">
        <f t="shared" si="208"/>
        <v>-147.25329132280132</v>
      </c>
      <c r="G1236" s="1">
        <f t="shared" si="205"/>
        <v>1.1186858283387149E-64</v>
      </c>
      <c r="H1236" s="1">
        <f t="shared" si="198"/>
        <v>1.0980716089062569E-65</v>
      </c>
      <c r="I1236">
        <f t="shared" si="199"/>
        <v>60</v>
      </c>
      <c r="J1236">
        <f t="shared" si="200"/>
        <v>1149</v>
      </c>
      <c r="K1236" s="5">
        <f t="shared" si="201"/>
        <v>0</v>
      </c>
      <c r="L1236">
        <f t="shared" si="202"/>
        <v>85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-145.3729554485798</v>
      </c>
      <c r="F1237" s="1">
        <f t="shared" si="208"/>
        <v>-147.37498825777885</v>
      </c>
      <c r="G1237" s="1">
        <f t="shared" si="205"/>
        <v>9.9050307717488831E-65</v>
      </c>
      <c r="H1237" s="1">
        <f t="shared" si="198"/>
        <v>9.7225090371906648E-66</v>
      </c>
      <c r="I1237">
        <f t="shared" si="199"/>
        <v>60</v>
      </c>
      <c r="J1237">
        <f t="shared" si="200"/>
        <v>1150</v>
      </c>
      <c r="K1237" s="5">
        <f t="shared" si="201"/>
        <v>0</v>
      </c>
      <c r="L1237">
        <f t="shared" si="202"/>
        <v>85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-145.49465238355734</v>
      </c>
      <c r="F1238" s="1">
        <f t="shared" si="208"/>
        <v>-147.49668519275639</v>
      </c>
      <c r="G1238" s="1">
        <f t="shared" si="205"/>
        <v>8.7700793291525196E-65</v>
      </c>
      <c r="H1238" s="1">
        <f t="shared" si="198"/>
        <v>8.6084715433457669E-66</v>
      </c>
      <c r="I1238">
        <f t="shared" si="199"/>
        <v>60</v>
      </c>
      <c r="J1238">
        <f t="shared" si="200"/>
        <v>1151</v>
      </c>
      <c r="K1238" s="5">
        <f t="shared" si="201"/>
        <v>0</v>
      </c>
      <c r="L1238">
        <f t="shared" si="202"/>
        <v>85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-145.61634931853487</v>
      </c>
      <c r="F1239" s="1">
        <f t="shared" si="208"/>
        <v>-147.61838212773392</v>
      </c>
      <c r="G1239" s="1">
        <f t="shared" si="205"/>
        <v>7.7651744060203389E-65</v>
      </c>
      <c r="H1239" s="1">
        <f t="shared" ref="H1239:H1302" si="209">G1239/$G$21</f>
        <v>7.6220841790039454E-66</v>
      </c>
      <c r="I1239">
        <f t="shared" ref="I1239:I1302" si="210">IF($F$11&lt;=D1239, IF(D1239&lt;=$A$15,D1239-$F$11,$C$11),0)</f>
        <v>60</v>
      </c>
      <c r="J1239">
        <f t="shared" ref="J1239:J1302" si="211">IF(D1239&lt;=$A$15,0,D1239-$A$15)</f>
        <v>1152</v>
      </c>
      <c r="K1239" s="5">
        <f t="shared" ref="K1239:K1302" si="212">IF(D1239&lt;$F$11,H1239,0)</f>
        <v>0</v>
      </c>
      <c r="L1239">
        <f t="shared" ref="L1239:L1302" si="213">IF(D1239&lt;$A$15,$D$11,$D$11*(1-$H$11))</f>
        <v>85</v>
      </c>
      <c r="M1239">
        <f t="shared" ref="M1239:M1302" si="214">IF(D1239&lt;$A$15,0,1)</f>
        <v>1</v>
      </c>
      <c r="N1239">
        <f t="shared" ref="N1239:N1302" si="215">IF(SUM(I1239:J1239)&lt;=($G$11/60*$F$11/($E$11/60)),1,0)</f>
        <v>0</v>
      </c>
    </row>
    <row r="1240" spans="4:14" x14ac:dyDescent="0.2">
      <c r="D1240">
        <f t="shared" si="206"/>
        <v>1217</v>
      </c>
      <c r="E1240" s="1">
        <f t="shared" si="207"/>
        <v>-145.73804625351241</v>
      </c>
      <c r="F1240" s="1">
        <f t="shared" si="208"/>
        <v>-147.74007906271146</v>
      </c>
      <c r="G1240" s="1">
        <f t="shared" ref="G1240:G1303" si="216">EXP(F1240)</f>
        <v>6.8754148386637342E-65</v>
      </c>
      <c r="H1240" s="1">
        <f t="shared" si="209"/>
        <v>6.7487203668263046E-66</v>
      </c>
      <c r="I1240">
        <f t="shared" si="210"/>
        <v>60</v>
      </c>
      <c r="J1240">
        <f t="shared" si="211"/>
        <v>1153</v>
      </c>
      <c r="K1240" s="5">
        <f t="shared" si="212"/>
        <v>0</v>
      </c>
      <c r="L1240">
        <f t="shared" si="213"/>
        <v>85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IF($H$11=1,IF(D1241&lt;=$A$15, E1240+LN($D$11)-LN(60/$E$11)-LN(MIN(D1241,$F$11)), E1240-LN(60/$E$11)-LN(MIN(D1241,$F$11))), IF(D1241&lt;=$A$15, E1240+LN($D$11)-LN(60/$E$11)-LN(MIN(D1241,$F$11)), E1240+LN($D$11)+LN(1-$H$11)-LN(60/$E$11)-LN(MIN(D1241,$F$11))))</f>
        <v>-145.85974318848994</v>
      </c>
      <c r="F1241" s="1">
        <f t="shared" ref="F1241:F1304" si="219">E1241-$E$21</f>
        <v>-147.86177599768899</v>
      </c>
      <c r="G1241" s="1">
        <f t="shared" si="216"/>
        <v>6.087606888400086E-65</v>
      </c>
      <c r="H1241" s="1">
        <f t="shared" si="209"/>
        <v>5.9754294914606968E-66</v>
      </c>
      <c r="I1241">
        <f t="shared" si="210"/>
        <v>60</v>
      </c>
      <c r="J1241">
        <f t="shared" si="211"/>
        <v>1154</v>
      </c>
      <c r="K1241" s="5">
        <f t="shared" si="212"/>
        <v>0</v>
      </c>
      <c r="L1241">
        <f t="shared" si="213"/>
        <v>85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-145.98144012346748</v>
      </c>
      <c r="F1242" s="1">
        <f t="shared" si="219"/>
        <v>-147.98347293266653</v>
      </c>
      <c r="G1242" s="1">
        <f t="shared" si="216"/>
        <v>5.3900685991041585E-65</v>
      </c>
      <c r="H1242" s="1">
        <f t="shared" si="209"/>
        <v>5.2907448622307425E-66</v>
      </c>
      <c r="I1242">
        <f t="shared" si="210"/>
        <v>60</v>
      </c>
      <c r="J1242">
        <f t="shared" si="211"/>
        <v>1155</v>
      </c>
      <c r="K1242" s="5">
        <f t="shared" si="212"/>
        <v>0</v>
      </c>
      <c r="L1242">
        <f t="shared" si="213"/>
        <v>85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-146.10313705844501</v>
      </c>
      <c r="F1243" s="1">
        <f t="shared" si="219"/>
        <v>-148.10516986764407</v>
      </c>
      <c r="G1243" s="1">
        <f t="shared" si="216"/>
        <v>4.7724565721233993E-65</v>
      </c>
      <c r="H1243" s="1">
        <f t="shared" si="209"/>
        <v>4.6845136801000637E-66</v>
      </c>
      <c r="I1243">
        <f t="shared" si="210"/>
        <v>60</v>
      </c>
      <c r="J1243">
        <f t="shared" si="211"/>
        <v>1156</v>
      </c>
      <c r="K1243" s="5">
        <f t="shared" si="212"/>
        <v>0</v>
      </c>
      <c r="L1243">
        <f t="shared" si="213"/>
        <v>85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-146.22483399342255</v>
      </c>
      <c r="F1244" s="1">
        <f t="shared" si="219"/>
        <v>-148.2268668026216</v>
      </c>
      <c r="G1244" s="1">
        <f t="shared" si="216"/>
        <v>4.2256125899008605E-65</v>
      </c>
      <c r="H1244" s="1">
        <f t="shared" si="209"/>
        <v>4.1477464875885334E-66</v>
      </c>
      <c r="I1244">
        <f t="shared" si="210"/>
        <v>60</v>
      </c>
      <c r="J1244">
        <f t="shared" si="211"/>
        <v>1157</v>
      </c>
      <c r="K1244" s="5">
        <f t="shared" si="212"/>
        <v>0</v>
      </c>
      <c r="L1244">
        <f t="shared" si="213"/>
        <v>85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-146.34653092840009</v>
      </c>
      <c r="F1245" s="1">
        <f t="shared" si="219"/>
        <v>-148.34856373759914</v>
      </c>
      <c r="G1245" s="1">
        <f t="shared" si="216"/>
        <v>3.7414278139746615E-65</v>
      </c>
      <c r="H1245" s="1">
        <f t="shared" si="209"/>
        <v>3.6724838692189561E-66</v>
      </c>
      <c r="I1245">
        <f t="shared" si="210"/>
        <v>60</v>
      </c>
      <c r="J1245">
        <f t="shared" si="211"/>
        <v>1158</v>
      </c>
      <c r="K1245" s="5">
        <f t="shared" si="212"/>
        <v>0</v>
      </c>
      <c r="L1245">
        <f t="shared" si="213"/>
        <v>85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-146.46822786337762</v>
      </c>
      <c r="F1246" s="1">
        <f t="shared" si="219"/>
        <v>-148.47026067257667</v>
      </c>
      <c r="G1246" s="1">
        <f t="shared" si="216"/>
        <v>3.3127225436233463E-65</v>
      </c>
      <c r="H1246" s="1">
        <f t="shared" si="209"/>
        <v>3.2516784258708998E-66</v>
      </c>
      <c r="I1246">
        <f t="shared" si="210"/>
        <v>60</v>
      </c>
      <c r="J1246">
        <f t="shared" si="211"/>
        <v>1159</v>
      </c>
      <c r="K1246" s="5">
        <f t="shared" si="212"/>
        <v>0</v>
      </c>
      <c r="L1246">
        <f t="shared" si="213"/>
        <v>85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-146.58992479835516</v>
      </c>
      <c r="F1247" s="1">
        <f t="shared" si="219"/>
        <v>-148.59195760755421</v>
      </c>
      <c r="G1247" s="1">
        <f t="shared" si="216"/>
        <v>2.9331397521664585E-65</v>
      </c>
      <c r="H1247" s="1">
        <f t="shared" si="209"/>
        <v>2.8790902729064809E-66</v>
      </c>
      <c r="I1247">
        <f t="shared" si="210"/>
        <v>60</v>
      </c>
      <c r="J1247">
        <f t="shared" si="211"/>
        <v>1160</v>
      </c>
      <c r="K1247" s="5">
        <f t="shared" si="212"/>
        <v>0</v>
      </c>
      <c r="L1247">
        <f t="shared" si="213"/>
        <v>85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-146.71162173333269</v>
      </c>
      <c r="F1248" s="1">
        <f t="shared" si="219"/>
        <v>-148.71365454253174</v>
      </c>
      <c r="G1248" s="1">
        <f t="shared" si="216"/>
        <v>2.5970508222306781E-65</v>
      </c>
      <c r="H1248" s="1">
        <f t="shared" si="209"/>
        <v>2.54919451246924E-66</v>
      </c>
      <c r="I1248">
        <f t="shared" si="210"/>
        <v>60</v>
      </c>
      <c r="J1248">
        <f t="shared" si="211"/>
        <v>1161</v>
      </c>
      <c r="K1248" s="5">
        <f t="shared" si="212"/>
        <v>0</v>
      </c>
      <c r="L1248">
        <f t="shared" si="213"/>
        <v>85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-146.83331866831023</v>
      </c>
      <c r="F1249" s="1">
        <f t="shared" si="219"/>
        <v>-148.83535147750928</v>
      </c>
      <c r="G1249" s="1">
        <f t="shared" si="216"/>
        <v>2.299472082183377E-65</v>
      </c>
      <c r="H1249" s="1">
        <f t="shared" si="209"/>
        <v>2.2570993079154378E-66</v>
      </c>
      <c r="I1249">
        <f t="shared" si="210"/>
        <v>60</v>
      </c>
      <c r="J1249">
        <f t="shared" si="211"/>
        <v>1162</v>
      </c>
      <c r="K1249" s="5">
        <f t="shared" si="212"/>
        <v>0</v>
      </c>
      <c r="L1249">
        <f t="shared" si="213"/>
        <v>85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-146.95501560328776</v>
      </c>
      <c r="F1250" s="1">
        <f t="shared" si="219"/>
        <v>-148.95704841248681</v>
      </c>
      <c r="G1250" s="1">
        <f t="shared" si="216"/>
        <v>2.035990906099833E-65</v>
      </c>
      <c r="H1250" s="1">
        <f t="shared" si="209"/>
        <v>1.9984733455500958E-66</v>
      </c>
      <c r="I1250">
        <f t="shared" si="210"/>
        <v>60</v>
      </c>
      <c r="J1250">
        <f t="shared" si="211"/>
        <v>1163</v>
      </c>
      <c r="K1250" s="5">
        <f t="shared" si="212"/>
        <v>0</v>
      </c>
      <c r="L1250">
        <f t="shared" si="213"/>
        <v>85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-147.0767125382653</v>
      </c>
      <c r="F1251" s="1">
        <f t="shared" si="219"/>
        <v>-149.07874534746435</v>
      </c>
      <c r="G1251" s="1">
        <f t="shared" si="216"/>
        <v>1.8027002814425324E-65</v>
      </c>
      <c r="H1251" s="1">
        <f t="shared" si="209"/>
        <v>1.7694816080391199E-66</v>
      </c>
      <c r="I1251">
        <f t="shared" si="210"/>
        <v>60</v>
      </c>
      <c r="J1251">
        <f t="shared" si="211"/>
        <v>1164</v>
      </c>
      <c r="K1251" s="5">
        <f t="shared" si="212"/>
        <v>0</v>
      </c>
      <c r="L1251">
        <f t="shared" si="213"/>
        <v>85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-147.19840947324283</v>
      </c>
      <c r="F1252" s="1">
        <f t="shared" si="219"/>
        <v>-149.20044228244188</v>
      </c>
      <c r="G1252" s="1">
        <f t="shared" si="216"/>
        <v>1.5961408741938839E-65</v>
      </c>
      <c r="H1252" s="1">
        <f t="shared" si="209"/>
        <v>1.566728507117946E-66</v>
      </c>
      <c r="I1252">
        <f t="shared" si="210"/>
        <v>60</v>
      </c>
      <c r="J1252">
        <f t="shared" si="211"/>
        <v>1165</v>
      </c>
      <c r="K1252" s="5">
        <f t="shared" si="212"/>
        <v>0</v>
      </c>
      <c r="L1252">
        <f t="shared" si="213"/>
        <v>85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-147.32010640822037</v>
      </c>
      <c r="F1253" s="1">
        <f t="shared" si="219"/>
        <v>-149.32213921741942</v>
      </c>
      <c r="G1253" s="1">
        <f t="shared" si="216"/>
        <v>1.4132497323591459E-65</v>
      </c>
      <c r="H1253" s="1">
        <f t="shared" si="209"/>
        <v>1.3872075323439931E-66</v>
      </c>
      <c r="I1253">
        <f t="shared" si="210"/>
        <v>60</v>
      </c>
      <c r="J1253">
        <f t="shared" si="211"/>
        <v>1166</v>
      </c>
      <c r="K1253" s="5">
        <f t="shared" si="212"/>
        <v>0</v>
      </c>
      <c r="L1253">
        <f t="shared" si="213"/>
        <v>85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-147.4418033431979</v>
      </c>
      <c r="F1254" s="1">
        <f t="shared" si="219"/>
        <v>-149.44383615239695</v>
      </c>
      <c r="G1254" s="1">
        <f t="shared" si="216"/>
        <v>1.2513148671929742E-65</v>
      </c>
      <c r="H1254" s="1">
        <f t="shared" si="209"/>
        <v>1.2282566692628912E-66</v>
      </c>
      <c r="I1254">
        <f t="shared" si="210"/>
        <v>60</v>
      </c>
      <c r="J1254">
        <f t="shared" si="211"/>
        <v>1167</v>
      </c>
      <c r="K1254" s="5">
        <f t="shared" si="212"/>
        <v>0</v>
      </c>
      <c r="L1254">
        <f t="shared" si="213"/>
        <v>85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-147.56350027817544</v>
      </c>
      <c r="F1255" s="1">
        <f t="shared" si="219"/>
        <v>-149.56553308737449</v>
      </c>
      <c r="G1255" s="1">
        <f t="shared" si="216"/>
        <v>1.1079350386604287E-65</v>
      </c>
      <c r="H1255" s="1">
        <f t="shared" si="209"/>
        <v>1.0875189259098348E-66</v>
      </c>
      <c r="I1255">
        <f t="shared" si="210"/>
        <v>60</v>
      </c>
      <c r="J1255">
        <f t="shared" si="211"/>
        <v>1168</v>
      </c>
      <c r="K1255" s="5">
        <f t="shared" si="212"/>
        <v>0</v>
      </c>
      <c r="L1255">
        <f t="shared" si="213"/>
        <v>85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-147.68519721315297</v>
      </c>
      <c r="F1256" s="1">
        <f t="shared" si="219"/>
        <v>-149.68723002235203</v>
      </c>
      <c r="G1256" s="1">
        <f t="shared" si="216"/>
        <v>9.8098414881390593E-66</v>
      </c>
      <c r="H1256" s="1">
        <f t="shared" si="209"/>
        <v>9.6290738231598446E-67</v>
      </c>
      <c r="I1256">
        <f t="shared" si="210"/>
        <v>60</v>
      </c>
      <c r="J1256">
        <f t="shared" si="211"/>
        <v>1169</v>
      </c>
      <c r="K1256" s="5">
        <f t="shared" si="212"/>
        <v>0</v>
      </c>
      <c r="L1256">
        <f t="shared" si="213"/>
        <v>85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-147.80689414813051</v>
      </c>
      <c r="F1257" s="1">
        <f t="shared" si="219"/>
        <v>-149.80892695732956</v>
      </c>
      <c r="G1257" s="1">
        <f t="shared" si="216"/>
        <v>8.6857971509563222E-66</v>
      </c>
      <c r="H1257" s="1">
        <f t="shared" si="209"/>
        <v>8.5257424475893127E-67</v>
      </c>
      <c r="I1257">
        <f t="shared" si="210"/>
        <v>60</v>
      </c>
      <c r="J1257">
        <f t="shared" si="211"/>
        <v>1170</v>
      </c>
      <c r="K1257" s="5">
        <f t="shared" si="212"/>
        <v>0</v>
      </c>
      <c r="L1257">
        <f t="shared" si="213"/>
        <v>85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-147.92859108310805</v>
      </c>
      <c r="F1258" s="1">
        <f t="shared" si="219"/>
        <v>-149.9306238923071</v>
      </c>
      <c r="G1258" s="1">
        <f t="shared" si="216"/>
        <v>7.6905495607424566E-66</v>
      </c>
      <c r="H1258" s="1">
        <f t="shared" si="209"/>
        <v>7.5488344588029189E-67</v>
      </c>
      <c r="I1258">
        <f t="shared" si="210"/>
        <v>60</v>
      </c>
      <c r="J1258">
        <f t="shared" si="211"/>
        <v>1171</v>
      </c>
      <c r="K1258" s="5">
        <f t="shared" si="212"/>
        <v>0</v>
      </c>
      <c r="L1258">
        <f t="shared" si="213"/>
        <v>85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-148.05028801808558</v>
      </c>
      <c r="F1259" s="1">
        <f t="shared" si="219"/>
        <v>-150.05232082728463</v>
      </c>
      <c r="G1259" s="1">
        <f t="shared" si="216"/>
        <v>6.8093407569072775E-66</v>
      </c>
      <c r="H1259" s="1">
        <f t="shared" si="209"/>
        <v>6.6838638437316465E-67</v>
      </c>
      <c r="I1259">
        <f t="shared" si="210"/>
        <v>60</v>
      </c>
      <c r="J1259">
        <f t="shared" si="211"/>
        <v>1172</v>
      </c>
      <c r="K1259" s="5">
        <f t="shared" si="212"/>
        <v>0</v>
      </c>
      <c r="L1259">
        <f t="shared" si="213"/>
        <v>85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-148.17198495306312</v>
      </c>
      <c r="F1260" s="1">
        <f t="shared" si="219"/>
        <v>-150.17401776226217</v>
      </c>
      <c r="G1260" s="1">
        <f t="shared" si="216"/>
        <v>6.0291037951782235E-66</v>
      </c>
      <c r="H1260" s="1">
        <f t="shared" si="209"/>
        <v>5.9180044449706357E-67</v>
      </c>
      <c r="I1260">
        <f t="shared" si="210"/>
        <v>60</v>
      </c>
      <c r="J1260">
        <f t="shared" si="211"/>
        <v>1173</v>
      </c>
      <c r="K1260" s="5">
        <f t="shared" si="212"/>
        <v>0</v>
      </c>
      <c r="L1260">
        <f t="shared" si="213"/>
        <v>85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-148.29368188804065</v>
      </c>
      <c r="F1261" s="1">
        <f t="shared" si="219"/>
        <v>-150.2957146972397</v>
      </c>
      <c r="G1261" s="1">
        <f t="shared" si="216"/>
        <v>5.3382689853139689E-66</v>
      </c>
      <c r="H1261" s="1">
        <f t="shared" si="209"/>
        <v>5.2398997689843352E-67</v>
      </c>
      <c r="I1261">
        <f t="shared" si="210"/>
        <v>60</v>
      </c>
      <c r="J1261">
        <f t="shared" si="211"/>
        <v>1174</v>
      </c>
      <c r="K1261" s="5">
        <f t="shared" si="212"/>
        <v>0</v>
      </c>
      <c r="L1261">
        <f t="shared" si="213"/>
        <v>85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-148.41537882301819</v>
      </c>
      <c r="F1262" s="1">
        <f t="shared" si="219"/>
        <v>-150.41741163221724</v>
      </c>
      <c r="G1262" s="1">
        <f t="shared" si="216"/>
        <v>4.7265923307466692E-66</v>
      </c>
      <c r="H1262" s="1">
        <f t="shared" si="209"/>
        <v>4.6394945871214743E-67</v>
      </c>
      <c r="I1262">
        <f t="shared" si="210"/>
        <v>60</v>
      </c>
      <c r="J1262">
        <f t="shared" si="211"/>
        <v>1175</v>
      </c>
      <c r="K1262" s="5">
        <f t="shared" si="212"/>
        <v>0</v>
      </c>
      <c r="L1262">
        <f t="shared" si="213"/>
        <v>85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-148.53707575799572</v>
      </c>
      <c r="F1263" s="1">
        <f t="shared" si="219"/>
        <v>-150.53910856719477</v>
      </c>
      <c r="G1263" s="1">
        <f t="shared" si="216"/>
        <v>4.1850036261818816E-66</v>
      </c>
      <c r="H1263" s="1">
        <f t="shared" si="209"/>
        <v>4.1078858323470747E-67</v>
      </c>
      <c r="I1263">
        <f t="shared" si="210"/>
        <v>60</v>
      </c>
      <c r="J1263">
        <f t="shared" si="211"/>
        <v>1176</v>
      </c>
      <c r="K1263" s="5">
        <f t="shared" si="212"/>
        <v>0</v>
      </c>
      <c r="L1263">
        <f t="shared" si="213"/>
        <v>85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-148.65877269297326</v>
      </c>
      <c r="F1264" s="1">
        <f t="shared" si="219"/>
        <v>-150.66080550217231</v>
      </c>
      <c r="G1264" s="1">
        <f t="shared" si="216"/>
        <v>3.7054719606818165E-66</v>
      </c>
      <c r="H1264" s="1">
        <f t="shared" si="209"/>
        <v>3.6371905807239159E-67</v>
      </c>
      <c r="I1264">
        <f t="shared" si="210"/>
        <v>60</v>
      </c>
      <c r="J1264">
        <f t="shared" si="211"/>
        <v>1177</v>
      </c>
      <c r="K1264" s="5">
        <f t="shared" si="212"/>
        <v>0</v>
      </c>
      <c r="L1264">
        <f t="shared" si="213"/>
        <v>85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-148.78046962795079</v>
      </c>
      <c r="F1265" s="1">
        <f t="shared" si="219"/>
        <v>-150.78250243714984</v>
      </c>
      <c r="G1265" s="1">
        <f t="shared" si="216"/>
        <v>3.2808866318536404E-66</v>
      </c>
      <c r="H1265" s="1">
        <f t="shared" si="209"/>
        <v>3.2204291600159166E-67</v>
      </c>
      <c r="I1265">
        <f t="shared" si="210"/>
        <v>60</v>
      </c>
      <c r="J1265">
        <f t="shared" si="211"/>
        <v>1178</v>
      </c>
      <c r="K1265" s="5">
        <f t="shared" si="212"/>
        <v>0</v>
      </c>
      <c r="L1265">
        <f t="shared" si="213"/>
        <v>85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-148.90216656292833</v>
      </c>
      <c r="F1266" s="1">
        <f t="shared" si="219"/>
        <v>-150.90419937212738</v>
      </c>
      <c r="G1266" s="1">
        <f t="shared" si="216"/>
        <v>2.9049517052870316E-66</v>
      </c>
      <c r="H1266" s="1">
        <f t="shared" si="209"/>
        <v>2.851421652097381E-67</v>
      </c>
      <c r="I1266">
        <f t="shared" si="210"/>
        <v>60</v>
      </c>
      <c r="J1266">
        <f t="shared" si="211"/>
        <v>1179</v>
      </c>
      <c r="K1266" s="5">
        <f t="shared" si="212"/>
        <v>0</v>
      </c>
      <c r="L1266">
        <f t="shared" si="213"/>
        <v>85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-149.02386349790586</v>
      </c>
      <c r="F1267" s="1">
        <f t="shared" si="219"/>
        <v>-151.02589630710492</v>
      </c>
      <c r="G1267" s="1">
        <f t="shared" si="216"/>
        <v>2.5720926557228525E-66</v>
      </c>
      <c r="H1267" s="1">
        <f t="shared" si="209"/>
        <v>2.5246962544611836E-67</v>
      </c>
      <c r="I1267">
        <f t="shared" si="210"/>
        <v>60</v>
      </c>
      <c r="J1267">
        <f t="shared" si="211"/>
        <v>1180</v>
      </c>
      <c r="K1267" s="5">
        <f t="shared" si="212"/>
        <v>0</v>
      </c>
      <c r="L1267">
        <f t="shared" si="213"/>
        <v>85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-149.1455604328834</v>
      </c>
      <c r="F1268" s="1">
        <f t="shared" si="219"/>
        <v>-151.14759324208245</v>
      </c>
      <c r="G1268" s="1">
        <f t="shared" si="216"/>
        <v>2.2773737055879069E-66</v>
      </c>
      <c r="H1268" s="1">
        <f t="shared" si="209"/>
        <v>2.2354081419708048E-67</v>
      </c>
      <c r="I1268">
        <f t="shared" si="210"/>
        <v>60</v>
      </c>
      <c r="J1268">
        <f t="shared" si="211"/>
        <v>1181</v>
      </c>
      <c r="K1268" s="5">
        <f t="shared" si="212"/>
        <v>0</v>
      </c>
      <c r="L1268">
        <f t="shared" si="213"/>
        <v>85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-149.26725736786094</v>
      </c>
      <c r="F1269" s="1">
        <f t="shared" si="219"/>
        <v>-151.26929017705999</v>
      </c>
      <c r="G1269" s="1">
        <f t="shared" si="216"/>
        <v>2.0164246351559275E-66</v>
      </c>
      <c r="H1269" s="1">
        <f t="shared" si="209"/>
        <v>1.9792676257032858E-67</v>
      </c>
      <c r="I1269">
        <f t="shared" si="210"/>
        <v>60</v>
      </c>
      <c r="J1269">
        <f t="shared" si="211"/>
        <v>1182</v>
      </c>
      <c r="K1269" s="5">
        <f t="shared" si="212"/>
        <v>0</v>
      </c>
      <c r="L1269">
        <f t="shared" si="213"/>
        <v>85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-149.38895430283847</v>
      </c>
      <c r="F1270" s="1">
        <f t="shared" si="219"/>
        <v>-151.39098711203752</v>
      </c>
      <c r="G1270" s="1">
        <f t="shared" si="216"/>
        <v>1.7853759790442829E-66</v>
      </c>
      <c r="H1270" s="1">
        <f t="shared" si="209"/>
        <v>1.7524765435914234E-67</v>
      </c>
      <c r="I1270">
        <f t="shared" si="210"/>
        <v>60</v>
      </c>
      <c r="J1270">
        <f t="shared" si="211"/>
        <v>1183</v>
      </c>
      <c r="K1270" s="5">
        <f t="shared" si="212"/>
        <v>0</v>
      </c>
      <c r="L1270">
        <f t="shared" si="213"/>
        <v>85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-149.51065123781601</v>
      </c>
      <c r="F1271" s="1">
        <f t="shared" si="219"/>
        <v>-151.51268404701506</v>
      </c>
      <c r="G1271" s="1">
        <f t="shared" si="216"/>
        <v>1.5808016481121009E-66</v>
      </c>
      <c r="H1271" s="1">
        <f t="shared" si="209"/>
        <v>1.5516719396382153E-67</v>
      </c>
      <c r="I1271">
        <f t="shared" si="210"/>
        <v>60</v>
      </c>
      <c r="J1271">
        <f t="shared" si="211"/>
        <v>1184</v>
      </c>
      <c r="K1271" s="5">
        <f t="shared" si="212"/>
        <v>0</v>
      </c>
      <c r="L1271">
        <f t="shared" si="213"/>
        <v>85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-149.63234817279354</v>
      </c>
      <c r="F1272" s="1">
        <f t="shared" si="219"/>
        <v>-151.63438098199259</v>
      </c>
      <c r="G1272" s="1">
        <f t="shared" si="216"/>
        <v>1.3996681259325674E-66</v>
      </c>
      <c r="H1272" s="1">
        <f t="shared" si="209"/>
        <v>1.3738761965546482E-67</v>
      </c>
      <c r="I1272">
        <f t="shared" si="210"/>
        <v>60</v>
      </c>
      <c r="J1272">
        <f t="shared" si="211"/>
        <v>1185</v>
      </c>
      <c r="K1272" s="5">
        <f t="shared" si="212"/>
        <v>0</v>
      </c>
      <c r="L1272">
        <f t="shared" si="213"/>
        <v>85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-149.75404510777108</v>
      </c>
      <c r="F1273" s="1">
        <f t="shared" si="219"/>
        <v>-151.75607791697013</v>
      </c>
      <c r="G1273" s="1">
        <f t="shared" si="216"/>
        <v>1.2392894865027746E-66</v>
      </c>
      <c r="H1273" s="1">
        <f t="shared" si="209"/>
        <v>1.2164528823660758E-67</v>
      </c>
      <c r="I1273">
        <f t="shared" si="210"/>
        <v>60</v>
      </c>
      <c r="J1273">
        <f t="shared" si="211"/>
        <v>1186</v>
      </c>
      <c r="K1273" s="5">
        <f t="shared" si="212"/>
        <v>0</v>
      </c>
      <c r="L1273">
        <f t="shared" si="213"/>
        <v>85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-149.87574204274861</v>
      </c>
      <c r="F1274" s="1">
        <f t="shared" si="219"/>
        <v>-151.87777485194766</v>
      </c>
      <c r="G1274" s="1">
        <f t="shared" si="216"/>
        <v>1.0972875661743146E-66</v>
      </c>
      <c r="H1274" s="1">
        <f t="shared" si="209"/>
        <v>1.0770676562616128E-67</v>
      </c>
      <c r="I1274">
        <f t="shared" si="210"/>
        <v>60</v>
      </c>
      <c r="J1274">
        <f t="shared" si="211"/>
        <v>1187</v>
      </c>
      <c r="K1274" s="5">
        <f t="shared" si="212"/>
        <v>0</v>
      </c>
      <c r="L1274">
        <f t="shared" si="213"/>
        <v>85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-149.99743897772615</v>
      </c>
      <c r="F1275" s="1">
        <f t="shared" si="219"/>
        <v>-151.9994717869252</v>
      </c>
      <c r="G1275" s="1">
        <f t="shared" si="216"/>
        <v>9.7155669921682588E-67</v>
      </c>
      <c r="H1275" s="1">
        <f t="shared" si="209"/>
        <v>9.5365365398162149E-68</v>
      </c>
      <c r="I1275">
        <f t="shared" si="210"/>
        <v>60</v>
      </c>
      <c r="J1275">
        <f t="shared" si="211"/>
        <v>1188</v>
      </c>
      <c r="K1275" s="5">
        <f t="shared" si="212"/>
        <v>0</v>
      </c>
      <c r="L1275">
        <f t="shared" si="213"/>
        <v>85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-150.11913591270368</v>
      </c>
      <c r="F1276" s="1">
        <f t="shared" si="219"/>
        <v>-152.12116872190273</v>
      </c>
      <c r="G1276" s="1">
        <f t="shared" si="216"/>
        <v>8.6023249409821769E-67</v>
      </c>
      <c r="H1276" s="1">
        <f t="shared" si="209"/>
        <v>8.4438083946288069E-68</v>
      </c>
      <c r="I1276">
        <f t="shared" si="210"/>
        <v>60</v>
      </c>
      <c r="J1276">
        <f t="shared" si="211"/>
        <v>1189</v>
      </c>
      <c r="K1276" s="5">
        <f t="shared" si="212"/>
        <v>0</v>
      </c>
      <c r="L1276">
        <f t="shared" si="213"/>
        <v>85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-150.24083284768122</v>
      </c>
      <c r="F1277" s="1">
        <f t="shared" si="219"/>
        <v>-152.24286565688027</v>
      </c>
      <c r="G1277" s="1">
        <f t="shared" si="216"/>
        <v>7.6166418748278512E-67</v>
      </c>
      <c r="H1277" s="1">
        <f t="shared" si="209"/>
        <v>7.47628868274414E-68</v>
      </c>
      <c r="I1277">
        <f t="shared" si="210"/>
        <v>60</v>
      </c>
      <c r="J1277">
        <f t="shared" si="211"/>
        <v>1190</v>
      </c>
      <c r="K1277" s="5">
        <f t="shared" si="212"/>
        <v>0</v>
      </c>
      <c r="L1277">
        <f t="shared" si="213"/>
        <v>85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-150.36252978265875</v>
      </c>
      <c r="F1278" s="1">
        <f t="shared" si="219"/>
        <v>-152.3645625918578</v>
      </c>
      <c r="G1278" s="1">
        <f t="shared" si="216"/>
        <v>6.7439016600037211E-67</v>
      </c>
      <c r="H1278" s="1">
        <f t="shared" si="209"/>
        <v>6.6196306045129375E-68</v>
      </c>
      <c r="I1278">
        <f t="shared" si="210"/>
        <v>60</v>
      </c>
      <c r="J1278">
        <f t="shared" si="211"/>
        <v>1191</v>
      </c>
      <c r="K1278" s="5">
        <f t="shared" si="212"/>
        <v>0</v>
      </c>
      <c r="L1278">
        <f t="shared" si="213"/>
        <v>85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-150.48422671763629</v>
      </c>
      <c r="F1279" s="1">
        <f t="shared" si="219"/>
        <v>-152.48625952683534</v>
      </c>
      <c r="G1279" s="1">
        <f t="shared" si="216"/>
        <v>5.9711629281282004E-67</v>
      </c>
      <c r="H1279" s="1">
        <f t="shared" si="209"/>
        <v>5.8611312644124042E-68</v>
      </c>
      <c r="I1279">
        <f t="shared" si="210"/>
        <v>60</v>
      </c>
      <c r="J1279">
        <f t="shared" si="211"/>
        <v>1192</v>
      </c>
      <c r="K1279" s="5">
        <f t="shared" si="212"/>
        <v>0</v>
      </c>
      <c r="L1279">
        <f t="shared" si="213"/>
        <v>85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-150.60592365261382</v>
      </c>
      <c r="F1280" s="1">
        <f t="shared" si="219"/>
        <v>-152.60795646181288</v>
      </c>
      <c r="G1280" s="1">
        <f t="shared" si="216"/>
        <v>5.286967175946762E-67</v>
      </c>
      <c r="H1280" s="1">
        <f t="shared" si="209"/>
        <v>5.1895433070317358E-68</v>
      </c>
      <c r="I1280">
        <f t="shared" si="210"/>
        <v>60</v>
      </c>
      <c r="J1280">
        <f t="shared" si="211"/>
        <v>1193</v>
      </c>
      <c r="K1280" s="5">
        <f t="shared" si="212"/>
        <v>0</v>
      </c>
      <c r="L1280">
        <f t="shared" si="213"/>
        <v>85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-150.72762058759136</v>
      </c>
      <c r="F1281" s="1">
        <f t="shared" si="219"/>
        <v>-152.72965339679041</v>
      </c>
      <c r="G1281" s="1">
        <f t="shared" si="216"/>
        <v>4.6811688537027888E-67</v>
      </c>
      <c r="H1281" s="1">
        <f t="shared" si="209"/>
        <v>4.5949081364342772E-68</v>
      </c>
      <c r="I1281">
        <f t="shared" si="210"/>
        <v>60</v>
      </c>
      <c r="J1281">
        <f t="shared" si="211"/>
        <v>1194</v>
      </c>
      <c r="K1281" s="5">
        <f t="shared" si="212"/>
        <v>0</v>
      </c>
      <c r="L1281">
        <f t="shared" si="213"/>
        <v>85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-150.8493175225689</v>
      </c>
      <c r="F1282" s="1">
        <f t="shared" si="219"/>
        <v>-152.85135033176795</v>
      </c>
      <c r="G1282" s="1">
        <f t="shared" si="216"/>
        <v>4.1447849225492798E-67</v>
      </c>
      <c r="H1282" s="1">
        <f t="shared" si="209"/>
        <v>4.0684082458011199E-68</v>
      </c>
      <c r="I1282">
        <f t="shared" si="210"/>
        <v>60</v>
      </c>
      <c r="J1282">
        <f t="shared" si="211"/>
        <v>1195</v>
      </c>
      <c r="K1282" s="5">
        <f t="shared" si="212"/>
        <v>0</v>
      </c>
      <c r="L1282">
        <f t="shared" si="213"/>
        <v>85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-150.97101445754643</v>
      </c>
      <c r="F1283" s="1">
        <f t="shared" si="219"/>
        <v>-152.97304726674548</v>
      </c>
      <c r="G1283" s="1">
        <f t="shared" si="216"/>
        <v>3.669861650173784E-67</v>
      </c>
      <c r="H1283" s="1">
        <f t="shared" si="209"/>
        <v>3.6022364676363515E-68</v>
      </c>
      <c r="I1283">
        <f t="shared" si="210"/>
        <v>60</v>
      </c>
      <c r="J1283">
        <f t="shared" si="211"/>
        <v>1196</v>
      </c>
      <c r="K1283" s="5">
        <f t="shared" si="212"/>
        <v>0</v>
      </c>
      <c r="L1283">
        <f t="shared" si="213"/>
        <v>85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-151.09271139252397</v>
      </c>
      <c r="F1284" s="1">
        <f t="shared" si="219"/>
        <v>-153.09474420172302</v>
      </c>
      <c r="G1284" s="1">
        <f t="shared" si="216"/>
        <v>3.2493566694246533E-67</v>
      </c>
      <c r="H1284" s="1">
        <f t="shared" si="209"/>
        <v>3.1894802057196361E-68</v>
      </c>
      <c r="I1284">
        <f t="shared" si="210"/>
        <v>60</v>
      </c>
      <c r="J1284">
        <f t="shared" si="211"/>
        <v>1197</v>
      </c>
      <c r="K1284" s="5">
        <f t="shared" si="212"/>
        <v>0</v>
      </c>
      <c r="L1284">
        <f t="shared" si="213"/>
        <v>85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-151.2144083275015</v>
      </c>
      <c r="F1285" s="1">
        <f t="shared" si="219"/>
        <v>-153.21644113670055</v>
      </c>
      <c r="G1285" s="1">
        <f t="shared" si="216"/>
        <v>2.8770345510530336E-67</v>
      </c>
      <c r="H1285" s="1">
        <f t="shared" si="209"/>
        <v>2.8240189321475504E-68</v>
      </c>
      <c r="I1285">
        <f t="shared" si="210"/>
        <v>60</v>
      </c>
      <c r="J1285">
        <f t="shared" si="211"/>
        <v>1198</v>
      </c>
      <c r="K1285" s="5">
        <f t="shared" si="212"/>
        <v>0</v>
      </c>
      <c r="L1285">
        <f t="shared" si="213"/>
        <v>85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-151.33610526247904</v>
      </c>
      <c r="F1286" s="1">
        <f t="shared" si="219"/>
        <v>-153.33813807167809</v>
      </c>
      <c r="G1286" s="1">
        <f t="shared" si="216"/>
        <v>2.5473743420781672E-67</v>
      </c>
      <c r="H1286" s="1">
        <f t="shared" si="209"/>
        <v>2.5004334295056046E-68</v>
      </c>
      <c r="I1286">
        <f t="shared" si="210"/>
        <v>60</v>
      </c>
      <c r="J1286">
        <f t="shared" si="211"/>
        <v>1199</v>
      </c>
      <c r="K1286" s="5">
        <f t="shared" si="212"/>
        <v>0</v>
      </c>
      <c r="L1286">
        <f t="shared" si="213"/>
        <v>85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-151.45780219745657</v>
      </c>
      <c r="F1287" s="1">
        <f t="shared" si="219"/>
        <v>-153.45983500665562</v>
      </c>
      <c r="G1287" s="1">
        <f t="shared" si="216"/>
        <v>2.2554876987150085E-67</v>
      </c>
      <c r="H1287" s="1">
        <f t="shared" si="209"/>
        <v>2.2139254323747192E-68</v>
      </c>
      <c r="I1287">
        <f t="shared" si="210"/>
        <v>60</v>
      </c>
      <c r="J1287">
        <f t="shared" si="211"/>
        <v>1200</v>
      </c>
      <c r="K1287" s="5">
        <f t="shared" si="212"/>
        <v>0</v>
      </c>
      <c r="L1287">
        <f t="shared" si="213"/>
        <v>85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-151.57949913243411</v>
      </c>
      <c r="F1288" s="1">
        <f t="shared" si="219"/>
        <v>-153.58153194163316</v>
      </c>
      <c r="G1288" s="1">
        <f t="shared" si="216"/>
        <v>1.9970463999038826E-67</v>
      </c>
      <c r="H1288" s="1">
        <f t="shared" si="209"/>
        <v>1.960246476581752E-68</v>
      </c>
      <c r="I1288">
        <f t="shared" si="210"/>
        <v>60</v>
      </c>
      <c r="J1288">
        <f t="shared" si="211"/>
        <v>1201</v>
      </c>
      <c r="K1288" s="5">
        <f t="shared" si="212"/>
        <v>0</v>
      </c>
      <c r="L1288">
        <f t="shared" si="213"/>
        <v>85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-151.70119606741164</v>
      </c>
      <c r="F1289" s="1">
        <f t="shared" si="219"/>
        <v>-153.70322887661069</v>
      </c>
      <c r="G1289" s="1">
        <f t="shared" si="216"/>
        <v>1.768218166581535E-67</v>
      </c>
      <c r="H1289" s="1">
        <f t="shared" si="209"/>
        <v>1.735634901140066E-68</v>
      </c>
      <c r="I1289">
        <f t="shared" si="210"/>
        <v>60</v>
      </c>
      <c r="J1289">
        <f t="shared" si="211"/>
        <v>1202</v>
      </c>
      <c r="K1289" s="5">
        <f t="shared" si="212"/>
        <v>0</v>
      </c>
      <c r="L1289">
        <f t="shared" si="213"/>
        <v>85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-151.82289300238918</v>
      </c>
      <c r="F1290" s="1">
        <f t="shared" si="219"/>
        <v>-153.82492581158823</v>
      </c>
      <c r="G1290" s="1">
        <f t="shared" si="216"/>
        <v>1.565609834994043E-67</v>
      </c>
      <c r="H1290" s="1">
        <f t="shared" si="209"/>
        <v>1.5367600687177427E-68</v>
      </c>
      <c r="I1290">
        <f t="shared" si="210"/>
        <v>60</v>
      </c>
      <c r="J1290">
        <f t="shared" si="211"/>
        <v>1203</v>
      </c>
      <c r="K1290" s="5">
        <f t="shared" si="212"/>
        <v>0</v>
      </c>
      <c r="L1290">
        <f t="shared" si="213"/>
        <v>85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-151.94458993736671</v>
      </c>
      <c r="F1291" s="1">
        <f t="shared" si="219"/>
        <v>-153.94662274656577</v>
      </c>
      <c r="G1291" s="1">
        <f t="shared" si="216"/>
        <v>1.386217041400954E-67</v>
      </c>
      <c r="H1291" s="1">
        <f t="shared" si="209"/>
        <v>1.3606729775104801E-68</v>
      </c>
      <c r="I1291">
        <f t="shared" si="210"/>
        <v>60</v>
      </c>
      <c r="J1291">
        <f t="shared" si="211"/>
        <v>1204</v>
      </c>
      <c r="K1291" s="5">
        <f t="shared" si="212"/>
        <v>0</v>
      </c>
      <c r="L1291">
        <f t="shared" si="213"/>
        <v>85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-152.06628687234425</v>
      </c>
      <c r="F1292" s="1">
        <f t="shared" si="219"/>
        <v>-154.0683196815433</v>
      </c>
      <c r="G1292" s="1">
        <f t="shared" si="216"/>
        <v>1.2273796720737421E-67</v>
      </c>
      <c r="H1292" s="1">
        <f t="shared" si="209"/>
        <v>1.2047625321707187E-68</v>
      </c>
      <c r="I1292">
        <f t="shared" si="210"/>
        <v>60</v>
      </c>
      <c r="J1292">
        <f t="shared" si="211"/>
        <v>1205</v>
      </c>
      <c r="K1292" s="5">
        <f t="shared" si="212"/>
        <v>0</v>
      </c>
      <c r="L1292">
        <f t="shared" si="213"/>
        <v>85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-152.18798380732179</v>
      </c>
      <c r="F1293" s="1">
        <f t="shared" si="219"/>
        <v>-154.19001661652084</v>
      </c>
      <c r="G1293" s="1">
        <f t="shared" si="216"/>
        <v>1.0867424179819422E-67</v>
      </c>
      <c r="H1293" s="1">
        <f t="shared" si="209"/>
        <v>1.0667168253594739E-68</v>
      </c>
      <c r="I1293">
        <f t="shared" si="210"/>
        <v>60</v>
      </c>
      <c r="J1293">
        <f t="shared" si="211"/>
        <v>1206</v>
      </c>
      <c r="K1293" s="5">
        <f t="shared" si="212"/>
        <v>0</v>
      </c>
      <c r="L1293">
        <f t="shared" si="213"/>
        <v>85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-152.30968074229932</v>
      </c>
      <c r="F1294" s="1">
        <f t="shared" si="219"/>
        <v>-154.31171355149837</v>
      </c>
      <c r="G1294" s="1">
        <f t="shared" si="216"/>
        <v>9.6221984925482952E-68</v>
      </c>
      <c r="H1294" s="1">
        <f t="shared" si="209"/>
        <v>9.4448885578701932E-69</v>
      </c>
      <c r="I1294">
        <f t="shared" si="210"/>
        <v>60</v>
      </c>
      <c r="J1294">
        <f t="shared" si="211"/>
        <v>1207</v>
      </c>
      <c r="K1294" s="5">
        <f t="shared" si="212"/>
        <v>0</v>
      </c>
      <c r="L1294">
        <f t="shared" si="213"/>
        <v>85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-152.43137767727686</v>
      </c>
      <c r="F1295" s="1">
        <f t="shared" si="219"/>
        <v>-154.43341048647591</v>
      </c>
      <c r="G1295" s="1">
        <f t="shared" si="216"/>
        <v>8.5196549152770043E-68</v>
      </c>
      <c r="H1295" s="1">
        <f t="shared" si="209"/>
        <v>8.3626617439474375E-69</v>
      </c>
      <c r="I1295">
        <f t="shared" si="210"/>
        <v>60</v>
      </c>
      <c r="J1295">
        <f t="shared" si="211"/>
        <v>1208</v>
      </c>
      <c r="K1295" s="5">
        <f t="shared" si="212"/>
        <v>0</v>
      </c>
      <c r="L1295">
        <f t="shared" si="213"/>
        <v>85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-152.55307461225439</v>
      </c>
      <c r="F1296" s="1">
        <f t="shared" si="219"/>
        <v>-154.55510742145344</v>
      </c>
      <c r="G1296" s="1">
        <f t="shared" si="216"/>
        <v>7.5434444562347283E-68</v>
      </c>
      <c r="H1296" s="1">
        <f t="shared" si="209"/>
        <v>7.4044400857866759E-69</v>
      </c>
      <c r="I1296">
        <f t="shared" si="210"/>
        <v>60</v>
      </c>
      <c r="J1296">
        <f t="shared" si="211"/>
        <v>1209</v>
      </c>
      <c r="K1296" s="5">
        <f t="shared" si="212"/>
        <v>0</v>
      </c>
      <c r="L1296">
        <f t="shared" si="213"/>
        <v>85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-152.67477154723193</v>
      </c>
      <c r="F1297" s="1">
        <f t="shared" si="219"/>
        <v>-154.67680435643098</v>
      </c>
      <c r="G1297" s="1">
        <f t="shared" si="216"/>
        <v>6.6790914456243948E-68</v>
      </c>
      <c r="H1297" s="1">
        <f t="shared" si="209"/>
        <v>6.5560146592901838E-69</v>
      </c>
      <c r="I1297">
        <f t="shared" si="210"/>
        <v>60</v>
      </c>
      <c r="J1297">
        <f t="shared" si="211"/>
        <v>1210</v>
      </c>
      <c r="K1297" s="5">
        <f t="shared" si="212"/>
        <v>0</v>
      </c>
      <c r="L1297">
        <f t="shared" si="213"/>
        <v>85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-152.79646848220946</v>
      </c>
      <c r="F1298" s="1">
        <f t="shared" si="219"/>
        <v>-154.79850129140851</v>
      </c>
      <c r="G1298" s="1">
        <f t="shared" si="216"/>
        <v>5.9137788841465071E-68</v>
      </c>
      <c r="H1298" s="1">
        <f t="shared" si="209"/>
        <v>5.8048046462464262E-69</v>
      </c>
      <c r="I1298">
        <f t="shared" si="210"/>
        <v>60</v>
      </c>
      <c r="J1298">
        <f t="shared" si="211"/>
        <v>1211</v>
      </c>
      <c r="K1298" s="5">
        <f t="shared" si="212"/>
        <v>0</v>
      </c>
      <c r="L1298">
        <f t="shared" si="213"/>
        <v>85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-152.918165417187</v>
      </c>
      <c r="F1299" s="1">
        <f t="shared" si="219"/>
        <v>-154.92019822638605</v>
      </c>
      <c r="G1299" s="1">
        <f t="shared" si="216"/>
        <v>5.2361583870046386E-68</v>
      </c>
      <c r="H1299" s="1">
        <f t="shared" si="209"/>
        <v>5.1396707805306108E-69</v>
      </c>
      <c r="I1299">
        <f t="shared" si="210"/>
        <v>60</v>
      </c>
      <c r="J1299">
        <f t="shared" si="211"/>
        <v>1212</v>
      </c>
      <c r="K1299" s="5">
        <f t="shared" si="212"/>
        <v>0</v>
      </c>
      <c r="L1299">
        <f t="shared" si="213"/>
        <v>85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-153.03986235216453</v>
      </c>
      <c r="F1300" s="1">
        <f t="shared" si="219"/>
        <v>-155.04189516136358</v>
      </c>
      <c r="G1300" s="1">
        <f t="shared" si="216"/>
        <v>4.6361819051602841E-68</v>
      </c>
      <c r="H1300" s="1">
        <f t="shared" si="209"/>
        <v>4.5507501702614062E-69</v>
      </c>
      <c r="I1300">
        <f t="shared" si="210"/>
        <v>60</v>
      </c>
      <c r="J1300">
        <f t="shared" si="211"/>
        <v>1213</v>
      </c>
      <c r="K1300" s="5">
        <f t="shared" si="212"/>
        <v>0</v>
      </c>
      <c r="L1300">
        <f t="shared" si="213"/>
        <v>85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-153.16155928714207</v>
      </c>
      <c r="F1301" s="1">
        <f t="shared" si="219"/>
        <v>-155.16359209634112</v>
      </c>
      <c r="G1301" s="1">
        <f t="shared" si="216"/>
        <v>4.104952728527271E-68</v>
      </c>
      <c r="H1301" s="1">
        <f t="shared" si="209"/>
        <v>4.0293100465855576E-69</v>
      </c>
      <c r="I1301">
        <f t="shared" si="210"/>
        <v>60</v>
      </c>
      <c r="J1301">
        <f t="shared" si="211"/>
        <v>1214</v>
      </c>
      <c r="K1301" s="5">
        <f t="shared" si="212"/>
        <v>0</v>
      </c>
      <c r="L1301">
        <f t="shared" si="213"/>
        <v>85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-153.2832562221196</v>
      </c>
      <c r="F1302" s="1">
        <f t="shared" si="219"/>
        <v>-155.28528903131865</v>
      </c>
      <c r="G1302" s="1">
        <f t="shared" si="216"/>
        <v>3.6345935617167977E-68</v>
      </c>
      <c r="H1302" s="1">
        <f t="shared" si="209"/>
        <v>3.5676182704142399E-69</v>
      </c>
      <c r="I1302">
        <f t="shared" si="210"/>
        <v>60</v>
      </c>
      <c r="J1302">
        <f t="shared" si="211"/>
        <v>1215</v>
      </c>
      <c r="K1302" s="5">
        <f t="shared" si="212"/>
        <v>0</v>
      </c>
      <c r="L1302">
        <f t="shared" si="213"/>
        <v>85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-153.40495315709714</v>
      </c>
      <c r="F1303" s="1">
        <f t="shared" si="219"/>
        <v>-155.40698596629619</v>
      </c>
      <c r="G1303" s="1">
        <f t="shared" si="216"/>
        <v>3.2181297161033641E-68</v>
      </c>
      <c r="H1303" s="1">
        <f t="shared" ref="H1303:H1366" si="220">G1303/$G$21</f>
        <v>3.1588286769292255E-69</v>
      </c>
      <c r="I1303">
        <f t="shared" ref="I1303:I1366" si="221">IF($F$11&lt;=D1303, IF(D1303&lt;=$A$15,D1303-$F$11,$C$11),0)</f>
        <v>60</v>
      </c>
      <c r="J1303">
        <f t="shared" ref="J1303:J1366" si="222">IF(D1303&lt;=$A$15,0,D1303-$A$15)</f>
        <v>1216</v>
      </c>
      <c r="K1303" s="5">
        <f t="shared" ref="K1303:K1366" si="223">IF(D1303&lt;$F$11,H1303,0)</f>
        <v>0</v>
      </c>
      <c r="L1303">
        <f t="shared" ref="L1303:L1366" si="224">IF(D1303&lt;$A$15,$D$11,$D$11*(1-$H$11))</f>
        <v>85</v>
      </c>
      <c r="M1303">
        <f t="shared" ref="M1303:M1366" si="225">IF(D1303&lt;$A$15,0,1)</f>
        <v>1</v>
      </c>
      <c r="N1303">
        <f t="shared" ref="N1303:N1366" si="226">IF(SUM(I1303:J1303)&lt;=($G$11/60*$F$11/($E$11/60)),1,0)</f>
        <v>0</v>
      </c>
    </row>
    <row r="1304" spans="4:14" x14ac:dyDescent="0.2">
      <c r="D1304">
        <f t="shared" si="217"/>
        <v>1281</v>
      </c>
      <c r="E1304" s="1">
        <f t="shared" si="218"/>
        <v>-153.52665009207468</v>
      </c>
      <c r="F1304" s="1">
        <f t="shared" si="219"/>
        <v>-155.52868290127373</v>
      </c>
      <c r="G1304" s="1">
        <f t="shared" ref="G1304:G1367" si="227">EXP(F1304)</f>
        <v>2.8493856861331425E-68</v>
      </c>
      <c r="H1304" s="1">
        <f t="shared" si="220"/>
        <v>2.7968795576977077E-69</v>
      </c>
      <c r="I1304">
        <f t="shared" si="221"/>
        <v>60</v>
      </c>
      <c r="J1304">
        <f t="shared" si="222"/>
        <v>1217</v>
      </c>
      <c r="K1304" s="5">
        <f t="shared" si="223"/>
        <v>0</v>
      </c>
      <c r="L1304">
        <f t="shared" si="224"/>
        <v>85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IF($H$11=1,IF(D1305&lt;=$A$15, E1304+LN($D$11)-LN(60/$E$11)-LN(MIN(D1305,$F$11)), E1304-LN(60/$E$11)-LN(MIN(D1305,$F$11))), IF(D1305&lt;=$A$15, E1304+LN($D$11)-LN(60/$E$11)-LN(MIN(D1305,$F$11)), E1304+LN($D$11)+LN(1-$H$11)-LN(60/$E$11)-LN(MIN(D1305,$F$11))))</f>
        <v>-153.64834702705221</v>
      </c>
      <c r="F1305" s="1">
        <f t="shared" ref="F1305:F1368" si="230">E1305-$E$21</f>
        <v>-155.65037983625126</v>
      </c>
      <c r="G1305" s="1">
        <f t="shared" si="227"/>
        <v>2.5228935762636804E-68</v>
      </c>
      <c r="H1305" s="1">
        <f t="shared" si="220"/>
        <v>2.4764037750448066E-69</v>
      </c>
      <c r="I1305">
        <f t="shared" si="221"/>
        <v>60</v>
      </c>
      <c r="J1305">
        <f t="shared" si="222"/>
        <v>1218</v>
      </c>
      <c r="K1305" s="5">
        <f t="shared" si="223"/>
        <v>0</v>
      </c>
      <c r="L1305">
        <f t="shared" si="224"/>
        <v>85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-153.77004396202975</v>
      </c>
      <c r="F1306" s="1">
        <f t="shared" si="230"/>
        <v>-155.7720767712288</v>
      </c>
      <c r="G1306" s="1">
        <f t="shared" si="227"/>
        <v>2.2338120206500988E-68</v>
      </c>
      <c r="H1306" s="1">
        <f t="shared" si="220"/>
        <v>2.1926491758208883E-69</v>
      </c>
      <c r="I1306">
        <f t="shared" si="221"/>
        <v>60</v>
      </c>
      <c r="J1306">
        <f t="shared" si="222"/>
        <v>1219</v>
      </c>
      <c r="K1306" s="5">
        <f t="shared" si="223"/>
        <v>0</v>
      </c>
      <c r="L1306">
        <f t="shared" si="224"/>
        <v>85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-153.89174089700728</v>
      </c>
      <c r="F1307" s="1">
        <f t="shared" si="230"/>
        <v>-155.89377370620633</v>
      </c>
      <c r="G1307" s="1">
        <f t="shared" si="227"/>
        <v>1.9778543932839108E-68</v>
      </c>
      <c r="H1307" s="1">
        <f t="shared" si="220"/>
        <v>1.9414081244247145E-69</v>
      </c>
      <c r="I1307">
        <f t="shared" si="221"/>
        <v>60</v>
      </c>
      <c r="J1307">
        <f t="shared" si="222"/>
        <v>1220</v>
      </c>
      <c r="K1307" s="5">
        <f t="shared" si="223"/>
        <v>0</v>
      </c>
      <c r="L1307">
        <f t="shared" si="224"/>
        <v>85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-154.01343783198482</v>
      </c>
      <c r="F1308" s="1">
        <f t="shared" si="230"/>
        <v>-156.01547064118387</v>
      </c>
      <c r="G1308" s="1">
        <f t="shared" si="227"/>
        <v>1.7512252440534353E-68</v>
      </c>
      <c r="H1308" s="1">
        <f t="shared" si="220"/>
        <v>1.7189551101676893E-69</v>
      </c>
      <c r="I1308">
        <f t="shared" si="221"/>
        <v>60</v>
      </c>
      <c r="J1308">
        <f t="shared" si="222"/>
        <v>1221</v>
      </c>
      <c r="K1308" s="5">
        <f t="shared" si="223"/>
        <v>0</v>
      </c>
      <c r="L1308">
        <f t="shared" si="224"/>
        <v>85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-154.13513476696235</v>
      </c>
      <c r="F1309" s="1">
        <f t="shared" si="230"/>
        <v>-156.1371675761614</v>
      </c>
      <c r="G1309" s="1">
        <f t="shared" si="227"/>
        <v>1.5505640181722882E-68</v>
      </c>
      <c r="H1309" s="1">
        <f t="shared" si="220"/>
        <v>1.5219915037942844E-69</v>
      </c>
      <c r="I1309">
        <f t="shared" si="221"/>
        <v>60</v>
      </c>
      <c r="J1309">
        <f t="shared" si="222"/>
        <v>1222</v>
      </c>
      <c r="K1309" s="5">
        <f t="shared" si="223"/>
        <v>0</v>
      </c>
      <c r="L1309">
        <f t="shared" si="224"/>
        <v>85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-154.25683170193989</v>
      </c>
      <c r="F1310" s="1">
        <f t="shared" si="230"/>
        <v>-156.25886451113894</v>
      </c>
      <c r="G1310" s="1">
        <f t="shared" si="227"/>
        <v>1.3728952244233587E-68</v>
      </c>
      <c r="H1310" s="1">
        <f t="shared" si="220"/>
        <v>1.3475966439845014E-69</v>
      </c>
      <c r="I1310">
        <f t="shared" si="221"/>
        <v>60</v>
      </c>
      <c r="J1310">
        <f t="shared" si="222"/>
        <v>1223</v>
      </c>
      <c r="K1310" s="5">
        <f t="shared" si="223"/>
        <v>0</v>
      </c>
      <c r="L1310">
        <f t="shared" si="224"/>
        <v>85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-154.37852863691742</v>
      </c>
      <c r="F1311" s="1">
        <f t="shared" si="230"/>
        <v>-156.38056144611647</v>
      </c>
      <c r="G1311" s="1">
        <f t="shared" si="227"/>
        <v>1.2155843132914966E-68</v>
      </c>
      <c r="H1311" s="1">
        <f t="shared" si="220"/>
        <v>1.1931845285279253E-69</v>
      </c>
      <c r="I1311">
        <f t="shared" si="221"/>
        <v>60</v>
      </c>
      <c r="J1311">
        <f t="shared" si="222"/>
        <v>1224</v>
      </c>
      <c r="K1311" s="5">
        <f t="shared" si="223"/>
        <v>0</v>
      </c>
      <c r="L1311">
        <f t="shared" si="224"/>
        <v>85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-154.50022557189496</v>
      </c>
      <c r="F1312" s="1">
        <f t="shared" si="230"/>
        <v>-156.50225838109401</v>
      </c>
      <c r="G1312" s="1">
        <f t="shared" si="227"/>
        <v>1.076298610726829E-68</v>
      </c>
      <c r="H1312" s="1">
        <f t="shared" si="220"/>
        <v>1.0564654679674173E-69</v>
      </c>
      <c r="I1312">
        <f t="shared" si="221"/>
        <v>60</v>
      </c>
      <c r="J1312">
        <f t="shared" si="222"/>
        <v>1225</v>
      </c>
      <c r="K1312" s="5">
        <f t="shared" si="223"/>
        <v>0</v>
      </c>
      <c r="L1312">
        <f t="shared" si="224"/>
        <v>85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-154.62192250687249</v>
      </c>
      <c r="F1313" s="1">
        <f t="shared" si="230"/>
        <v>-156.62395531607154</v>
      </c>
      <c r="G1313" s="1">
        <f t="shared" si="227"/>
        <v>9.529727282476983E-69</v>
      </c>
      <c r="H1313" s="1">
        <f t="shared" si="220"/>
        <v>9.3541213309613612E-70</v>
      </c>
      <c r="I1313">
        <f t="shared" si="221"/>
        <v>60</v>
      </c>
      <c r="J1313">
        <f t="shared" si="222"/>
        <v>1226</v>
      </c>
      <c r="K1313" s="5">
        <f t="shared" si="223"/>
        <v>0</v>
      </c>
      <c r="L1313">
        <f t="shared" si="224"/>
        <v>85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-154.74361944185003</v>
      </c>
      <c r="F1314" s="1">
        <f t="shared" si="230"/>
        <v>-156.74565225104908</v>
      </c>
      <c r="G1314" s="1">
        <f t="shared" si="227"/>
        <v>8.4377793646930307E-69</v>
      </c>
      <c r="H1314" s="1">
        <f t="shared" si="220"/>
        <v>8.2822949284552438E-70</v>
      </c>
      <c r="I1314">
        <f t="shared" si="221"/>
        <v>60</v>
      </c>
      <c r="J1314">
        <f t="shared" si="222"/>
        <v>1227</v>
      </c>
      <c r="K1314" s="5">
        <f t="shared" si="223"/>
        <v>0</v>
      </c>
      <c r="L1314">
        <f t="shared" si="224"/>
        <v>85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-154.86531637682756</v>
      </c>
      <c r="F1315" s="1">
        <f t="shared" si="230"/>
        <v>-156.86734918602662</v>
      </c>
      <c r="G1315" s="1">
        <f t="shared" si="227"/>
        <v>7.47095047915517E-69</v>
      </c>
      <c r="H1315" s="1">
        <f t="shared" si="220"/>
        <v>7.333281967902965E-70</v>
      </c>
      <c r="I1315">
        <f t="shared" si="221"/>
        <v>60</v>
      </c>
      <c r="J1315">
        <f t="shared" si="222"/>
        <v>1228</v>
      </c>
      <c r="K1315" s="5">
        <f t="shared" si="223"/>
        <v>0</v>
      </c>
      <c r="L1315">
        <f t="shared" si="224"/>
        <v>85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-154.9870133118051</v>
      </c>
      <c r="F1316" s="1">
        <f t="shared" si="230"/>
        <v>-156.98904612100415</v>
      </c>
      <c r="G1316" s="1">
        <f t="shared" si="227"/>
        <v>6.6149040700852041E-69</v>
      </c>
      <c r="H1316" s="1">
        <f t="shared" si="220"/>
        <v>6.4930100757473157E-70</v>
      </c>
      <c r="I1316">
        <f t="shared" si="221"/>
        <v>60</v>
      </c>
      <c r="J1316">
        <f t="shared" si="222"/>
        <v>1229</v>
      </c>
      <c r="K1316" s="5">
        <f t="shared" si="223"/>
        <v>0</v>
      </c>
      <c r="L1316">
        <f t="shared" si="224"/>
        <v>85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-155.10871024678264</v>
      </c>
      <c r="F1317" s="1">
        <f t="shared" si="230"/>
        <v>-157.11074305598169</v>
      </c>
      <c r="G1317" s="1">
        <f t="shared" si="227"/>
        <v>5.8569463120545161E-69</v>
      </c>
      <c r="H1317" s="1">
        <f t="shared" si="220"/>
        <v>5.7490193379011795E-70</v>
      </c>
      <c r="I1317">
        <f t="shared" si="221"/>
        <v>60</v>
      </c>
      <c r="J1317">
        <f t="shared" si="222"/>
        <v>1230</v>
      </c>
      <c r="K1317" s="5">
        <f t="shared" si="223"/>
        <v>0</v>
      </c>
      <c r="L1317">
        <f t="shared" si="224"/>
        <v>85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-155.23040718176017</v>
      </c>
      <c r="F1318" s="1">
        <f t="shared" si="230"/>
        <v>-157.23243999095922</v>
      </c>
      <c r="G1318" s="1">
        <f t="shared" si="227"/>
        <v>5.1858378804648547E-69</v>
      </c>
      <c r="H1318" s="1">
        <f t="shared" si="220"/>
        <v>5.0902775387665889E-70</v>
      </c>
      <c r="I1318">
        <f t="shared" si="221"/>
        <v>60</v>
      </c>
      <c r="J1318">
        <f t="shared" si="222"/>
        <v>1231</v>
      </c>
      <c r="K1318" s="5">
        <f t="shared" si="223"/>
        <v>0</v>
      </c>
      <c r="L1318">
        <f t="shared" si="224"/>
        <v>85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-155.35210411673771</v>
      </c>
      <c r="F1319" s="1">
        <f t="shared" si="230"/>
        <v>-157.35413692593676</v>
      </c>
      <c r="G1319" s="1">
        <f t="shared" si="227"/>
        <v>4.5916272899948517E-69</v>
      </c>
      <c r="H1319" s="1">
        <f t="shared" si="220"/>
        <v>4.5070165707828469E-70</v>
      </c>
      <c r="I1319">
        <f t="shared" si="221"/>
        <v>60</v>
      </c>
      <c r="J1319">
        <f t="shared" si="222"/>
        <v>1232</v>
      </c>
      <c r="K1319" s="5">
        <f t="shared" si="223"/>
        <v>0</v>
      </c>
      <c r="L1319">
        <f t="shared" si="224"/>
        <v>85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-155.47380105171524</v>
      </c>
      <c r="F1320" s="1">
        <f t="shared" si="230"/>
        <v>-157.47583386091429</v>
      </c>
      <c r="G1320" s="1">
        <f t="shared" si="227"/>
        <v>4.0655033296828782E-69</v>
      </c>
      <c r="H1320" s="1">
        <f t="shared" si="220"/>
        <v>3.9905875887139171E-70</v>
      </c>
      <c r="I1320">
        <f t="shared" si="221"/>
        <v>60</v>
      </c>
      <c r="J1320">
        <f t="shared" si="222"/>
        <v>1233</v>
      </c>
      <c r="K1320" s="5">
        <f t="shared" si="223"/>
        <v>0</v>
      </c>
      <c r="L1320">
        <f t="shared" si="224"/>
        <v>85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-155.59549798669278</v>
      </c>
      <c r="F1321" s="1">
        <f t="shared" si="230"/>
        <v>-157.59753079589183</v>
      </c>
      <c r="G1321" s="1">
        <f t="shared" si="227"/>
        <v>3.5996644064899919E-69</v>
      </c>
      <c r="H1321" s="1">
        <f t="shared" si="220"/>
        <v>3.533332760840392E-70</v>
      </c>
      <c r="I1321">
        <f t="shared" si="221"/>
        <v>60</v>
      </c>
      <c r="J1321">
        <f t="shared" si="222"/>
        <v>1234</v>
      </c>
      <c r="K1321" s="5">
        <f t="shared" si="223"/>
        <v>0</v>
      </c>
      <c r="L1321">
        <f t="shared" si="224"/>
        <v>85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-155.71719492167031</v>
      </c>
      <c r="F1322" s="1">
        <f t="shared" si="230"/>
        <v>-157.71922773086936</v>
      </c>
      <c r="G1322" s="1">
        <f t="shared" si="227"/>
        <v>3.1872028599129638E-69</v>
      </c>
      <c r="H1322" s="1">
        <f t="shared" si="220"/>
        <v>3.1284717153273812E-70</v>
      </c>
      <c r="I1322">
        <f t="shared" si="221"/>
        <v>60</v>
      </c>
      <c r="J1322">
        <f t="shared" si="222"/>
        <v>1235</v>
      </c>
      <c r="K1322" s="5">
        <f t="shared" si="223"/>
        <v>0</v>
      </c>
      <c r="L1322">
        <f t="shared" si="224"/>
        <v>85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-155.83889185664785</v>
      </c>
      <c r="F1323" s="1">
        <f t="shared" si="230"/>
        <v>-157.8409246658469</v>
      </c>
      <c r="G1323" s="1">
        <f t="shared" si="227"/>
        <v>2.8220025322145592E-69</v>
      </c>
      <c r="H1323" s="1">
        <f t="shared" si="220"/>
        <v>2.7700009979460757E-70</v>
      </c>
      <c r="I1323">
        <f t="shared" si="221"/>
        <v>60</v>
      </c>
      <c r="J1323">
        <f t="shared" si="222"/>
        <v>1236</v>
      </c>
      <c r="K1323" s="5">
        <f t="shared" si="223"/>
        <v>0</v>
      </c>
      <c r="L1323">
        <f t="shared" si="224"/>
        <v>85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-155.96058879162538</v>
      </c>
      <c r="F1324" s="1">
        <f t="shared" si="230"/>
        <v>-157.96262160082443</v>
      </c>
      <c r="G1324" s="1">
        <f t="shared" si="227"/>
        <v>2.4986480753982689E-69</v>
      </c>
      <c r="H1324" s="1">
        <f t="shared" si="220"/>
        <v>2.4526050502647163E-70</v>
      </c>
      <c r="I1324">
        <f t="shared" si="221"/>
        <v>60</v>
      </c>
      <c r="J1324">
        <f t="shared" si="222"/>
        <v>1237</v>
      </c>
      <c r="K1324" s="5">
        <f t="shared" si="223"/>
        <v>0</v>
      </c>
      <c r="L1324">
        <f t="shared" si="224"/>
        <v>85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-156.08228572660292</v>
      </c>
      <c r="F1325" s="1">
        <f t="shared" si="230"/>
        <v>-158.08431853580197</v>
      </c>
      <c r="G1325" s="1">
        <f t="shared" si="227"/>
        <v>2.2123446500921826E-69</v>
      </c>
      <c r="H1325" s="1">
        <f t="shared" si="220"/>
        <v>2.1715773882551835E-70</v>
      </c>
      <c r="I1325">
        <f t="shared" si="221"/>
        <v>60</v>
      </c>
      <c r="J1325">
        <f t="shared" si="222"/>
        <v>1238</v>
      </c>
      <c r="K1325" s="5">
        <f t="shared" si="223"/>
        <v>0</v>
      </c>
      <c r="L1325">
        <f t="shared" si="224"/>
        <v>85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-156.20398266158045</v>
      </c>
      <c r="F1326" s="1">
        <f t="shared" si="230"/>
        <v>-158.2060154707795</v>
      </c>
      <c r="G1326" s="1">
        <f t="shared" si="227"/>
        <v>1.9588468256024225E-69</v>
      </c>
      <c r="H1326" s="1">
        <f t="shared" si="220"/>
        <v>1.9227508125175803E-70</v>
      </c>
      <c r="I1326">
        <f t="shared" si="221"/>
        <v>60</v>
      </c>
      <c r="J1326">
        <f t="shared" si="222"/>
        <v>1239</v>
      </c>
      <c r="K1326" s="5">
        <f t="shared" si="223"/>
        <v>0</v>
      </c>
      <c r="L1326">
        <f t="shared" si="224"/>
        <v>85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-156.32567959655799</v>
      </c>
      <c r="F1327" s="1">
        <f t="shared" si="230"/>
        <v>-158.32771240575704</v>
      </c>
      <c r="G1327" s="1">
        <f t="shared" si="227"/>
        <v>1.7343956268354512E-69</v>
      </c>
      <c r="H1327" s="1">
        <f t="shared" si="220"/>
        <v>1.7024356152499144E-70</v>
      </c>
      <c r="I1327">
        <f t="shared" si="221"/>
        <v>60</v>
      </c>
      <c r="J1327">
        <f t="shared" si="222"/>
        <v>1240</v>
      </c>
      <c r="K1327" s="5">
        <f t="shared" si="223"/>
        <v>0</v>
      </c>
      <c r="L1327">
        <f t="shared" si="224"/>
        <v>85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-156.44737653153553</v>
      </c>
      <c r="F1328" s="1">
        <f t="shared" si="230"/>
        <v>-158.44940934073458</v>
      </c>
      <c r="G1328" s="1">
        <f t="shared" si="227"/>
        <v>1.535662794593865E-69</v>
      </c>
      <c r="H1328" s="1">
        <f t="shared" si="220"/>
        <v>1.5073648676691714E-70</v>
      </c>
      <c r="I1328">
        <f t="shared" si="221"/>
        <v>60</v>
      </c>
      <c r="J1328">
        <f t="shared" si="222"/>
        <v>1241</v>
      </c>
      <c r="K1328" s="5">
        <f t="shared" si="223"/>
        <v>0</v>
      </c>
      <c r="L1328">
        <f t="shared" si="224"/>
        <v>85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-156.56907346651306</v>
      </c>
      <c r="F1329" s="1">
        <f t="shared" si="230"/>
        <v>-158.57110627571211</v>
      </c>
      <c r="G1329" s="1">
        <f t="shared" si="227"/>
        <v>1.3597014327132968E-69</v>
      </c>
      <c r="H1329" s="1">
        <f t="shared" si="220"/>
        <v>1.3346459765820579E-70</v>
      </c>
      <c r="I1329">
        <f t="shared" si="221"/>
        <v>60</v>
      </c>
      <c r="J1329">
        <f t="shared" si="222"/>
        <v>1242</v>
      </c>
      <c r="K1329" s="5">
        <f t="shared" si="223"/>
        <v>0</v>
      </c>
      <c r="L1329">
        <f t="shared" si="224"/>
        <v>85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-156.6907704014906</v>
      </c>
      <c r="F1330" s="1">
        <f t="shared" si="230"/>
        <v>-158.69280321068965</v>
      </c>
      <c r="G1330" s="1">
        <f t="shared" si="227"/>
        <v>1.2039023102148792E-69</v>
      </c>
      <c r="H1330" s="1">
        <f t="shared" si="220"/>
        <v>1.1817177917653453E-70</v>
      </c>
      <c r="I1330">
        <f t="shared" si="221"/>
        <v>60</v>
      </c>
      <c r="J1330">
        <f t="shared" si="222"/>
        <v>1243</v>
      </c>
      <c r="K1330" s="5">
        <f t="shared" si="223"/>
        <v>0</v>
      </c>
      <c r="L1330">
        <f t="shared" si="224"/>
        <v>85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-156.81246733646813</v>
      </c>
      <c r="F1331" s="1">
        <f t="shared" si="230"/>
        <v>-158.81450014566718</v>
      </c>
      <c r="G1331" s="1">
        <f t="shared" si="227"/>
        <v>1.0659551705027411E-69</v>
      </c>
      <c r="H1331" s="1">
        <f t="shared" si="220"/>
        <v>1.0463126281255498E-70</v>
      </c>
      <c r="I1331">
        <f t="shared" si="221"/>
        <v>60</v>
      </c>
      <c r="J1331">
        <f t="shared" si="222"/>
        <v>1244</v>
      </c>
      <c r="K1331" s="5">
        <f t="shared" si="223"/>
        <v>0</v>
      </c>
      <c r="L1331">
        <f t="shared" si="224"/>
        <v>85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-156.93416427144567</v>
      </c>
      <c r="F1332" s="1">
        <f t="shared" si="230"/>
        <v>-158.93619708064472</v>
      </c>
      <c r="G1332" s="1">
        <f t="shared" si="227"/>
        <v>9.4381447388262054E-70</v>
      </c>
      <c r="H1332" s="1">
        <f t="shared" si="220"/>
        <v>9.2642263948614936E-71</v>
      </c>
      <c r="I1332">
        <f t="shared" si="221"/>
        <v>60</v>
      </c>
      <c r="J1332">
        <f t="shared" si="222"/>
        <v>1245</v>
      </c>
      <c r="K1332" s="5">
        <f t="shared" si="223"/>
        <v>0</v>
      </c>
      <c r="L1332">
        <f t="shared" si="224"/>
        <v>85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-157.0558612064232</v>
      </c>
      <c r="F1333" s="1">
        <f t="shared" si="230"/>
        <v>-159.05789401562225</v>
      </c>
      <c r="G1333" s="1">
        <f t="shared" si="227"/>
        <v>8.3566906541689064E-70</v>
      </c>
      <c r="H1333" s="1">
        <f t="shared" si="220"/>
        <v>8.2027004537834877E-71</v>
      </c>
      <c r="I1333">
        <f t="shared" si="221"/>
        <v>60</v>
      </c>
      <c r="J1333">
        <f t="shared" si="222"/>
        <v>1246</v>
      </c>
      <c r="K1333" s="5">
        <f t="shared" si="223"/>
        <v>0</v>
      </c>
      <c r="L1333">
        <f t="shared" si="224"/>
        <v>85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-157.17755814140074</v>
      </c>
      <c r="F1334" s="1">
        <f t="shared" si="230"/>
        <v>-159.17959095059979</v>
      </c>
      <c r="G1334" s="1">
        <f t="shared" si="227"/>
        <v>7.399153183378603E-70</v>
      </c>
      <c r="H1334" s="1">
        <f t="shared" si="220"/>
        <v>7.2628076934540143E-71</v>
      </c>
      <c r="I1334">
        <f t="shared" si="221"/>
        <v>60</v>
      </c>
      <c r="J1334">
        <f t="shared" si="222"/>
        <v>1247</v>
      </c>
      <c r="K1334" s="5">
        <f t="shared" si="223"/>
        <v>0</v>
      </c>
      <c r="L1334">
        <f t="shared" si="224"/>
        <v>85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-157.29925507637827</v>
      </c>
      <c r="F1335" s="1">
        <f t="shared" si="230"/>
        <v>-159.30128788557732</v>
      </c>
      <c r="G1335" s="1">
        <f t="shared" si="227"/>
        <v>6.5513335477830355E-70</v>
      </c>
      <c r="H1335" s="1">
        <f t="shared" si="220"/>
        <v>6.4306109785789754E-71</v>
      </c>
      <c r="I1335">
        <f t="shared" si="221"/>
        <v>60</v>
      </c>
      <c r="J1335">
        <f t="shared" si="222"/>
        <v>1248</v>
      </c>
      <c r="K1335" s="5">
        <f t="shared" si="223"/>
        <v>0</v>
      </c>
      <c r="L1335">
        <f t="shared" si="224"/>
        <v>85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-157.42095201135581</v>
      </c>
      <c r="F1336" s="1">
        <f t="shared" si="230"/>
        <v>-159.42298482055486</v>
      </c>
      <c r="G1336" s="1">
        <f t="shared" si="227"/>
        <v>5.8006599120994727E-70</v>
      </c>
      <c r="H1336" s="1">
        <f t="shared" si="220"/>
        <v>5.6937701372833789E-71</v>
      </c>
      <c r="I1336">
        <f t="shared" si="221"/>
        <v>60</v>
      </c>
      <c r="J1336">
        <f t="shared" si="222"/>
        <v>1249</v>
      </c>
      <c r="K1336" s="5">
        <f t="shared" si="223"/>
        <v>0</v>
      </c>
      <c r="L1336">
        <f t="shared" si="224"/>
        <v>85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-157.54264894633334</v>
      </c>
      <c r="F1337" s="1">
        <f t="shared" si="230"/>
        <v>-159.54468175553239</v>
      </c>
      <c r="G1337" s="1">
        <f t="shared" si="227"/>
        <v>5.1360009638379939E-70</v>
      </c>
      <c r="H1337" s="1">
        <f t="shared" si="220"/>
        <v>5.041358975719579E-71</v>
      </c>
      <c r="I1337">
        <f t="shared" si="221"/>
        <v>60</v>
      </c>
      <c r="J1337">
        <f t="shared" si="222"/>
        <v>1250</v>
      </c>
      <c r="K1337" s="5">
        <f t="shared" si="223"/>
        <v>0</v>
      </c>
      <c r="L1337">
        <f t="shared" si="224"/>
        <v>85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-157.66434588131088</v>
      </c>
      <c r="F1338" s="1">
        <f t="shared" si="230"/>
        <v>-159.66637869050993</v>
      </c>
      <c r="G1338" s="1">
        <f t="shared" si="227"/>
        <v>4.547500853398153E-70</v>
      </c>
      <c r="H1338" s="1">
        <f t="shared" si="220"/>
        <v>4.4637032597516413E-71</v>
      </c>
      <c r="I1338">
        <f t="shared" si="221"/>
        <v>60</v>
      </c>
      <c r="J1338">
        <f t="shared" si="222"/>
        <v>1251</v>
      </c>
      <c r="K1338" s="5">
        <f t="shared" si="223"/>
        <v>0</v>
      </c>
      <c r="L1338">
        <f t="shared" si="224"/>
        <v>85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-157.78604281628841</v>
      </c>
      <c r="F1339" s="1">
        <f t="shared" si="230"/>
        <v>-159.78807562548747</v>
      </c>
      <c r="G1339" s="1">
        <f t="shared" si="227"/>
        <v>4.0264330472795513E-70</v>
      </c>
      <c r="H1339" s="1">
        <f t="shared" si="220"/>
        <v>3.9522372612383701E-71</v>
      </c>
      <c r="I1339">
        <f t="shared" si="221"/>
        <v>60</v>
      </c>
      <c r="J1339">
        <f t="shared" si="222"/>
        <v>1252</v>
      </c>
      <c r="K1339" s="5">
        <f t="shared" si="223"/>
        <v>0</v>
      </c>
      <c r="L1339">
        <f t="shared" si="224"/>
        <v>85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-157.90773975126595</v>
      </c>
      <c r="F1340" s="1">
        <f t="shared" si="230"/>
        <v>-159.909772560465</v>
      </c>
      <c r="G1340" s="1">
        <f t="shared" si="227"/>
        <v>3.5650709272787136E-70</v>
      </c>
      <c r="H1340" s="1">
        <f t="shared" si="220"/>
        <v>3.4993767417214191E-71</v>
      </c>
      <c r="I1340">
        <f t="shared" si="221"/>
        <v>60</v>
      </c>
      <c r="J1340">
        <f t="shared" si="222"/>
        <v>1253</v>
      </c>
      <c r="K1340" s="5">
        <f t="shared" si="223"/>
        <v>0</v>
      </c>
      <c r="L1340">
        <f t="shared" si="224"/>
        <v>85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-158.02943668624349</v>
      </c>
      <c r="F1341" s="1">
        <f t="shared" si="230"/>
        <v>-160.03146949544254</v>
      </c>
      <c r="G1341" s="1">
        <f t="shared" si="227"/>
        <v>3.1565732168613115E-70</v>
      </c>
      <c r="H1341" s="1">
        <f t="shared" si="220"/>
        <v>3.098406490065791E-71</v>
      </c>
      <c r="I1341">
        <f t="shared" si="221"/>
        <v>60</v>
      </c>
      <c r="J1341">
        <f t="shared" si="222"/>
        <v>1254</v>
      </c>
      <c r="K1341" s="5">
        <f t="shared" si="223"/>
        <v>0</v>
      </c>
      <c r="L1341">
        <f t="shared" si="224"/>
        <v>85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-158.15113362122102</v>
      </c>
      <c r="F1342" s="1">
        <f t="shared" si="230"/>
        <v>-160.15316643042007</v>
      </c>
      <c r="G1342" s="1">
        <f t="shared" si="227"/>
        <v>2.7948825357625759E-70</v>
      </c>
      <c r="H1342" s="1">
        <f t="shared" si="220"/>
        <v>2.7433807464123764E-71</v>
      </c>
      <c r="I1342">
        <f t="shared" si="221"/>
        <v>60</v>
      </c>
      <c r="J1342">
        <f t="shared" si="222"/>
        <v>1255</v>
      </c>
      <c r="K1342" s="5">
        <f t="shared" si="223"/>
        <v>0</v>
      </c>
      <c r="L1342">
        <f t="shared" si="224"/>
        <v>85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-158.27283055619856</v>
      </c>
      <c r="F1343" s="1">
        <f t="shared" si="230"/>
        <v>-160.27486336539761</v>
      </c>
      <c r="G1343" s="1">
        <f t="shared" si="227"/>
        <v>2.4746355785397424E-70</v>
      </c>
      <c r="H1343" s="1">
        <f t="shared" si="220"/>
        <v>2.4290350358859205E-71</v>
      </c>
      <c r="I1343">
        <f t="shared" si="221"/>
        <v>60</v>
      </c>
      <c r="J1343">
        <f t="shared" si="222"/>
        <v>1256</v>
      </c>
      <c r="K1343" s="5">
        <f t="shared" si="223"/>
        <v>0</v>
      </c>
      <c r="L1343">
        <f t="shared" si="224"/>
        <v>85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-158.39452749117609</v>
      </c>
      <c r="F1344" s="1">
        <f t="shared" si="230"/>
        <v>-160.39656030037514</v>
      </c>
      <c r="G1344" s="1">
        <f t="shared" si="227"/>
        <v>2.1910835851653625E-70</v>
      </c>
      <c r="H1344" s="1">
        <f t="shared" si="220"/>
        <v>2.1507081046906253E-71</v>
      </c>
      <c r="I1344">
        <f t="shared" si="221"/>
        <v>60</v>
      </c>
      <c r="J1344">
        <f t="shared" si="222"/>
        <v>1257</v>
      </c>
      <c r="K1344" s="5">
        <f t="shared" si="223"/>
        <v>0</v>
      </c>
      <c r="L1344">
        <f t="shared" si="224"/>
        <v>85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-158.51622442615363</v>
      </c>
      <c r="F1345" s="1">
        <f t="shared" si="230"/>
        <v>-160.51825723535268</v>
      </c>
      <c r="G1345" s="1">
        <f t="shared" si="227"/>
        <v>1.9400219243651342E-70</v>
      </c>
      <c r="H1345" s="1">
        <f t="shared" si="220"/>
        <v>1.9042728010281278E-71</v>
      </c>
      <c r="I1345">
        <f t="shared" si="221"/>
        <v>60</v>
      </c>
      <c r="J1345">
        <f t="shared" si="222"/>
        <v>1258</v>
      </c>
      <c r="K1345" s="5">
        <f t="shared" si="223"/>
        <v>0</v>
      </c>
      <c r="L1345">
        <f t="shared" si="224"/>
        <v>85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-158.63792136113116</v>
      </c>
      <c r="F1346" s="1">
        <f t="shared" si="230"/>
        <v>-160.63995417033021</v>
      </c>
      <c r="G1346" s="1">
        <f t="shared" si="227"/>
        <v>1.7177277455316026E-70</v>
      </c>
      <c r="H1346" s="1">
        <f t="shared" si="220"/>
        <v>1.6860748759102952E-71</v>
      </c>
      <c r="I1346">
        <f t="shared" si="221"/>
        <v>60</v>
      </c>
      <c r="J1346">
        <f t="shared" si="222"/>
        <v>1259</v>
      </c>
      <c r="K1346" s="5">
        <f t="shared" si="223"/>
        <v>0</v>
      </c>
      <c r="L1346">
        <f t="shared" si="224"/>
        <v>85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-158.7596182961087</v>
      </c>
      <c r="F1347" s="1">
        <f t="shared" si="230"/>
        <v>-160.76165110530775</v>
      </c>
      <c r="G1347" s="1">
        <f t="shared" si="227"/>
        <v>1.5209047746894161E-70</v>
      </c>
      <c r="H1347" s="1">
        <f t="shared" si="220"/>
        <v>1.4928787963788839E-71</v>
      </c>
      <c r="I1347">
        <f t="shared" si="221"/>
        <v>60</v>
      </c>
      <c r="J1347">
        <f t="shared" si="222"/>
        <v>1260</v>
      </c>
      <c r="K1347" s="5">
        <f t="shared" si="223"/>
        <v>0</v>
      </c>
      <c r="L1347">
        <f t="shared" si="224"/>
        <v>85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-158.88131523108623</v>
      </c>
      <c r="F1348" s="1">
        <f t="shared" si="230"/>
        <v>-160.88334804028528</v>
      </c>
      <c r="G1348" s="1">
        <f t="shared" si="227"/>
        <v>1.3466344359228994E-70</v>
      </c>
      <c r="H1348" s="1">
        <f t="shared" si="220"/>
        <v>1.3218197676271161E-71</v>
      </c>
      <c r="I1348">
        <f t="shared" si="221"/>
        <v>60</v>
      </c>
      <c r="J1348">
        <f t="shared" si="222"/>
        <v>1261</v>
      </c>
      <c r="K1348" s="5">
        <f t="shared" si="223"/>
        <v>0</v>
      </c>
      <c r="L1348">
        <f t="shared" si="224"/>
        <v>85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-159.00301216606377</v>
      </c>
      <c r="F1349" s="1">
        <f t="shared" si="230"/>
        <v>-161.00504497526282</v>
      </c>
      <c r="G1349" s="1">
        <f t="shared" si="227"/>
        <v>1.1923325734733819E-70</v>
      </c>
      <c r="H1349" s="1">
        <f t="shared" si="220"/>
        <v>1.1703612525864908E-71</v>
      </c>
      <c r="I1349">
        <f t="shared" si="221"/>
        <v>60</v>
      </c>
      <c r="J1349">
        <f t="shared" si="222"/>
        <v>1262</v>
      </c>
      <c r="K1349" s="5">
        <f t="shared" si="223"/>
        <v>0</v>
      </c>
      <c r="L1349">
        <f t="shared" si="224"/>
        <v>85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-159.1247091010413</v>
      </c>
      <c r="F1350" s="1">
        <f t="shared" si="230"/>
        <v>-161.12674191024036</v>
      </c>
      <c r="G1350" s="1">
        <f t="shared" si="227"/>
        <v>1.0557111327628736E-70</v>
      </c>
      <c r="H1350" s="1">
        <f t="shared" si="220"/>
        <v>1.0362573590609391E-71</v>
      </c>
      <c r="I1350">
        <f t="shared" si="221"/>
        <v>60</v>
      </c>
      <c r="J1350">
        <f t="shared" si="222"/>
        <v>1263</v>
      </c>
      <c r="K1350" s="5">
        <f t="shared" si="223"/>
        <v>0</v>
      </c>
      <c r="L1350">
        <f t="shared" si="224"/>
        <v>85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-159.24640603601884</v>
      </c>
      <c r="F1351" s="1">
        <f t="shared" si="230"/>
        <v>-161.24843884521789</v>
      </c>
      <c r="G1351" s="1">
        <f t="shared" si="227"/>
        <v>9.3474423213377977E-71</v>
      </c>
      <c r="H1351" s="1">
        <f t="shared" si="220"/>
        <v>9.1751953666852548E-72</v>
      </c>
      <c r="I1351">
        <f t="shared" si="221"/>
        <v>60</v>
      </c>
      <c r="J1351">
        <f t="shared" si="222"/>
        <v>1264</v>
      </c>
      <c r="K1351" s="5">
        <f t="shared" si="223"/>
        <v>0</v>
      </c>
      <c r="L1351">
        <f t="shared" si="224"/>
        <v>85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-159.36810297099638</v>
      </c>
      <c r="F1352" s="1">
        <f t="shared" si="230"/>
        <v>-161.37013578019543</v>
      </c>
      <c r="G1352" s="1">
        <f t="shared" si="227"/>
        <v>8.2763812220177123E-71</v>
      </c>
      <c r="H1352" s="1">
        <f t="shared" si="220"/>
        <v>8.123870897585776E-72</v>
      </c>
      <c r="I1352">
        <f t="shared" si="221"/>
        <v>60</v>
      </c>
      <c r="J1352">
        <f t="shared" si="222"/>
        <v>1265</v>
      </c>
      <c r="K1352" s="5">
        <f t="shared" si="223"/>
        <v>0</v>
      </c>
      <c r="L1352">
        <f t="shared" si="224"/>
        <v>85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-159.48979990597391</v>
      </c>
      <c r="F1353" s="1">
        <f t="shared" si="230"/>
        <v>-161.49183271517296</v>
      </c>
      <c r="G1353" s="1">
        <f t="shared" si="227"/>
        <v>7.3280458736614009E-71</v>
      </c>
      <c r="H1353" s="1">
        <f t="shared" si="220"/>
        <v>7.1930106905706258E-72</v>
      </c>
      <c r="I1353">
        <f t="shared" si="221"/>
        <v>60</v>
      </c>
      <c r="J1353">
        <f t="shared" si="222"/>
        <v>1266</v>
      </c>
      <c r="K1353" s="5">
        <f t="shared" si="223"/>
        <v>0</v>
      </c>
      <c r="L1353">
        <f t="shared" si="224"/>
        <v>85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-159.61149684095145</v>
      </c>
      <c r="F1354" s="1">
        <f t="shared" si="230"/>
        <v>-161.6135296501505</v>
      </c>
      <c r="G1354" s="1">
        <f t="shared" si="227"/>
        <v>6.4883739506375974E-71</v>
      </c>
      <c r="H1354" s="1">
        <f t="shared" si="220"/>
        <v>6.368811548942642E-72</v>
      </c>
      <c r="I1354">
        <f t="shared" si="221"/>
        <v>60</v>
      </c>
      <c r="J1354">
        <f t="shared" si="222"/>
        <v>1267</v>
      </c>
      <c r="K1354" s="5">
        <f t="shared" si="223"/>
        <v>0</v>
      </c>
      <c r="L1354">
        <f t="shared" si="224"/>
        <v>85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-159.73319377592898</v>
      </c>
      <c r="F1355" s="1">
        <f t="shared" si="230"/>
        <v>-161.73522658512803</v>
      </c>
      <c r="G1355" s="1">
        <f t="shared" si="227"/>
        <v>5.7449144354602832E-71</v>
      </c>
      <c r="H1355" s="1">
        <f t="shared" si="220"/>
        <v>5.6390518922928766E-72</v>
      </c>
      <c r="I1355">
        <f t="shared" si="221"/>
        <v>60</v>
      </c>
      <c r="J1355">
        <f t="shared" si="222"/>
        <v>1268</v>
      </c>
      <c r="K1355" s="5">
        <f t="shared" si="223"/>
        <v>0</v>
      </c>
      <c r="L1355">
        <f t="shared" si="224"/>
        <v>85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-159.85489071090652</v>
      </c>
      <c r="F1356" s="1">
        <f t="shared" si="230"/>
        <v>-161.85692352010557</v>
      </c>
      <c r="G1356" s="1">
        <f t="shared" si="227"/>
        <v>5.0866429897303798E-71</v>
      </c>
      <c r="H1356" s="1">
        <f t="shared" si="220"/>
        <v>4.9929105296342397E-72</v>
      </c>
      <c r="I1356">
        <f t="shared" si="221"/>
        <v>60</v>
      </c>
      <c r="J1356">
        <f t="shared" si="222"/>
        <v>1269</v>
      </c>
      <c r="K1356" s="5">
        <f t="shared" si="223"/>
        <v>0</v>
      </c>
      <c r="L1356">
        <f t="shared" si="224"/>
        <v>85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-159.97658764588405</v>
      </c>
      <c r="F1357" s="1">
        <f t="shared" si="230"/>
        <v>-161.9786204550831</v>
      </c>
      <c r="G1357" s="1">
        <f t="shared" si="227"/>
        <v>4.5037984804903697E-71</v>
      </c>
      <c r="H1357" s="1">
        <f t="shared" si="220"/>
        <v>4.4208061981135804E-72</v>
      </c>
      <c r="I1357">
        <f t="shared" si="221"/>
        <v>60</v>
      </c>
      <c r="J1357">
        <f t="shared" si="222"/>
        <v>1270</v>
      </c>
      <c r="K1357" s="5">
        <f t="shared" si="223"/>
        <v>0</v>
      </c>
      <c r="L1357">
        <f t="shared" si="224"/>
        <v>85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-160.09828458086159</v>
      </c>
      <c r="F1358" s="1">
        <f t="shared" si="230"/>
        <v>-162.10031739006064</v>
      </c>
      <c r="G1358" s="1">
        <f t="shared" si="227"/>
        <v>3.9877382379341192E-71</v>
      </c>
      <c r="H1358" s="1">
        <f t="shared" si="220"/>
        <v>3.9142554879130052E-72</v>
      </c>
      <c r="I1358">
        <f t="shared" si="221"/>
        <v>60</v>
      </c>
      <c r="J1358">
        <f t="shared" si="222"/>
        <v>1271</v>
      </c>
      <c r="K1358" s="5">
        <f t="shared" si="223"/>
        <v>0</v>
      </c>
      <c r="L1358">
        <f t="shared" si="224"/>
        <v>85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-160.21998151583912</v>
      </c>
      <c r="F1359" s="1">
        <f t="shared" si="230"/>
        <v>-162.22201432503817</v>
      </c>
      <c r="G1359" s="1">
        <f t="shared" si="227"/>
        <v>3.5308098981707794E-71</v>
      </c>
      <c r="H1359" s="1">
        <f t="shared" si="220"/>
        <v>3.4657470465895855E-72</v>
      </c>
      <c r="I1359">
        <f t="shared" si="221"/>
        <v>60</v>
      </c>
      <c r="J1359">
        <f t="shared" si="222"/>
        <v>1272</v>
      </c>
      <c r="K1359" s="5">
        <f t="shared" si="223"/>
        <v>0</v>
      </c>
      <c r="L1359">
        <f t="shared" si="224"/>
        <v>85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-160.34167845081666</v>
      </c>
      <c r="F1360" s="1">
        <f t="shared" si="230"/>
        <v>-162.34371126001571</v>
      </c>
      <c r="G1360" s="1">
        <f t="shared" si="227"/>
        <v>3.1262379306719955E-71</v>
      </c>
      <c r="H1360" s="1">
        <f t="shared" si="220"/>
        <v>3.0686301975011476E-72</v>
      </c>
      <c r="I1360">
        <f t="shared" si="221"/>
        <v>60</v>
      </c>
      <c r="J1360">
        <f t="shared" si="222"/>
        <v>1273</v>
      </c>
      <c r="K1360" s="5">
        <f t="shared" si="223"/>
        <v>0</v>
      </c>
      <c r="L1360">
        <f t="shared" si="224"/>
        <v>85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-160.46337538579419</v>
      </c>
      <c r="F1361" s="1">
        <f t="shared" si="230"/>
        <v>-162.46540819499324</v>
      </c>
      <c r="G1361" s="1">
        <f t="shared" si="227"/>
        <v>2.7680231677824526E-71</v>
      </c>
      <c r="H1361" s="1">
        <f t="shared" si="220"/>
        <v>2.7170163207040984E-72</v>
      </c>
      <c r="I1361">
        <f t="shared" si="221"/>
        <v>60</v>
      </c>
      <c r="J1361">
        <f t="shared" si="222"/>
        <v>1274</v>
      </c>
      <c r="K1361" s="5">
        <f t="shared" si="223"/>
        <v>0</v>
      </c>
      <c r="L1361">
        <f t="shared" si="224"/>
        <v>85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-160.58507232077173</v>
      </c>
      <c r="F1362" s="1">
        <f t="shared" si="230"/>
        <v>-162.58710512997078</v>
      </c>
      <c r="G1362" s="1">
        <f t="shared" si="227"/>
        <v>2.4508538464740084E-71</v>
      </c>
      <c r="H1362" s="1">
        <f t="shared" si="220"/>
        <v>2.4056915339567162E-72</v>
      </c>
      <c r="I1362">
        <f t="shared" si="221"/>
        <v>60</v>
      </c>
      <c r="J1362">
        <f t="shared" si="222"/>
        <v>1275</v>
      </c>
      <c r="K1362" s="5">
        <f t="shared" si="223"/>
        <v>0</v>
      </c>
      <c r="L1362">
        <f t="shared" si="224"/>
        <v>85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-160.70676925574926</v>
      </c>
      <c r="F1363" s="1">
        <f t="shared" si="230"/>
        <v>-162.70880206494832</v>
      </c>
      <c r="G1363" s="1">
        <f t="shared" si="227"/>
        <v>2.170026843232161E-71</v>
      </c>
      <c r="H1363" s="1">
        <f t="shared" si="220"/>
        <v>2.1300393790241427E-72</v>
      </c>
      <c r="I1363">
        <f t="shared" si="221"/>
        <v>60</v>
      </c>
      <c r="J1363">
        <f t="shared" si="222"/>
        <v>1276</v>
      </c>
      <c r="K1363" s="5">
        <f t="shared" si="223"/>
        <v>0</v>
      </c>
      <c r="L1363">
        <f t="shared" si="224"/>
        <v>85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-160.8284661907268</v>
      </c>
      <c r="F1364" s="1">
        <f t="shared" si="230"/>
        <v>-162.83049899992585</v>
      </c>
      <c r="G1364" s="1">
        <f t="shared" si="227"/>
        <v>1.9213779341117791E-71</v>
      </c>
      <c r="H1364" s="1">
        <f t="shared" si="220"/>
        <v>1.8859723668442635E-72</v>
      </c>
      <c r="I1364">
        <f t="shared" si="221"/>
        <v>60</v>
      </c>
      <c r="J1364">
        <f t="shared" si="222"/>
        <v>1277</v>
      </c>
      <c r="K1364" s="5">
        <f t="shared" si="223"/>
        <v>0</v>
      </c>
      <c r="L1364">
        <f t="shared" si="224"/>
        <v>85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-160.95016312570434</v>
      </c>
      <c r="F1365" s="1">
        <f t="shared" si="230"/>
        <v>-162.95219593490339</v>
      </c>
      <c r="G1365" s="1">
        <f t="shared" si="227"/>
        <v>1.7012200458281112E-71</v>
      </c>
      <c r="H1365" s="1">
        <f t="shared" si="220"/>
        <v>1.6698713664766656E-72</v>
      </c>
      <c r="I1365">
        <f t="shared" si="221"/>
        <v>60</v>
      </c>
      <c r="J1365">
        <f t="shared" si="222"/>
        <v>1278</v>
      </c>
      <c r="K1365" s="5">
        <f t="shared" si="223"/>
        <v>0</v>
      </c>
      <c r="L1365">
        <f t="shared" si="224"/>
        <v>85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-161.07186006068187</v>
      </c>
      <c r="F1366" s="1">
        <f t="shared" si="230"/>
        <v>-163.07389286988092</v>
      </c>
      <c r="G1366" s="1">
        <f t="shared" si="227"/>
        <v>1.5062885822436164E-71</v>
      </c>
      <c r="H1366" s="1">
        <f t="shared" si="220"/>
        <v>1.4785319390678578E-72</v>
      </c>
      <c r="I1366">
        <f t="shared" si="221"/>
        <v>60</v>
      </c>
      <c r="J1366">
        <f t="shared" si="222"/>
        <v>1279</v>
      </c>
      <c r="K1366" s="5">
        <f t="shared" si="223"/>
        <v>0</v>
      </c>
      <c r="L1366">
        <f t="shared" si="224"/>
        <v>85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-161.19355699565941</v>
      </c>
      <c r="F1367" s="1">
        <f t="shared" si="230"/>
        <v>-163.19558980485846</v>
      </c>
      <c r="G1367" s="1">
        <f t="shared" si="227"/>
        <v>1.3336930155281812E-71</v>
      </c>
      <c r="H1367" s="1">
        <f t="shared" ref="H1367:H1430" si="231">G1367/$G$21</f>
        <v>1.3091168210496453E-72</v>
      </c>
      <c r="I1367">
        <f t="shared" ref="I1367:I1430" si="232">IF($F$11&lt;=D1367, IF(D1367&lt;=$A$15,D1367-$F$11,$C$11),0)</f>
        <v>60</v>
      </c>
      <c r="J1367">
        <f t="shared" ref="J1367:J1430" si="233">IF(D1367&lt;=$A$15,0,D1367-$A$15)</f>
        <v>1280</v>
      </c>
      <c r="K1367" s="5">
        <f t="shared" ref="K1367:K1430" si="234">IF(D1367&lt;$F$11,H1367,0)</f>
        <v>0</v>
      </c>
      <c r="L1367">
        <f t="shared" ref="L1367:L1430" si="235">IF(D1367&lt;$A$15,$D$11,$D$11*(1-$H$11))</f>
        <v>85</v>
      </c>
      <c r="M1367">
        <f t="shared" ref="M1367:M1430" si="236">IF(D1367&lt;$A$15,0,1)</f>
        <v>1</v>
      </c>
      <c r="N1367">
        <f t="shared" ref="N1367:N1430" si="237">IF(SUM(I1367:J1367)&lt;=($G$11/60*$F$11/($E$11/60)),1,0)</f>
        <v>0</v>
      </c>
    </row>
    <row r="1368" spans="4:14" x14ac:dyDescent="0.2">
      <c r="D1368">
        <f t="shared" si="228"/>
        <v>1345</v>
      </c>
      <c r="E1368" s="1">
        <f t="shared" si="229"/>
        <v>-161.31525393063694</v>
      </c>
      <c r="F1368" s="1">
        <f t="shared" si="230"/>
        <v>-163.31728673983599</v>
      </c>
      <c r="G1368" s="1">
        <f t="shared" ref="G1368:G1431" si="238">EXP(F1368)</f>
        <v>1.1808740241655588E-71</v>
      </c>
      <c r="H1368" s="1">
        <f t="shared" si="231"/>
        <v>1.159113851971022E-72</v>
      </c>
      <c r="I1368">
        <f t="shared" si="232"/>
        <v>60</v>
      </c>
      <c r="J1368">
        <f t="shared" si="233"/>
        <v>1281</v>
      </c>
      <c r="K1368" s="5">
        <f t="shared" si="234"/>
        <v>0</v>
      </c>
      <c r="L1368">
        <f t="shared" si="235"/>
        <v>85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IF($H$11=1,IF(D1369&lt;=$A$15, E1368+LN($D$11)-LN(60/$E$11)-LN(MIN(D1369,$F$11)), E1368-LN(60/$E$11)-LN(MIN(D1369,$F$11))), IF(D1369&lt;=$A$15, E1368+LN($D$11)-LN(60/$E$11)-LN(MIN(D1369,$F$11)), E1368+LN($D$11)+LN(1-$H$11)-LN(60/$E$11)-LN(MIN(D1369,$F$11))))</f>
        <v>-161.43695086561448</v>
      </c>
      <c r="F1369" s="1">
        <f t="shared" ref="F1369:F1432" si="241">E1369-$E$21</f>
        <v>-163.43898367481353</v>
      </c>
      <c r="G1369" s="1">
        <f t="shared" si="238"/>
        <v>1.0455655422299054E-71</v>
      </c>
      <c r="H1369" s="1">
        <f t="shared" si="231"/>
        <v>1.0262987230993264E-72</v>
      </c>
      <c r="I1369">
        <f t="shared" si="232"/>
        <v>60</v>
      </c>
      <c r="J1369">
        <f t="shared" si="233"/>
        <v>1282</v>
      </c>
      <c r="K1369" s="5">
        <f t="shared" si="234"/>
        <v>0</v>
      </c>
      <c r="L1369">
        <f t="shared" si="235"/>
        <v>85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-161.55864780059201</v>
      </c>
      <c r="F1370" s="1">
        <f t="shared" si="241"/>
        <v>-163.56068060979106</v>
      </c>
      <c r="G1370" s="1">
        <f t="shared" si="238"/>
        <v>9.2576115718271435E-72</v>
      </c>
      <c r="H1370" s="1">
        <f t="shared" si="231"/>
        <v>9.0870199441084769E-73</v>
      </c>
      <c r="I1370">
        <f t="shared" si="232"/>
        <v>60</v>
      </c>
      <c r="J1370">
        <f t="shared" si="233"/>
        <v>1283</v>
      </c>
      <c r="K1370" s="5">
        <f t="shared" si="234"/>
        <v>0</v>
      </c>
      <c r="L1370">
        <f t="shared" si="235"/>
        <v>85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-161.68034473556955</v>
      </c>
      <c r="F1371" s="1">
        <f t="shared" si="241"/>
        <v>-163.6823775447686</v>
      </c>
      <c r="G1371" s="1">
        <f t="shared" si="238"/>
        <v>8.1968435792218212E-72</v>
      </c>
      <c r="H1371" s="1">
        <f t="shared" si="231"/>
        <v>8.0457989088459218E-73</v>
      </c>
      <c r="I1371">
        <f t="shared" si="232"/>
        <v>60</v>
      </c>
      <c r="J1371">
        <f t="shared" si="233"/>
        <v>1284</v>
      </c>
      <c r="K1371" s="5">
        <f t="shared" si="234"/>
        <v>0</v>
      </c>
      <c r="L1371">
        <f t="shared" si="235"/>
        <v>85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-161.80204167054708</v>
      </c>
      <c r="F1372" s="1">
        <f t="shared" si="241"/>
        <v>-163.80407447974613</v>
      </c>
      <c r="G1372" s="1">
        <f t="shared" si="238"/>
        <v>7.2576219191025412E-72</v>
      </c>
      <c r="H1372" s="1">
        <f t="shared" si="231"/>
        <v>7.1238844505405481E-73</v>
      </c>
      <c r="I1372">
        <f t="shared" si="232"/>
        <v>60</v>
      </c>
      <c r="J1372">
        <f t="shared" si="233"/>
        <v>1285</v>
      </c>
      <c r="K1372" s="5">
        <f t="shared" si="234"/>
        <v>0</v>
      </c>
      <c r="L1372">
        <f t="shared" si="235"/>
        <v>85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-161.92373860552462</v>
      </c>
      <c r="F1373" s="1">
        <f t="shared" si="241"/>
        <v>-163.92577141472367</v>
      </c>
      <c r="G1373" s="1">
        <f t="shared" si="238"/>
        <v>6.4260194075386075E-72</v>
      </c>
      <c r="H1373" s="1">
        <f t="shared" si="231"/>
        <v>6.3076060239160114E-73</v>
      </c>
      <c r="I1373">
        <f t="shared" si="232"/>
        <v>60</v>
      </c>
      <c r="J1373">
        <f t="shared" si="233"/>
        <v>1286</v>
      </c>
      <c r="K1373" s="5">
        <f t="shared" si="234"/>
        <v>0</v>
      </c>
      <c r="L1373">
        <f t="shared" si="235"/>
        <v>85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-162.04543554050215</v>
      </c>
      <c r="F1374" s="1">
        <f t="shared" si="241"/>
        <v>-164.04746834970121</v>
      </c>
      <c r="G1374" s="1">
        <f t="shared" si="238"/>
        <v>5.6897046837580529E-72</v>
      </c>
      <c r="H1374" s="1">
        <f t="shared" si="231"/>
        <v>5.5848595003422145E-73</v>
      </c>
      <c r="I1374">
        <f t="shared" si="232"/>
        <v>60</v>
      </c>
      <c r="J1374">
        <f t="shared" si="233"/>
        <v>1287</v>
      </c>
      <c r="K1374" s="5">
        <f t="shared" si="234"/>
        <v>0</v>
      </c>
      <c r="L1374">
        <f t="shared" si="235"/>
        <v>85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-162.16713247547969</v>
      </c>
      <c r="F1375" s="1">
        <f t="shared" si="241"/>
        <v>-164.16916528467874</v>
      </c>
      <c r="G1375" s="1">
        <f t="shared" si="238"/>
        <v>5.0377593554106971E-72</v>
      </c>
      <c r="H1375" s="1">
        <f t="shared" si="231"/>
        <v>4.9449276825945915E-73</v>
      </c>
      <c r="I1375">
        <f t="shared" si="232"/>
        <v>60</v>
      </c>
      <c r="J1375">
        <f t="shared" si="233"/>
        <v>1288</v>
      </c>
      <c r="K1375" s="5">
        <f t="shared" si="234"/>
        <v>0</v>
      </c>
      <c r="L1375">
        <f t="shared" si="235"/>
        <v>85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-162.28882941045723</v>
      </c>
      <c r="F1376" s="1">
        <f t="shared" si="241"/>
        <v>-164.29086221965628</v>
      </c>
      <c r="G1376" s="1">
        <f t="shared" si="238"/>
        <v>4.4605160959364853E-72</v>
      </c>
      <c r="H1376" s="1">
        <f t="shared" si="231"/>
        <v>4.3783213856305599E-73</v>
      </c>
      <c r="I1376">
        <f t="shared" si="232"/>
        <v>60</v>
      </c>
      <c r="J1376">
        <f t="shared" si="233"/>
        <v>1289</v>
      </c>
      <c r="K1376" s="5">
        <f t="shared" si="234"/>
        <v>0</v>
      </c>
      <c r="L1376">
        <f t="shared" si="235"/>
        <v>85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-162.41052634543476</v>
      </c>
      <c r="F1377" s="1">
        <f t="shared" si="241"/>
        <v>-164.41255915463381</v>
      </c>
      <c r="G1377" s="1">
        <f t="shared" si="238"/>
        <v>3.9494152932770346E-72</v>
      </c>
      <c r="H1377" s="1">
        <f t="shared" si="231"/>
        <v>3.876638726860331E-73</v>
      </c>
      <c r="I1377">
        <f t="shared" si="232"/>
        <v>60</v>
      </c>
      <c r="J1377">
        <f t="shared" si="233"/>
        <v>1290</v>
      </c>
      <c r="K1377" s="5">
        <f t="shared" si="234"/>
        <v>0</v>
      </c>
      <c r="L1377">
        <f t="shared" si="235"/>
        <v>85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-162.5322232804123</v>
      </c>
      <c r="F1378" s="1">
        <f t="shared" si="241"/>
        <v>-164.53425608961135</v>
      </c>
      <c r="G1378" s="1">
        <f t="shared" si="238"/>
        <v>3.4968781242556527E-72</v>
      </c>
      <c r="H1378" s="1">
        <f t="shared" si="231"/>
        <v>3.4324405394075305E-73</v>
      </c>
      <c r="I1378">
        <f t="shared" si="232"/>
        <v>60</v>
      </c>
      <c r="J1378">
        <f t="shared" si="233"/>
        <v>1291</v>
      </c>
      <c r="K1378" s="5">
        <f t="shared" si="234"/>
        <v>0</v>
      </c>
      <c r="L1378">
        <f t="shared" si="235"/>
        <v>85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-162.65392021538983</v>
      </c>
      <c r="F1379" s="1">
        <f t="shared" si="241"/>
        <v>-164.65595302458888</v>
      </c>
      <c r="G1379" s="1">
        <f t="shared" si="238"/>
        <v>3.0961941725179778E-72</v>
      </c>
      <c r="H1379" s="1">
        <f t="shared" si="231"/>
        <v>3.0391400609337042E-73</v>
      </c>
      <c r="I1379">
        <f t="shared" si="232"/>
        <v>60</v>
      </c>
      <c r="J1379">
        <f t="shared" si="233"/>
        <v>1292</v>
      </c>
      <c r="K1379" s="5">
        <f t="shared" si="234"/>
        <v>0</v>
      </c>
      <c r="L1379">
        <f t="shared" si="235"/>
        <v>85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-162.77561715036737</v>
      </c>
      <c r="F1380" s="1">
        <f t="shared" si="241"/>
        <v>-164.77764995956642</v>
      </c>
      <c r="G1380" s="1">
        <f t="shared" si="238"/>
        <v>2.7414219235835834E-72</v>
      </c>
      <c r="H1380" s="1">
        <f t="shared" si="231"/>
        <v>2.6909052622850083E-73</v>
      </c>
      <c r="I1380">
        <f t="shared" si="232"/>
        <v>60</v>
      </c>
      <c r="J1380">
        <f t="shared" si="233"/>
        <v>1293</v>
      </c>
      <c r="K1380" s="5">
        <f t="shared" si="234"/>
        <v>0</v>
      </c>
      <c r="L1380">
        <f t="shared" si="235"/>
        <v>85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-162.8973140853449</v>
      </c>
      <c r="F1381" s="1">
        <f t="shared" si="241"/>
        <v>-164.89934689454395</v>
      </c>
      <c r="G1381" s="1">
        <f t="shared" si="238"/>
        <v>2.4273006615062595E-72</v>
      </c>
      <c r="H1381" s="1">
        <f t="shared" si="231"/>
        <v>2.3825723676481467E-73</v>
      </c>
      <c r="I1381">
        <f t="shared" si="232"/>
        <v>60</v>
      </c>
      <c r="J1381">
        <f t="shared" si="233"/>
        <v>1294</v>
      </c>
      <c r="K1381" s="5">
        <f t="shared" si="234"/>
        <v>0</v>
      </c>
      <c r="L1381">
        <f t="shared" si="235"/>
        <v>85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-163.01901102032244</v>
      </c>
      <c r="F1382" s="1">
        <f t="shared" si="241"/>
        <v>-165.02104382952149</v>
      </c>
      <c r="G1382" s="1">
        <f t="shared" si="238"/>
        <v>2.1491724607086337E-72</v>
      </c>
      <c r="H1382" s="1">
        <f t="shared" si="231"/>
        <v>2.1095692838550972E-73</v>
      </c>
      <c r="I1382">
        <f t="shared" si="232"/>
        <v>60</v>
      </c>
      <c r="J1382">
        <f t="shared" si="233"/>
        <v>1295</v>
      </c>
      <c r="K1382" s="5">
        <f t="shared" si="234"/>
        <v>0</v>
      </c>
      <c r="L1382">
        <f t="shared" si="235"/>
        <v>85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-163.14070795529997</v>
      </c>
      <c r="F1383" s="1">
        <f t="shared" si="241"/>
        <v>-165.14274076449902</v>
      </c>
      <c r="G1383" s="1">
        <f t="shared" si="238"/>
        <v>1.9029131162524065E-72</v>
      </c>
      <c r="H1383" s="1">
        <f t="shared" si="231"/>
        <v>1.8678478034133383E-73</v>
      </c>
      <c r="I1383">
        <f t="shared" si="232"/>
        <v>60</v>
      </c>
      <c r="J1383">
        <f t="shared" si="233"/>
        <v>1296</v>
      </c>
      <c r="K1383" s="5">
        <f t="shared" si="234"/>
        <v>0</v>
      </c>
      <c r="L1383">
        <f t="shared" si="235"/>
        <v>85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-163.26240489027751</v>
      </c>
      <c r="F1384" s="1">
        <f t="shared" si="241"/>
        <v>-165.26443769947656</v>
      </c>
      <c r="G1384" s="1">
        <f t="shared" si="238"/>
        <v>1.6848709883484584E-72</v>
      </c>
      <c r="H1384" s="1">
        <f t="shared" si="231"/>
        <v>1.653823575938867E-73</v>
      </c>
      <c r="I1384">
        <f t="shared" si="232"/>
        <v>60</v>
      </c>
      <c r="J1384">
        <f t="shared" si="233"/>
        <v>1297</v>
      </c>
      <c r="K1384" s="5">
        <f t="shared" si="234"/>
        <v>0</v>
      </c>
      <c r="L1384">
        <f t="shared" si="235"/>
        <v>85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-163.38410182525504</v>
      </c>
      <c r="F1385" s="1">
        <f t="shared" si="241"/>
        <v>-165.38613463445409</v>
      </c>
      <c r="G1385" s="1">
        <f t="shared" si="238"/>
        <v>1.491812854266841E-72</v>
      </c>
      <c r="H1385" s="1">
        <f t="shared" si="231"/>
        <v>1.4643229578625158E-73</v>
      </c>
      <c r="I1385">
        <f t="shared" si="232"/>
        <v>60</v>
      </c>
      <c r="J1385">
        <f t="shared" si="233"/>
        <v>1298</v>
      </c>
      <c r="K1385" s="5">
        <f t="shared" si="234"/>
        <v>0</v>
      </c>
      <c r="L1385">
        <f t="shared" si="235"/>
        <v>85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-163.50579876023258</v>
      </c>
      <c r="F1386" s="1">
        <f t="shared" si="241"/>
        <v>-165.50783156943163</v>
      </c>
      <c r="G1386" s="1">
        <f t="shared" si="238"/>
        <v>1.3208759647154116E-72</v>
      </c>
      <c r="H1386" s="1">
        <f t="shared" si="231"/>
        <v>1.2965359522740824E-73</v>
      </c>
      <c r="I1386">
        <f t="shared" si="232"/>
        <v>60</v>
      </c>
      <c r="J1386">
        <f t="shared" si="233"/>
        <v>1299</v>
      </c>
      <c r="K1386" s="5">
        <f t="shared" si="234"/>
        <v>0</v>
      </c>
      <c r="L1386">
        <f t="shared" si="235"/>
        <v>85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-163.62749569521011</v>
      </c>
      <c r="F1387" s="1">
        <f t="shared" si="241"/>
        <v>-165.62952850440917</v>
      </c>
      <c r="G1387" s="1">
        <f t="shared" si="238"/>
        <v>1.1695255937584189E-72</v>
      </c>
      <c r="H1387" s="1">
        <f t="shared" si="231"/>
        <v>1.1479745410759923E-73</v>
      </c>
      <c r="I1387">
        <f t="shared" si="232"/>
        <v>60</v>
      </c>
      <c r="J1387">
        <f t="shared" si="233"/>
        <v>1300</v>
      </c>
      <c r="K1387" s="5">
        <f t="shared" si="234"/>
        <v>0</v>
      </c>
      <c r="L1387">
        <f t="shared" si="235"/>
        <v>85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-163.74919263018765</v>
      </c>
      <c r="F1388" s="1">
        <f t="shared" si="241"/>
        <v>-165.7512254393867</v>
      </c>
      <c r="G1388" s="1">
        <f t="shared" si="238"/>
        <v>1.0355174528069172E-72</v>
      </c>
      <c r="H1388" s="1">
        <f t="shared" si="231"/>
        <v>1.0164357915776856E-73</v>
      </c>
      <c r="I1388">
        <f t="shared" si="232"/>
        <v>60</v>
      </c>
      <c r="J1388">
        <f t="shared" si="233"/>
        <v>1301</v>
      </c>
      <c r="K1388" s="5">
        <f t="shared" si="234"/>
        <v>0</v>
      </c>
      <c r="L1388">
        <f t="shared" si="235"/>
        <v>85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-163.87088956516519</v>
      </c>
      <c r="F1389" s="1">
        <f t="shared" si="241"/>
        <v>-165.87292237436424</v>
      </c>
      <c r="G1389" s="1">
        <f t="shared" si="238"/>
        <v>9.1686441133944365E-73</v>
      </c>
      <c r="H1389" s="1">
        <f t="shared" si="231"/>
        <v>8.9996919045939522E-74</v>
      </c>
      <c r="I1389">
        <f t="shared" si="232"/>
        <v>60</v>
      </c>
      <c r="J1389">
        <f t="shared" si="233"/>
        <v>1302</v>
      </c>
      <c r="K1389" s="5">
        <f t="shared" si="234"/>
        <v>0</v>
      </c>
      <c r="L1389">
        <f t="shared" si="235"/>
        <v>85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-163.99258650014272</v>
      </c>
      <c r="F1390" s="1">
        <f t="shared" si="241"/>
        <v>-165.99461930934177</v>
      </c>
      <c r="G1390" s="1">
        <f t="shared" si="238"/>
        <v>8.1180703087345304E-73</v>
      </c>
      <c r="H1390" s="1">
        <f t="shared" si="231"/>
        <v>7.9684772071924374E-74</v>
      </c>
      <c r="I1390">
        <f t="shared" si="232"/>
        <v>60</v>
      </c>
      <c r="J1390">
        <f t="shared" si="233"/>
        <v>1303</v>
      </c>
      <c r="K1390" s="5">
        <f t="shared" si="234"/>
        <v>0</v>
      </c>
      <c r="L1390">
        <f t="shared" si="235"/>
        <v>85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-164.11428343512026</v>
      </c>
      <c r="F1391" s="1">
        <f t="shared" si="241"/>
        <v>-166.11631624431931</v>
      </c>
      <c r="G1391" s="1">
        <f t="shared" si="238"/>
        <v>7.1878747525252531E-73</v>
      </c>
      <c r="H1391" s="1">
        <f t="shared" si="231"/>
        <v>7.0554225272015261E-74</v>
      </c>
      <c r="I1391">
        <f t="shared" si="232"/>
        <v>60</v>
      </c>
      <c r="J1391">
        <f t="shared" si="233"/>
        <v>1304</v>
      </c>
      <c r="K1391" s="5">
        <f t="shared" si="234"/>
        <v>0</v>
      </c>
      <c r="L1391">
        <f t="shared" si="235"/>
        <v>85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-164.23598037009779</v>
      </c>
      <c r="F1392" s="1">
        <f t="shared" si="241"/>
        <v>-166.23801317929684</v>
      </c>
      <c r="G1392" s="1">
        <f t="shared" si="238"/>
        <v>6.364264103798302E-73</v>
      </c>
      <c r="H1392" s="1">
        <f t="shared" si="231"/>
        <v>6.2469886959595873E-74</v>
      </c>
      <c r="I1392">
        <f t="shared" si="232"/>
        <v>60</v>
      </c>
      <c r="J1392">
        <f t="shared" si="233"/>
        <v>1305</v>
      </c>
      <c r="K1392" s="5">
        <f t="shared" si="234"/>
        <v>0</v>
      </c>
      <c r="L1392">
        <f t="shared" si="235"/>
        <v>85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-164.35767730507533</v>
      </c>
      <c r="F1393" s="1">
        <f t="shared" si="241"/>
        <v>-166.35971011427438</v>
      </c>
      <c r="G1393" s="1">
        <f t="shared" si="238"/>
        <v>5.6350255085713245E-73</v>
      </c>
      <c r="H1393" s="1">
        <f t="shared" si="231"/>
        <v>5.5311879078807976E-74</v>
      </c>
      <c r="I1393">
        <f t="shared" si="232"/>
        <v>60</v>
      </c>
      <c r="J1393">
        <f t="shared" si="233"/>
        <v>1306</v>
      </c>
      <c r="K1393" s="5">
        <f t="shared" si="234"/>
        <v>0</v>
      </c>
      <c r="L1393">
        <f t="shared" si="235"/>
        <v>85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-164.47937424005286</v>
      </c>
      <c r="F1394" s="1">
        <f t="shared" si="241"/>
        <v>-166.48140704925191</v>
      </c>
      <c r="G1394" s="1">
        <f t="shared" si="238"/>
        <v>4.9893455023807822E-73</v>
      </c>
      <c r="H1394" s="1">
        <f t="shared" si="231"/>
        <v>4.8974059601027132E-74</v>
      </c>
      <c r="I1394">
        <f t="shared" si="232"/>
        <v>60</v>
      </c>
      <c r="J1394">
        <f t="shared" si="233"/>
        <v>1307</v>
      </c>
      <c r="K1394" s="5">
        <f t="shared" si="234"/>
        <v>0</v>
      </c>
      <c r="L1394">
        <f t="shared" si="235"/>
        <v>85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-164.6010711750304</v>
      </c>
      <c r="F1395" s="1">
        <f t="shared" si="241"/>
        <v>-166.60310398422945</v>
      </c>
      <c r="G1395" s="1">
        <f t="shared" si="238"/>
        <v>4.4176496635662486E-73</v>
      </c>
      <c r="H1395" s="1">
        <f t="shared" si="231"/>
        <v>4.3362448605075425E-74</v>
      </c>
      <c r="I1395">
        <f t="shared" si="232"/>
        <v>60</v>
      </c>
      <c r="J1395">
        <f t="shared" si="233"/>
        <v>1308</v>
      </c>
      <c r="K1395" s="5">
        <f t="shared" si="234"/>
        <v>0</v>
      </c>
      <c r="L1395">
        <f t="shared" si="235"/>
        <v>85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-164.72276811000793</v>
      </c>
      <c r="F1396" s="1">
        <f t="shared" si="241"/>
        <v>-166.72480091920698</v>
      </c>
      <c r="G1396" s="1">
        <f t="shared" si="238"/>
        <v>3.9114606396158879E-73</v>
      </c>
      <c r="H1396" s="1">
        <f t="shared" si="231"/>
        <v>3.8393834702409935E-74</v>
      </c>
      <c r="I1396">
        <f t="shared" si="232"/>
        <v>60</v>
      </c>
      <c r="J1396">
        <f t="shared" si="233"/>
        <v>1309</v>
      </c>
      <c r="K1396" s="5">
        <f t="shared" si="234"/>
        <v>0</v>
      </c>
      <c r="L1396">
        <f t="shared" si="235"/>
        <v>85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-164.84446504498547</v>
      </c>
      <c r="F1397" s="1">
        <f t="shared" si="241"/>
        <v>-166.84649785418452</v>
      </c>
      <c r="G1397" s="1">
        <f t="shared" si="238"/>
        <v>3.4632724413265137E-73</v>
      </c>
      <c r="H1397" s="1">
        <f t="shared" si="231"/>
        <v>3.3994541142758266E-74</v>
      </c>
      <c r="I1397">
        <f t="shared" si="232"/>
        <v>60</v>
      </c>
      <c r="J1397">
        <f t="shared" si="233"/>
        <v>1310</v>
      </c>
      <c r="K1397" s="5">
        <f t="shared" si="234"/>
        <v>0</v>
      </c>
      <c r="L1397">
        <f t="shared" si="235"/>
        <v>85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-164.966161979963</v>
      </c>
      <c r="F1398" s="1">
        <f t="shared" si="241"/>
        <v>-166.96819478916206</v>
      </c>
      <c r="G1398" s="1">
        <f t="shared" si="238"/>
        <v>3.0664391407578025E-73</v>
      </c>
      <c r="H1398" s="1">
        <f t="shared" si="231"/>
        <v>3.009933330348341E-74</v>
      </c>
      <c r="I1398">
        <f t="shared" si="232"/>
        <v>60</v>
      </c>
      <c r="J1398">
        <f t="shared" si="233"/>
        <v>1311</v>
      </c>
      <c r="K1398" s="5">
        <f t="shared" si="234"/>
        <v>0</v>
      </c>
      <c r="L1398">
        <f t="shared" si="235"/>
        <v>85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-165.08785891494054</v>
      </c>
      <c r="F1399" s="1">
        <f t="shared" si="241"/>
        <v>-167.08989172413959</v>
      </c>
      <c r="G1399" s="1">
        <f t="shared" si="238"/>
        <v>2.7150763225459286E-73</v>
      </c>
      <c r="H1399" s="1">
        <f t="shared" si="231"/>
        <v>2.6650451362458853E-74</v>
      </c>
      <c r="I1399">
        <f t="shared" si="232"/>
        <v>60</v>
      </c>
      <c r="J1399">
        <f t="shared" si="233"/>
        <v>1312</v>
      </c>
      <c r="K1399" s="5">
        <f t="shared" si="234"/>
        <v>0</v>
      </c>
      <c r="L1399">
        <f t="shared" si="235"/>
        <v>85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-165.20955584991808</v>
      </c>
      <c r="F1400" s="1">
        <f t="shared" si="241"/>
        <v>-167.21158865911713</v>
      </c>
      <c r="G1400" s="1">
        <f t="shared" si="238"/>
        <v>2.4039738272541699E-73</v>
      </c>
      <c r="H1400" s="1">
        <f t="shared" si="231"/>
        <v>2.3596753810510071E-74</v>
      </c>
      <c r="I1400">
        <f t="shared" si="232"/>
        <v>60</v>
      </c>
      <c r="J1400">
        <f t="shared" si="233"/>
        <v>1313</v>
      </c>
      <c r="K1400" s="5">
        <f t="shared" si="234"/>
        <v>0</v>
      </c>
      <c r="L1400">
        <f t="shared" si="235"/>
        <v>85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-165.33125278489561</v>
      </c>
      <c r="F1401" s="1">
        <f t="shared" si="241"/>
        <v>-167.33328559409466</v>
      </c>
      <c r="G1401" s="1">
        <f t="shared" si="238"/>
        <v>2.1285184928812629E-73</v>
      </c>
      <c r="H1401" s="1">
        <f t="shared" si="231"/>
        <v>2.0892959103055466E-74</v>
      </c>
      <c r="I1401">
        <f t="shared" si="232"/>
        <v>60</v>
      </c>
      <c r="J1401">
        <f t="shared" si="233"/>
        <v>1314</v>
      </c>
      <c r="K1401" s="5">
        <f t="shared" si="234"/>
        <v>0</v>
      </c>
      <c r="L1401">
        <f t="shared" si="235"/>
        <v>85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-165.45294971987315</v>
      </c>
      <c r="F1402" s="1">
        <f t="shared" si="241"/>
        <v>-167.4549825290722</v>
      </c>
      <c r="G1402" s="1">
        <f t="shared" si="238"/>
        <v>1.8846257489052554E-73</v>
      </c>
      <c r="H1402" s="1">
        <f t="shared" si="231"/>
        <v>1.8498974205830072E-74</v>
      </c>
      <c r="I1402">
        <f t="shared" si="232"/>
        <v>60</v>
      </c>
      <c r="J1402">
        <f t="shared" si="233"/>
        <v>1315</v>
      </c>
      <c r="K1402" s="5">
        <f t="shared" si="234"/>
        <v>0</v>
      </c>
      <c r="L1402">
        <f t="shared" si="235"/>
        <v>85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-165.57464665485068</v>
      </c>
      <c r="F1403" s="1">
        <f t="shared" si="241"/>
        <v>-167.57667946404973</v>
      </c>
      <c r="G1403" s="1">
        <f t="shared" si="238"/>
        <v>1.6686790485098357E-73</v>
      </c>
      <c r="H1403" s="1">
        <f t="shared" si="231"/>
        <v>1.6379300078078454E-74</v>
      </c>
      <c r="I1403">
        <f t="shared" si="232"/>
        <v>60</v>
      </c>
      <c r="J1403">
        <f t="shared" si="233"/>
        <v>1316</v>
      </c>
      <c r="K1403" s="5">
        <f t="shared" si="234"/>
        <v>0</v>
      </c>
      <c r="L1403">
        <f t="shared" si="235"/>
        <v>85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-165.69634358982822</v>
      </c>
      <c r="F1404" s="1">
        <f t="shared" si="241"/>
        <v>-167.69837639902727</v>
      </c>
      <c r="G1404" s="1">
        <f t="shared" si="238"/>
        <v>1.4774762408680606E-73</v>
      </c>
      <c r="H1404" s="1">
        <f t="shared" si="231"/>
        <v>1.4502505277465072E-74</v>
      </c>
      <c r="I1404">
        <f t="shared" si="232"/>
        <v>60</v>
      </c>
      <c r="J1404">
        <f t="shared" si="233"/>
        <v>1317</v>
      </c>
      <c r="K1404" s="5">
        <f t="shared" si="234"/>
        <v>0</v>
      </c>
      <c r="L1404">
        <f t="shared" si="235"/>
        <v>85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-165.81804052480575</v>
      </c>
      <c r="F1405" s="1">
        <f t="shared" si="241"/>
        <v>-167.8200733340048</v>
      </c>
      <c r="G1405" s="1">
        <f t="shared" si="238"/>
        <v>1.3081820882685748E-73</v>
      </c>
      <c r="H1405" s="1">
        <f t="shared" si="231"/>
        <v>1.2840759881088665E-74</v>
      </c>
      <c r="I1405">
        <f t="shared" si="232"/>
        <v>60</v>
      </c>
      <c r="J1405">
        <f t="shared" si="233"/>
        <v>1318</v>
      </c>
      <c r="K1405" s="5">
        <f t="shared" si="234"/>
        <v>0</v>
      </c>
      <c r="L1405">
        <f t="shared" si="235"/>
        <v>85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-165.93973745978329</v>
      </c>
      <c r="F1406" s="1">
        <f t="shared" si="241"/>
        <v>-167.94177026898234</v>
      </c>
      <c r="G1406" s="1">
        <f t="shared" si="238"/>
        <v>1.1582862239877824E-73</v>
      </c>
      <c r="H1406" s="1">
        <f t="shared" si="231"/>
        <v>1.136942281138041E-74</v>
      </c>
      <c r="I1406">
        <f t="shared" si="232"/>
        <v>60</v>
      </c>
      <c r="J1406">
        <f t="shared" si="233"/>
        <v>1319</v>
      </c>
      <c r="K1406" s="5">
        <f t="shared" si="234"/>
        <v>0</v>
      </c>
      <c r="L1406">
        <f t="shared" si="235"/>
        <v>85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-166.06143439476082</v>
      </c>
      <c r="F1407" s="1">
        <f t="shared" si="241"/>
        <v>-168.06346720395987</v>
      </c>
      <c r="G1407" s="1">
        <f t="shared" si="238"/>
        <v>1.0255659274891664E-73</v>
      </c>
      <c r="H1407" s="1">
        <f t="shared" si="231"/>
        <v>1.0066676447576247E-74</v>
      </c>
      <c r="I1407">
        <f t="shared" si="232"/>
        <v>60</v>
      </c>
      <c r="J1407">
        <f t="shared" si="233"/>
        <v>1320</v>
      </c>
      <c r="K1407" s="5">
        <f t="shared" si="234"/>
        <v>0</v>
      </c>
      <c r="L1407">
        <f t="shared" si="235"/>
        <v>85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-166.18313132973836</v>
      </c>
      <c r="F1408" s="1">
        <f t="shared" si="241"/>
        <v>-168.18516413893741</v>
      </c>
      <c r="G1408" s="1">
        <f t="shared" si="238"/>
        <v>9.0805316496435182E-74</v>
      </c>
      <c r="H1408" s="1">
        <f t="shared" si="231"/>
        <v>8.9132031046246625E-75</v>
      </c>
      <c r="I1408">
        <f t="shared" si="232"/>
        <v>60</v>
      </c>
      <c r="J1408">
        <f t="shared" si="233"/>
        <v>1321</v>
      </c>
      <c r="K1408" s="5">
        <f t="shared" si="234"/>
        <v>0</v>
      </c>
      <c r="L1408">
        <f t="shared" si="235"/>
        <v>85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-166.30482826471589</v>
      </c>
      <c r="F1409" s="1">
        <f t="shared" si="241"/>
        <v>-168.30686107391494</v>
      </c>
      <c r="G1409" s="1">
        <f t="shared" si="238"/>
        <v>8.040054064788406E-74</v>
      </c>
      <c r="H1409" s="1">
        <f t="shared" si="231"/>
        <v>7.8918985822196297E-75</v>
      </c>
      <c r="I1409">
        <f t="shared" si="232"/>
        <v>60</v>
      </c>
      <c r="J1409">
        <f t="shared" si="233"/>
        <v>1322</v>
      </c>
      <c r="K1409" s="5">
        <f t="shared" si="234"/>
        <v>0</v>
      </c>
      <c r="L1409">
        <f t="shared" si="235"/>
        <v>85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-166.42652519969343</v>
      </c>
      <c r="F1410" s="1">
        <f t="shared" si="241"/>
        <v>-168.42855800889248</v>
      </c>
      <c r="G1410" s="1">
        <f t="shared" si="238"/>
        <v>7.1187978698646231E-74</v>
      </c>
      <c r="H1410" s="1">
        <f t="shared" si="231"/>
        <v>6.9876185363401882E-75</v>
      </c>
      <c r="I1410">
        <f t="shared" si="232"/>
        <v>60</v>
      </c>
      <c r="J1410">
        <f t="shared" si="233"/>
        <v>1323</v>
      </c>
      <c r="K1410" s="5">
        <f t="shared" si="234"/>
        <v>0</v>
      </c>
      <c r="L1410">
        <f t="shared" si="235"/>
        <v>85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-166.54822213467097</v>
      </c>
      <c r="F1411" s="1">
        <f t="shared" si="241"/>
        <v>-168.55025494387002</v>
      </c>
      <c r="G1411" s="1">
        <f t="shared" si="238"/>
        <v>6.3031022806092033E-74</v>
      </c>
      <c r="H1411" s="1">
        <f t="shared" si="231"/>
        <v>6.1869539123844448E-75</v>
      </c>
      <c r="I1411">
        <f t="shared" si="232"/>
        <v>60</v>
      </c>
      <c r="J1411">
        <f t="shared" si="233"/>
        <v>1324</v>
      </c>
      <c r="K1411" s="5">
        <f t="shared" si="234"/>
        <v>0</v>
      </c>
      <c r="L1411">
        <f t="shared" si="235"/>
        <v>85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-166.6699190696485</v>
      </c>
      <c r="F1412" s="1">
        <f t="shared" si="241"/>
        <v>-168.67195187884755</v>
      </c>
      <c r="G1412" s="1">
        <f t="shared" si="238"/>
        <v>5.5808718109559785E-74</v>
      </c>
      <c r="H1412" s="1">
        <f t="shared" si="231"/>
        <v>5.4780321099236425E-75</v>
      </c>
      <c r="I1412">
        <f t="shared" si="232"/>
        <v>60</v>
      </c>
      <c r="J1412">
        <f t="shared" si="233"/>
        <v>1325</v>
      </c>
      <c r="K1412" s="5">
        <f t="shared" si="234"/>
        <v>0</v>
      </c>
      <c r="L1412">
        <f t="shared" si="235"/>
        <v>85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-166.79161600462604</v>
      </c>
      <c r="F1413" s="1">
        <f t="shared" si="241"/>
        <v>-168.79364881382509</v>
      </c>
      <c r="G1413" s="1">
        <f t="shared" si="238"/>
        <v>4.9413969159505281E-74</v>
      </c>
      <c r="H1413" s="1">
        <f t="shared" si="231"/>
        <v>4.8503409306614821E-75</v>
      </c>
      <c r="I1413">
        <f t="shared" si="232"/>
        <v>60</v>
      </c>
      <c r="J1413">
        <f t="shared" si="233"/>
        <v>1326</v>
      </c>
      <c r="K1413" s="5">
        <f t="shared" si="234"/>
        <v>0</v>
      </c>
      <c r="L1413">
        <f t="shared" si="235"/>
        <v>85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-166.91331293960357</v>
      </c>
      <c r="F1414" s="1">
        <f t="shared" si="241"/>
        <v>-168.91534574880262</v>
      </c>
      <c r="G1414" s="1">
        <f t="shared" si="238"/>
        <v>4.3751951859977949E-74</v>
      </c>
      <c r="H1414" s="1">
        <f t="shared" si="231"/>
        <v>4.2945726990231198E-75</v>
      </c>
      <c r="I1414">
        <f t="shared" si="232"/>
        <v>60</v>
      </c>
      <c r="J1414">
        <f t="shared" si="233"/>
        <v>1327</v>
      </c>
      <c r="K1414" s="5">
        <f t="shared" si="234"/>
        <v>0</v>
      </c>
      <c r="L1414">
        <f t="shared" si="235"/>
        <v>85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-167.03500987458111</v>
      </c>
      <c r="F1415" s="1">
        <f t="shared" si="241"/>
        <v>-169.03704268378016</v>
      </c>
      <c r="G1415" s="1">
        <f t="shared" si="238"/>
        <v>3.8738707376021542E-74</v>
      </c>
      <c r="H1415" s="1">
        <f t="shared" si="231"/>
        <v>3.8024862439266616E-75</v>
      </c>
      <c r="I1415">
        <f t="shared" si="232"/>
        <v>60</v>
      </c>
      <c r="J1415">
        <f t="shared" si="233"/>
        <v>1328</v>
      </c>
      <c r="K1415" s="5">
        <f t="shared" si="234"/>
        <v>0</v>
      </c>
      <c r="L1415">
        <f t="shared" si="235"/>
        <v>85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-167.15670680955864</v>
      </c>
      <c r="F1416" s="1">
        <f t="shared" si="241"/>
        <v>-169.15873961875769</v>
      </c>
      <c r="G1416" s="1">
        <f t="shared" si="238"/>
        <v>3.429989715585187E-74</v>
      </c>
      <c r="H1416" s="1">
        <f t="shared" si="231"/>
        <v>3.3667846951433456E-75</v>
      </c>
      <c r="I1416">
        <f t="shared" si="232"/>
        <v>60</v>
      </c>
      <c r="J1416">
        <f t="shared" si="233"/>
        <v>1329</v>
      </c>
      <c r="K1416" s="5">
        <f t="shared" si="234"/>
        <v>0</v>
      </c>
      <c r="L1416">
        <f t="shared" si="235"/>
        <v>85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-167.27840374453618</v>
      </c>
      <c r="F1417" s="1">
        <f t="shared" si="241"/>
        <v>-169.28043655373523</v>
      </c>
      <c r="G1417" s="1">
        <f t="shared" si="238"/>
        <v>3.0369700606743368E-74</v>
      </c>
      <c r="H1417" s="1">
        <f t="shared" si="231"/>
        <v>2.981007282158124E-75</v>
      </c>
      <c r="I1417">
        <f t="shared" si="232"/>
        <v>60</v>
      </c>
      <c r="J1417">
        <f t="shared" si="233"/>
        <v>1330</v>
      </c>
      <c r="K1417" s="5">
        <f t="shared" si="234"/>
        <v>0</v>
      </c>
      <c r="L1417">
        <f t="shared" si="235"/>
        <v>85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-167.40010067951371</v>
      </c>
      <c r="F1418" s="1">
        <f t="shared" si="241"/>
        <v>-169.40213348871276</v>
      </c>
      <c r="G1418" s="1">
        <f t="shared" si="238"/>
        <v>2.6889839078886934E-74</v>
      </c>
      <c r="H1418" s="1">
        <f t="shared" si="231"/>
        <v>2.639433531077464E-75</v>
      </c>
      <c r="I1418">
        <f t="shared" si="232"/>
        <v>60</v>
      </c>
      <c r="J1418">
        <f t="shared" si="233"/>
        <v>1331</v>
      </c>
      <c r="K1418" s="5">
        <f t="shared" si="234"/>
        <v>0</v>
      </c>
      <c r="L1418">
        <f t="shared" si="235"/>
        <v>85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-167.52179761449125</v>
      </c>
      <c r="F1419" s="1">
        <f t="shared" si="241"/>
        <v>-169.5238304236903</v>
      </c>
      <c r="G1419" s="1">
        <f t="shared" si="238"/>
        <v>2.380871168443077E-74</v>
      </c>
      <c r="H1419" s="1">
        <f t="shared" si="231"/>
        <v>2.3369984389748017E-75</v>
      </c>
      <c r="I1419">
        <f t="shared" si="232"/>
        <v>60</v>
      </c>
      <c r="J1419">
        <f t="shared" si="233"/>
        <v>1332</v>
      </c>
      <c r="K1419" s="5">
        <f t="shared" si="234"/>
        <v>0</v>
      </c>
      <c r="L1419">
        <f t="shared" si="235"/>
        <v>85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-167.64349454946878</v>
      </c>
      <c r="F1420" s="1">
        <f t="shared" si="241"/>
        <v>-169.64552735866783</v>
      </c>
      <c r="G1420" s="1">
        <f t="shared" si="238"/>
        <v>2.1080630137256081E-74</v>
      </c>
      <c r="H1420" s="1">
        <f t="shared" si="231"/>
        <v>2.0692173678422399E-75</v>
      </c>
      <c r="I1420">
        <f t="shared" si="232"/>
        <v>60</v>
      </c>
      <c r="J1420">
        <f t="shared" si="233"/>
        <v>1333</v>
      </c>
      <c r="K1420" s="5">
        <f t="shared" si="234"/>
        <v>0</v>
      </c>
      <c r="L1420">
        <f t="shared" si="235"/>
        <v>85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-167.76519148444632</v>
      </c>
      <c r="F1421" s="1">
        <f t="shared" si="241"/>
        <v>-169.76722429364537</v>
      </c>
      <c r="G1421" s="1">
        <f t="shared" si="238"/>
        <v>1.8665141267361861E-74</v>
      </c>
      <c r="H1421" s="1">
        <f t="shared" si="231"/>
        <v>1.8321195444436211E-75</v>
      </c>
      <c r="I1421">
        <f t="shared" si="232"/>
        <v>60</v>
      </c>
      <c r="J1421">
        <f t="shared" si="233"/>
        <v>1334</v>
      </c>
      <c r="K1421" s="5">
        <f t="shared" si="234"/>
        <v>0</v>
      </c>
      <c r="L1421">
        <f t="shared" si="235"/>
        <v>85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-167.88688841942385</v>
      </c>
      <c r="F1422" s="1">
        <f t="shared" si="241"/>
        <v>-169.88892122862291</v>
      </c>
      <c r="G1422" s="1">
        <f t="shared" si="238"/>
        <v>1.6526427163809724E-74</v>
      </c>
      <c r="H1422" s="1">
        <f t="shared" si="231"/>
        <v>1.6221891799760974E-75</v>
      </c>
      <c r="I1422">
        <f t="shared" si="232"/>
        <v>60</v>
      </c>
      <c r="J1422">
        <f t="shared" si="233"/>
        <v>1335</v>
      </c>
      <c r="K1422" s="5">
        <f t="shared" si="234"/>
        <v>0</v>
      </c>
      <c r="L1422">
        <f t="shared" si="235"/>
        <v>85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-168.00858535440139</v>
      </c>
      <c r="F1423" s="1">
        <f t="shared" si="241"/>
        <v>-170.01061816360044</v>
      </c>
      <c r="G1423" s="1">
        <f t="shared" si="238"/>
        <v>1.4632774051289632E-74</v>
      </c>
      <c r="H1423" s="1">
        <f t="shared" si="231"/>
        <v>1.4363133364371473E-75</v>
      </c>
      <c r="I1423">
        <f t="shared" si="232"/>
        <v>60</v>
      </c>
      <c r="J1423">
        <f t="shared" si="233"/>
        <v>1336</v>
      </c>
      <c r="K1423" s="5">
        <f t="shared" si="234"/>
        <v>0</v>
      </c>
      <c r="L1423">
        <f t="shared" si="235"/>
        <v>85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-168.13028228937893</v>
      </c>
      <c r="F1424" s="1">
        <f t="shared" si="241"/>
        <v>-170.13231509857798</v>
      </c>
      <c r="G1424" s="1">
        <f t="shared" si="238"/>
        <v>1.2956102024579158E-74</v>
      </c>
      <c r="H1424" s="1">
        <f t="shared" si="231"/>
        <v>1.2717357666370376E-75</v>
      </c>
      <c r="I1424">
        <f t="shared" si="232"/>
        <v>60</v>
      </c>
      <c r="J1424">
        <f t="shared" si="233"/>
        <v>1337</v>
      </c>
      <c r="K1424" s="5">
        <f t="shared" si="234"/>
        <v>0</v>
      </c>
      <c r="L1424">
        <f t="shared" si="235"/>
        <v>85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-168.25197922435646</v>
      </c>
      <c r="F1425" s="1">
        <f t="shared" si="241"/>
        <v>-170.25401203355551</v>
      </c>
      <c r="G1425" s="1">
        <f t="shared" si="238"/>
        <v>1.147154866759595E-74</v>
      </c>
      <c r="H1425" s="1">
        <f t="shared" si="231"/>
        <v>1.1260160433765259E-75</v>
      </c>
      <c r="I1425">
        <f t="shared" si="232"/>
        <v>60</v>
      </c>
      <c r="J1425">
        <f t="shared" si="233"/>
        <v>1338</v>
      </c>
      <c r="K1425" s="5">
        <f t="shared" si="234"/>
        <v>0</v>
      </c>
      <c r="L1425">
        <f t="shared" si="235"/>
        <v>85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-168.373676159334</v>
      </c>
      <c r="F1426" s="1">
        <f t="shared" si="241"/>
        <v>-170.37570896853305</v>
      </c>
      <c r="G1426" s="1">
        <f t="shared" si="238"/>
        <v>1.0157100382767089E-74</v>
      </c>
      <c r="H1426" s="1">
        <f t="shared" si="231"/>
        <v>9.969933717396169E-76</v>
      </c>
      <c r="I1426">
        <f t="shared" si="232"/>
        <v>60</v>
      </c>
      <c r="J1426">
        <f t="shared" si="233"/>
        <v>1339</v>
      </c>
      <c r="K1426" s="5">
        <f t="shared" si="234"/>
        <v>0</v>
      </c>
      <c r="L1426">
        <f t="shared" si="235"/>
        <v>85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-168.49537309431153</v>
      </c>
      <c r="F1427" s="1">
        <f t="shared" si="241"/>
        <v>-170.49740590351058</v>
      </c>
      <c r="G1427" s="1">
        <f t="shared" si="238"/>
        <v>8.99326596390822E-75</v>
      </c>
      <c r="H1427" s="1">
        <f t="shared" si="231"/>
        <v>8.8275454789443868E-76</v>
      </c>
      <c r="I1427">
        <f t="shared" si="232"/>
        <v>60</v>
      </c>
      <c r="J1427">
        <f t="shared" si="233"/>
        <v>1340</v>
      </c>
      <c r="K1427" s="5">
        <f t="shared" si="234"/>
        <v>0</v>
      </c>
      <c r="L1427">
        <f t="shared" si="235"/>
        <v>85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-168.61707002928907</v>
      </c>
      <c r="F1428" s="1">
        <f t="shared" si="241"/>
        <v>-170.61910283848812</v>
      </c>
      <c r="G1428" s="1">
        <f t="shared" si="238"/>
        <v>7.9627875722102781E-75</v>
      </c>
      <c r="H1428" s="1">
        <f t="shared" si="231"/>
        <v>7.81605589281522E-76</v>
      </c>
      <c r="I1428">
        <f t="shared" si="232"/>
        <v>60</v>
      </c>
      <c r="J1428">
        <f t="shared" si="233"/>
        <v>1341</v>
      </c>
      <c r="K1428" s="5">
        <f t="shared" si="234"/>
        <v>0</v>
      </c>
      <c r="L1428">
        <f t="shared" si="235"/>
        <v>85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-168.7387669642666</v>
      </c>
      <c r="F1429" s="1">
        <f t="shared" si="241"/>
        <v>-170.74079977346565</v>
      </c>
      <c r="G1429" s="1">
        <f t="shared" si="238"/>
        <v>7.0503848295610732E-75</v>
      </c>
      <c r="H1429" s="1">
        <f t="shared" si="231"/>
        <v>6.9204661550967008E-76</v>
      </c>
      <c r="I1429">
        <f t="shared" si="232"/>
        <v>60</v>
      </c>
      <c r="J1429">
        <f t="shared" si="233"/>
        <v>1342</v>
      </c>
      <c r="K1429" s="5">
        <f t="shared" si="234"/>
        <v>0</v>
      </c>
      <c r="L1429">
        <f t="shared" si="235"/>
        <v>85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-168.86046389924414</v>
      </c>
      <c r="F1430" s="1">
        <f t="shared" si="241"/>
        <v>-170.86249670844319</v>
      </c>
      <c r="G1430" s="1">
        <f t="shared" si="238"/>
        <v>6.2425282345071029E-75</v>
      </c>
      <c r="H1430" s="1">
        <f t="shared" si="231"/>
        <v>6.127496074825108E-76</v>
      </c>
      <c r="I1430">
        <f t="shared" si="232"/>
        <v>60</v>
      </c>
      <c r="J1430">
        <f t="shared" si="233"/>
        <v>1343</v>
      </c>
      <c r="K1430" s="5">
        <f t="shared" si="234"/>
        <v>0</v>
      </c>
      <c r="L1430">
        <f t="shared" si="235"/>
        <v>85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-168.98216083422167</v>
      </c>
      <c r="F1431" s="1">
        <f t="shared" si="241"/>
        <v>-170.98419364342072</v>
      </c>
      <c r="G1431" s="1">
        <f t="shared" si="238"/>
        <v>5.5272385409697446E-75</v>
      </c>
      <c r="H1431" s="1">
        <f t="shared" ref="H1431:H1494" si="242">G1431/$G$21</f>
        <v>5.4253871495846472E-76</v>
      </c>
      <c r="I1431">
        <f t="shared" ref="I1431:I1494" si="243">IF($F$11&lt;=D1431, IF(D1431&lt;=$A$15,D1431-$F$11,$C$11),0)</f>
        <v>60</v>
      </c>
      <c r="J1431">
        <f t="shared" ref="J1431:J1494" si="244">IF(D1431&lt;=$A$15,0,D1431-$A$15)</f>
        <v>1344</v>
      </c>
      <c r="K1431" s="5">
        <f t="shared" ref="K1431:K1494" si="245">IF(D1431&lt;$F$11,H1431,0)</f>
        <v>0</v>
      </c>
      <c r="L1431">
        <f t="shared" ref="L1431:L1494" si="246">IF(D1431&lt;$A$15,$D$11,$D$11*(1-$H$11))</f>
        <v>85</v>
      </c>
      <c r="M1431">
        <f t="shared" ref="M1431:M1494" si="247">IF(D1431&lt;$A$15,0,1)</f>
        <v>1</v>
      </c>
      <c r="N1431">
        <f t="shared" ref="N1431:N1494" si="248">IF(SUM(I1431:J1431)&lt;=($G$11/60*$F$11/($E$11/60)),1,0)</f>
        <v>0</v>
      </c>
    </row>
    <row r="1432" spans="4:14" x14ac:dyDescent="0.2">
      <c r="D1432">
        <f t="shared" si="239"/>
        <v>1409</v>
      </c>
      <c r="E1432" s="1">
        <f t="shared" si="240"/>
        <v>-169.10385776919921</v>
      </c>
      <c r="F1432" s="1">
        <f t="shared" si="241"/>
        <v>-171.10589057839826</v>
      </c>
      <c r="G1432" s="1">
        <f t="shared" ref="G1432:G1495" si="249">EXP(F1432)</f>
        <v>4.8939091248168842E-75</v>
      </c>
      <c r="H1432" s="1">
        <f t="shared" si="242"/>
        <v>4.8037282053613304E-76</v>
      </c>
      <c r="I1432">
        <f t="shared" si="243"/>
        <v>60</v>
      </c>
      <c r="J1432">
        <f t="shared" si="244"/>
        <v>1345</v>
      </c>
      <c r="K1432" s="5">
        <f t="shared" si="245"/>
        <v>0</v>
      </c>
      <c r="L1432">
        <f t="shared" si="246"/>
        <v>85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IF($H$11=1,IF(D1433&lt;=$A$15, E1432+LN($D$11)-LN(60/$E$11)-LN(MIN(D1433,$F$11)), E1432-LN(60/$E$11)-LN(MIN(D1433,$F$11))), IF(D1433&lt;=$A$15, E1432+LN($D$11)-LN(60/$E$11)-LN(MIN(D1433,$F$11)), E1432+LN($D$11)+LN(1-$H$11)-LN(60/$E$11)-LN(MIN(D1433,$F$11))))</f>
        <v>-169.22555470417674</v>
      </c>
      <c r="F1433" s="1">
        <f t="shared" ref="F1433:F1496" si="252">E1433-$E$21</f>
        <v>-171.22758751337579</v>
      </c>
      <c r="G1433" s="1">
        <f t="shared" si="249"/>
        <v>4.3331487042648819E-75</v>
      </c>
      <c r="H1433" s="1">
        <f t="shared" si="242"/>
        <v>4.2533010151636118E-76</v>
      </c>
      <c r="I1433">
        <f t="shared" si="243"/>
        <v>60</v>
      </c>
      <c r="J1433">
        <f t="shared" si="244"/>
        <v>1346</v>
      </c>
      <c r="K1433" s="5">
        <f t="shared" si="245"/>
        <v>0</v>
      </c>
      <c r="L1433">
        <f t="shared" si="246"/>
        <v>85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-169.34725163915428</v>
      </c>
      <c r="F1434" s="1">
        <f t="shared" si="252"/>
        <v>-171.34928444835333</v>
      </c>
      <c r="G1434" s="1">
        <f t="shared" si="249"/>
        <v>3.8366420819011375E-75</v>
      </c>
      <c r="H1434" s="1">
        <f t="shared" si="242"/>
        <v>3.7659436071760555E-76</v>
      </c>
      <c r="I1434">
        <f t="shared" si="243"/>
        <v>60</v>
      </c>
      <c r="J1434">
        <f t="shared" si="244"/>
        <v>1347</v>
      </c>
      <c r="K1434" s="5">
        <f t="shared" si="245"/>
        <v>0</v>
      </c>
      <c r="L1434">
        <f t="shared" si="246"/>
        <v>85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-169.46894857413182</v>
      </c>
      <c r="F1435" s="1">
        <f t="shared" si="252"/>
        <v>-171.47098138333087</v>
      </c>
      <c r="G1435" s="1">
        <f t="shared" si="249"/>
        <v>3.3970268433499123E-75</v>
      </c>
      <c r="H1435" s="1">
        <f t="shared" si="242"/>
        <v>3.3344292355204137E-76</v>
      </c>
      <c r="I1435">
        <f t="shared" si="243"/>
        <v>60</v>
      </c>
      <c r="J1435">
        <f t="shared" si="244"/>
        <v>1348</v>
      </c>
      <c r="K1435" s="5">
        <f t="shared" si="245"/>
        <v>0</v>
      </c>
      <c r="L1435">
        <f t="shared" si="246"/>
        <v>85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-169.59064550910935</v>
      </c>
      <c r="F1436" s="1">
        <f t="shared" si="252"/>
        <v>-171.5926783183084</v>
      </c>
      <c r="G1436" s="1">
        <f t="shared" si="249"/>
        <v>3.0077841842160214E-75</v>
      </c>
      <c r="H1436" s="1">
        <f t="shared" si="242"/>
        <v>2.9523592189503202E-76</v>
      </c>
      <c r="I1436">
        <f t="shared" si="243"/>
        <v>60</v>
      </c>
      <c r="J1436">
        <f t="shared" si="244"/>
        <v>1349</v>
      </c>
      <c r="K1436" s="5">
        <f t="shared" si="245"/>
        <v>0</v>
      </c>
      <c r="L1436">
        <f t="shared" si="246"/>
        <v>85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-169.71234244408689</v>
      </c>
      <c r="F1437" s="1">
        <f t="shared" si="252"/>
        <v>-171.71437525328594</v>
      </c>
      <c r="G1437" s="1">
        <f t="shared" si="249"/>
        <v>2.6631422464412273E-75</v>
      </c>
      <c r="H1437" s="1">
        <f t="shared" si="242"/>
        <v>2.6140680584455553E-76</v>
      </c>
      <c r="I1437">
        <f t="shared" si="243"/>
        <v>60</v>
      </c>
      <c r="J1437">
        <f t="shared" si="244"/>
        <v>1350</v>
      </c>
      <c r="K1437" s="5">
        <f t="shared" si="245"/>
        <v>0</v>
      </c>
      <c r="L1437">
        <f t="shared" si="246"/>
        <v>85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-169.83403937906442</v>
      </c>
      <c r="F1438" s="1">
        <f t="shared" si="252"/>
        <v>-171.83607218826347</v>
      </c>
      <c r="G1438" s="1">
        <f t="shared" si="249"/>
        <v>2.3579905307031332E-75</v>
      </c>
      <c r="H1438" s="1">
        <f t="shared" si="242"/>
        <v>2.3145394267486326E-76</v>
      </c>
      <c r="I1438">
        <f t="shared" si="243"/>
        <v>60</v>
      </c>
      <c r="J1438">
        <f t="shared" si="244"/>
        <v>1351</v>
      </c>
      <c r="K1438" s="5">
        <f t="shared" si="245"/>
        <v>0</v>
      </c>
      <c r="L1438">
        <f t="shared" si="246"/>
        <v>85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-169.95573631404196</v>
      </c>
      <c r="F1439" s="1">
        <f t="shared" si="252"/>
        <v>-171.95776912324101</v>
      </c>
      <c r="G1439" s="1">
        <f t="shared" si="249"/>
        <v>2.0878041157266999E-75</v>
      </c>
      <c r="H1439" s="1">
        <f t="shared" si="242"/>
        <v>2.0493317841003196E-76</v>
      </c>
      <c r="I1439">
        <f t="shared" si="243"/>
        <v>60</v>
      </c>
      <c r="J1439">
        <f t="shared" si="244"/>
        <v>1352</v>
      </c>
      <c r="K1439" s="5">
        <f t="shared" si="245"/>
        <v>0</v>
      </c>
      <c r="L1439">
        <f t="shared" si="246"/>
        <v>85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-170.07743324901949</v>
      </c>
      <c r="F1440" s="1">
        <f t="shared" si="252"/>
        <v>-172.07946605821854</v>
      </c>
      <c r="G1440" s="1">
        <f t="shared" si="249"/>
        <v>1.8485765607996532E-75</v>
      </c>
      <c r="H1440" s="1">
        <f t="shared" si="242"/>
        <v>1.8145125171721296E-76</v>
      </c>
      <c r="I1440">
        <f t="shared" si="243"/>
        <v>60</v>
      </c>
      <c r="J1440">
        <f t="shared" si="244"/>
        <v>1353</v>
      </c>
      <c r="K1440" s="5">
        <f t="shared" si="245"/>
        <v>0</v>
      </c>
      <c r="L1440">
        <f t="shared" si="246"/>
        <v>85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-170.19913018399703</v>
      </c>
      <c r="F1441" s="1">
        <f t="shared" si="252"/>
        <v>-172.20116299319608</v>
      </c>
      <c r="G1441" s="1">
        <f t="shared" si="249"/>
        <v>1.636760496541334E-75</v>
      </c>
      <c r="H1441" s="1">
        <f t="shared" si="242"/>
        <v>1.6065996245794647E-76</v>
      </c>
      <c r="I1441">
        <f t="shared" si="243"/>
        <v>60</v>
      </c>
      <c r="J1441">
        <f t="shared" si="244"/>
        <v>1354</v>
      </c>
      <c r="K1441" s="5">
        <f t="shared" si="245"/>
        <v>0</v>
      </c>
      <c r="L1441">
        <f t="shared" si="246"/>
        <v>85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-170.32082711897456</v>
      </c>
      <c r="F1442" s="1">
        <f t="shared" si="252"/>
        <v>-172.32285992817361</v>
      </c>
      <c r="G1442" s="1">
        <f t="shared" si="249"/>
        <v>1.4492150229792835E-75</v>
      </c>
      <c r="H1442" s="1">
        <f t="shared" si="242"/>
        <v>1.4225100842630455E-76</v>
      </c>
      <c r="I1442">
        <f t="shared" si="243"/>
        <v>60</v>
      </c>
      <c r="J1442">
        <f t="shared" si="244"/>
        <v>1355</v>
      </c>
      <c r="K1442" s="5">
        <f t="shared" si="245"/>
        <v>0</v>
      </c>
      <c r="L1442">
        <f t="shared" si="246"/>
        <v>85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-170.4425240539521</v>
      </c>
      <c r="F1443" s="1">
        <f t="shared" si="252"/>
        <v>-172.44455686315115</v>
      </c>
      <c r="G1443" s="1">
        <f t="shared" si="249"/>
        <v>1.283159134929554E-75</v>
      </c>
      <c r="H1443" s="1">
        <f t="shared" si="242"/>
        <v>1.2595141371078852E-76</v>
      </c>
      <c r="I1443">
        <f t="shared" si="243"/>
        <v>60</v>
      </c>
      <c r="J1443">
        <f t="shared" si="244"/>
        <v>1356</v>
      </c>
      <c r="K1443" s="5">
        <f t="shared" si="245"/>
        <v>0</v>
      </c>
      <c r="L1443">
        <f t="shared" si="246"/>
        <v>85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-170.56422098892963</v>
      </c>
      <c r="F1444" s="1">
        <f t="shared" si="252"/>
        <v>-172.56625379812868</v>
      </c>
      <c r="G1444" s="1">
        <f t="shared" si="249"/>
        <v>1.1361304840521914E-75</v>
      </c>
      <c r="H1444" s="1">
        <f t="shared" si="242"/>
        <v>1.1151948088975892E-76</v>
      </c>
      <c r="I1444">
        <f t="shared" si="243"/>
        <v>60</v>
      </c>
      <c r="J1444">
        <f t="shared" si="244"/>
        <v>1357</v>
      </c>
      <c r="K1444" s="5">
        <f t="shared" si="245"/>
        <v>0</v>
      </c>
      <c r="L1444">
        <f t="shared" si="246"/>
        <v>85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-170.68591792390717</v>
      </c>
      <c r="F1445" s="1">
        <f t="shared" si="252"/>
        <v>-172.68795073310622</v>
      </c>
      <c r="G1445" s="1">
        <f t="shared" si="249"/>
        <v>1.005948866087862E-75</v>
      </c>
      <c r="H1445" s="1">
        <f t="shared" si="242"/>
        <v>9.8741207037805835E-77</v>
      </c>
      <c r="I1445">
        <f t="shared" si="243"/>
        <v>60</v>
      </c>
      <c r="J1445">
        <f t="shared" si="244"/>
        <v>1358</v>
      </c>
      <c r="K1445" s="5">
        <f t="shared" si="245"/>
        <v>0</v>
      </c>
      <c r="L1445">
        <f t="shared" si="246"/>
        <v>85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-170.8076148588847</v>
      </c>
      <c r="F1446" s="1">
        <f t="shared" si="252"/>
        <v>-172.80964766808376</v>
      </c>
      <c r="G1446" s="1">
        <f t="shared" si="249"/>
        <v>8.9068389184861389E-76</v>
      </c>
      <c r="H1446" s="1">
        <f t="shared" si="242"/>
        <v>8.7427110398055878E-77</v>
      </c>
      <c r="I1446">
        <f t="shared" si="243"/>
        <v>60</v>
      </c>
      <c r="J1446">
        <f t="shared" si="244"/>
        <v>1359</v>
      </c>
      <c r="K1446" s="5">
        <f t="shared" si="245"/>
        <v>0</v>
      </c>
      <c r="L1446">
        <f t="shared" si="246"/>
        <v>85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-170.92931179386224</v>
      </c>
      <c r="F1447" s="1">
        <f t="shared" si="252"/>
        <v>-172.93134460306129</v>
      </c>
      <c r="G1447" s="1">
        <f t="shared" si="249"/>
        <v>7.8862636257428129E-76</v>
      </c>
      <c r="H1447" s="1">
        <f t="shared" si="242"/>
        <v>7.7409420664944098E-77</v>
      </c>
      <c r="I1447">
        <f t="shared" si="243"/>
        <v>60</v>
      </c>
      <c r="J1447">
        <f t="shared" si="244"/>
        <v>1360</v>
      </c>
      <c r="K1447" s="5">
        <f t="shared" si="245"/>
        <v>0</v>
      </c>
      <c r="L1447">
        <f t="shared" si="246"/>
        <v>85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-171.05100872883978</v>
      </c>
      <c r="F1448" s="1">
        <f t="shared" si="252"/>
        <v>-173.05304153803883</v>
      </c>
      <c r="G1448" s="1">
        <f t="shared" si="249"/>
        <v>6.9826292519596731E-76</v>
      </c>
      <c r="H1448" s="1">
        <f t="shared" si="242"/>
        <v>6.8539591213751519E-77</v>
      </c>
      <c r="I1448">
        <f t="shared" si="243"/>
        <v>60</v>
      </c>
      <c r="J1448">
        <f t="shared" si="244"/>
        <v>1361</v>
      </c>
      <c r="K1448" s="5">
        <f t="shared" si="245"/>
        <v>0</v>
      </c>
      <c r="L1448">
        <f t="shared" si="246"/>
        <v>85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-171.17270566381731</v>
      </c>
      <c r="F1449" s="1">
        <f t="shared" si="252"/>
        <v>-173.17473847301636</v>
      </c>
      <c r="G1449" s="1">
        <f t="shared" si="249"/>
        <v>6.1825363168391964E-76</v>
      </c>
      <c r="H1449" s="1">
        <f t="shared" si="242"/>
        <v>6.0686096387174867E-77</v>
      </c>
      <c r="I1449">
        <f t="shared" si="243"/>
        <v>60</v>
      </c>
      <c r="J1449">
        <f t="shared" si="244"/>
        <v>1362</v>
      </c>
      <c r="K1449" s="5">
        <f t="shared" si="245"/>
        <v>0</v>
      </c>
      <c r="L1449">
        <f t="shared" si="246"/>
        <v>85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-171.29440259879485</v>
      </c>
      <c r="F1450" s="1">
        <f t="shared" si="252"/>
        <v>-173.2964354079939</v>
      </c>
      <c r="G1450" s="1">
        <f t="shared" si="249"/>
        <v>5.474120697201287E-76</v>
      </c>
      <c r="H1450" s="1">
        <f t="shared" si="242"/>
        <v>5.3732481176143579E-77</v>
      </c>
      <c r="I1450">
        <f t="shared" si="243"/>
        <v>60</v>
      </c>
      <c r="J1450">
        <f t="shared" si="244"/>
        <v>1363</v>
      </c>
      <c r="K1450" s="5">
        <f t="shared" si="245"/>
        <v>0</v>
      </c>
      <c r="L1450">
        <f t="shared" si="246"/>
        <v>85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-171.41609953377238</v>
      </c>
      <c r="F1451" s="1">
        <f t="shared" si="252"/>
        <v>-173.41813234297143</v>
      </c>
      <c r="G1451" s="1">
        <f t="shared" si="249"/>
        <v>4.8468777006468966E-76</v>
      </c>
      <c r="H1451" s="1">
        <f t="shared" si="242"/>
        <v>4.7575634374709716E-77</v>
      </c>
      <c r="I1451">
        <f t="shared" si="243"/>
        <v>60</v>
      </c>
      <c r="J1451">
        <f t="shared" si="244"/>
        <v>1364</v>
      </c>
      <c r="K1451" s="5">
        <f t="shared" si="245"/>
        <v>0</v>
      </c>
      <c r="L1451">
        <f t="shared" si="246"/>
        <v>85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-171.53779646874992</v>
      </c>
      <c r="F1452" s="1">
        <f t="shared" si="252"/>
        <v>-173.53982927794897</v>
      </c>
      <c r="G1452" s="1">
        <f t="shared" si="249"/>
        <v>4.2915062974477062E-76</v>
      </c>
      <c r="H1452" s="1">
        <f t="shared" si="242"/>
        <v>4.2124259602606903E-77</v>
      </c>
      <c r="I1452">
        <f t="shared" si="243"/>
        <v>60</v>
      </c>
      <c r="J1452">
        <f t="shared" si="244"/>
        <v>1365</v>
      </c>
      <c r="K1452" s="5">
        <f t="shared" si="245"/>
        <v>0</v>
      </c>
      <c r="L1452">
        <f t="shared" si="246"/>
        <v>85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-171.65949340372745</v>
      </c>
      <c r="F1453" s="1">
        <f t="shared" si="252"/>
        <v>-173.6615262129265</v>
      </c>
      <c r="G1453" s="1">
        <f t="shared" si="249"/>
        <v>3.7997712008650967E-76</v>
      </c>
      <c r="H1453" s="1">
        <f t="shared" si="242"/>
        <v>3.7297521523140944E-77</v>
      </c>
      <c r="I1453">
        <f t="shared" si="243"/>
        <v>60</v>
      </c>
      <c r="J1453">
        <f t="shared" si="244"/>
        <v>1366</v>
      </c>
      <c r="K1453" s="5">
        <f t="shared" si="245"/>
        <v>0</v>
      </c>
      <c r="L1453">
        <f t="shared" si="246"/>
        <v>85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-171.78119033870499</v>
      </c>
      <c r="F1454" s="1">
        <f t="shared" si="252"/>
        <v>-173.78322314790404</v>
      </c>
      <c r="G1454" s="1">
        <f t="shared" si="249"/>
        <v>3.3643807507659189E-76</v>
      </c>
      <c r="H1454" s="1">
        <f t="shared" si="242"/>
        <v>3.3023847181947195E-77</v>
      </c>
      <c r="I1454">
        <f t="shared" si="243"/>
        <v>60</v>
      </c>
      <c r="J1454">
        <f t="shared" si="244"/>
        <v>1367</v>
      </c>
      <c r="K1454" s="5">
        <f t="shared" si="245"/>
        <v>0</v>
      </c>
      <c r="L1454">
        <f t="shared" si="246"/>
        <v>85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-171.90288727368252</v>
      </c>
      <c r="F1455" s="1">
        <f t="shared" si="252"/>
        <v>-173.90492008288157</v>
      </c>
      <c r="G1455" s="1">
        <f t="shared" si="249"/>
        <v>2.9788787897406108E-76</v>
      </c>
      <c r="H1455" s="1">
        <f t="shared" si="242"/>
        <v>2.9239864692348625E-77</v>
      </c>
      <c r="I1455">
        <f t="shared" si="243"/>
        <v>60</v>
      </c>
      <c r="J1455">
        <f t="shared" si="244"/>
        <v>1368</v>
      </c>
      <c r="K1455" s="5">
        <f t="shared" si="245"/>
        <v>0</v>
      </c>
      <c r="L1455">
        <f t="shared" si="246"/>
        <v>85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-172.02458420866006</v>
      </c>
      <c r="F1456" s="1">
        <f t="shared" si="252"/>
        <v>-174.02661701785911</v>
      </c>
      <c r="G1456" s="1">
        <f t="shared" si="249"/>
        <v>2.6375489284161244E-76</v>
      </c>
      <c r="H1456" s="1">
        <f t="shared" si="242"/>
        <v>2.588946352968327E-77</v>
      </c>
      <c r="I1456">
        <f t="shared" si="243"/>
        <v>60</v>
      </c>
      <c r="J1456">
        <f t="shared" si="244"/>
        <v>1369</v>
      </c>
      <c r="K1456" s="5">
        <f t="shared" si="245"/>
        <v>0</v>
      </c>
      <c r="L1456">
        <f t="shared" si="246"/>
        <v>85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-172.14628114363759</v>
      </c>
      <c r="F1457" s="1">
        <f t="shared" si="252"/>
        <v>-174.14831395283665</v>
      </c>
      <c r="G1457" s="1">
        <f t="shared" si="249"/>
        <v>2.3353297803684069E-76</v>
      </c>
      <c r="H1457" s="1">
        <f t="shared" si="242"/>
        <v>2.2922962500240036E-77</v>
      </c>
      <c r="I1457">
        <f t="shared" si="243"/>
        <v>60</v>
      </c>
      <c r="J1457">
        <f t="shared" si="244"/>
        <v>1370</v>
      </c>
      <c r="K1457" s="5">
        <f t="shared" si="245"/>
        <v>0</v>
      </c>
      <c r="L1457">
        <f t="shared" si="246"/>
        <v>85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-172.26797807861513</v>
      </c>
      <c r="F1458" s="1">
        <f t="shared" si="252"/>
        <v>-174.27001088781418</v>
      </c>
      <c r="G1458" s="1">
        <f t="shared" si="249"/>
        <v>2.0677399097011614E-76</v>
      </c>
      <c r="H1458" s="1">
        <f t="shared" si="242"/>
        <v>2.0296373047087217E-77</v>
      </c>
      <c r="I1458">
        <f t="shared" si="243"/>
        <v>60</v>
      </c>
      <c r="J1458">
        <f t="shared" si="244"/>
        <v>1371</v>
      </c>
      <c r="K1458" s="5">
        <f t="shared" si="245"/>
        <v>0</v>
      </c>
      <c r="L1458">
        <f t="shared" si="246"/>
        <v>85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-172.38967501359267</v>
      </c>
      <c r="F1459" s="1">
        <f t="shared" si="252"/>
        <v>-174.39170782279172</v>
      </c>
      <c r="G1459" s="1">
        <f t="shared" si="249"/>
        <v>1.8308113783812079E-76</v>
      </c>
      <c r="H1459" s="1">
        <f t="shared" si="242"/>
        <v>1.7970746968774857E-77</v>
      </c>
      <c r="I1459">
        <f t="shared" si="243"/>
        <v>60</v>
      </c>
      <c r="J1459">
        <f t="shared" si="244"/>
        <v>1372</v>
      </c>
      <c r="K1459" s="5">
        <f t="shared" si="245"/>
        <v>0</v>
      </c>
      <c r="L1459">
        <f t="shared" si="246"/>
        <v>85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-172.5113719485702</v>
      </c>
      <c r="F1460" s="1">
        <f t="shared" si="252"/>
        <v>-174.51340475776925</v>
      </c>
      <c r="G1460" s="1">
        <f t="shared" si="249"/>
        <v>1.6210309079416694E-76</v>
      </c>
      <c r="H1460" s="1">
        <f t="shared" si="242"/>
        <v>1.5911598878602491E-77</v>
      </c>
      <c r="I1460">
        <f t="shared" si="243"/>
        <v>60</v>
      </c>
      <c r="J1460">
        <f t="shared" si="244"/>
        <v>1373</v>
      </c>
      <c r="K1460" s="5">
        <f t="shared" si="245"/>
        <v>0</v>
      </c>
      <c r="L1460">
        <f t="shared" si="246"/>
        <v>85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-172.63306888354774</v>
      </c>
      <c r="F1461" s="1">
        <f t="shared" si="252"/>
        <v>-174.63510169274679</v>
      </c>
      <c r="G1461" s="1">
        <f t="shared" si="249"/>
        <v>1.4352877830733305E-76</v>
      </c>
      <c r="H1461" s="1">
        <f t="shared" si="242"/>
        <v>1.4088394840429067E-77</v>
      </c>
      <c r="I1461">
        <f t="shared" si="243"/>
        <v>60</v>
      </c>
      <c r="J1461">
        <f t="shared" si="244"/>
        <v>1374</v>
      </c>
      <c r="K1461" s="5">
        <f t="shared" si="245"/>
        <v>0</v>
      </c>
      <c r="L1461">
        <f t="shared" si="246"/>
        <v>85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-172.75476581852527</v>
      </c>
      <c r="F1462" s="1">
        <f t="shared" si="252"/>
        <v>-174.75679862772432</v>
      </c>
      <c r="G1462" s="1">
        <f t="shared" si="249"/>
        <v>1.2708277245961582E-76</v>
      </c>
      <c r="H1462" s="1">
        <f t="shared" si="242"/>
        <v>1.2474099598296375E-77</v>
      </c>
      <c r="I1462">
        <f t="shared" si="243"/>
        <v>60</v>
      </c>
      <c r="J1462">
        <f t="shared" si="244"/>
        <v>1375</v>
      </c>
      <c r="K1462" s="5">
        <f t="shared" si="245"/>
        <v>0</v>
      </c>
      <c r="L1462">
        <f t="shared" si="246"/>
        <v>85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-172.87646275350281</v>
      </c>
      <c r="F1463" s="1">
        <f t="shared" si="252"/>
        <v>-174.87849556270186</v>
      </c>
      <c r="G1463" s="1">
        <f t="shared" si="249"/>
        <v>1.1252120478194975E-76</v>
      </c>
      <c r="H1463" s="1">
        <f t="shared" si="242"/>
        <v>1.1044775685991411E-77</v>
      </c>
      <c r="I1463">
        <f t="shared" si="243"/>
        <v>60</v>
      </c>
      <c r="J1463">
        <f t="shared" si="244"/>
        <v>1376</v>
      </c>
      <c r="K1463" s="5">
        <f t="shared" si="245"/>
        <v>0</v>
      </c>
      <c r="L1463">
        <f t="shared" si="246"/>
        <v>85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-172.99815968848034</v>
      </c>
      <c r="F1464" s="1">
        <f t="shared" si="252"/>
        <v>-175.00019249767939</v>
      </c>
      <c r="G1464" s="1">
        <f t="shared" si="249"/>
        <v>9.9628150067349784E-77</v>
      </c>
      <c r="H1464" s="1">
        <f t="shared" si="242"/>
        <v>9.7792284719714078E-78</v>
      </c>
      <c r="I1464">
        <f t="shared" si="243"/>
        <v>60</v>
      </c>
      <c r="J1464">
        <f t="shared" si="244"/>
        <v>1377</v>
      </c>
      <c r="K1464" s="5">
        <f t="shared" si="245"/>
        <v>0</v>
      </c>
      <c r="L1464">
        <f t="shared" si="246"/>
        <v>85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-173.11985662345788</v>
      </c>
      <c r="F1465" s="1">
        <f t="shared" si="252"/>
        <v>-175.12188943265693</v>
      </c>
      <c r="G1465" s="1">
        <f t="shared" si="249"/>
        <v>8.8212424538797908E-77</v>
      </c>
      <c r="H1465" s="1">
        <f t="shared" si="242"/>
        <v>8.6586918762245496E-78</v>
      </c>
      <c r="I1465">
        <f t="shared" si="243"/>
        <v>60</v>
      </c>
      <c r="J1465">
        <f t="shared" si="244"/>
        <v>1378</v>
      </c>
      <c r="K1465" s="5">
        <f t="shared" si="245"/>
        <v>0</v>
      </c>
      <c r="L1465">
        <f t="shared" si="246"/>
        <v>85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-173.24155355843541</v>
      </c>
      <c r="F1466" s="1">
        <f t="shared" si="252"/>
        <v>-175.24358636763446</v>
      </c>
      <c r="G1466" s="1">
        <f t="shared" si="249"/>
        <v>7.8104750893726093E-77</v>
      </c>
      <c r="H1466" s="1">
        <f t="shared" si="242"/>
        <v>7.6665500987403659E-78</v>
      </c>
      <c r="I1466">
        <f t="shared" si="243"/>
        <v>60</v>
      </c>
      <c r="J1466">
        <f t="shared" si="244"/>
        <v>1379</v>
      </c>
      <c r="K1466" s="5">
        <f t="shared" si="245"/>
        <v>0</v>
      </c>
      <c r="L1466">
        <f t="shared" si="246"/>
        <v>85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-173.36325049341295</v>
      </c>
      <c r="F1467" s="1">
        <f t="shared" si="252"/>
        <v>-175.365283302612</v>
      </c>
      <c r="G1467" s="1">
        <f t="shared" si="249"/>
        <v>6.9155248187152231E-77</v>
      </c>
      <c r="H1467" s="1">
        <f t="shared" si="242"/>
        <v>6.7880912332595934E-78</v>
      </c>
      <c r="I1467">
        <f t="shared" si="243"/>
        <v>60</v>
      </c>
      <c r="J1467">
        <f t="shared" si="244"/>
        <v>1380</v>
      </c>
      <c r="K1467" s="5">
        <f t="shared" si="245"/>
        <v>0</v>
      </c>
      <c r="L1467">
        <f t="shared" si="246"/>
        <v>85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-173.48494742839048</v>
      </c>
      <c r="F1468" s="1">
        <f t="shared" si="252"/>
        <v>-175.48698023758953</v>
      </c>
      <c r="G1468" s="1">
        <f t="shared" si="249"/>
        <v>6.1231209332373409E-77</v>
      </c>
      <c r="H1468" s="1">
        <f t="shared" si="242"/>
        <v>6.0102891127818373E-78</v>
      </c>
      <c r="I1468">
        <f t="shared" si="243"/>
        <v>60</v>
      </c>
      <c r="J1468">
        <f t="shared" si="244"/>
        <v>1381</v>
      </c>
      <c r="K1468" s="5">
        <f t="shared" si="245"/>
        <v>0</v>
      </c>
      <c r="L1468">
        <f t="shared" si="246"/>
        <v>85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-173.60664436336802</v>
      </c>
      <c r="F1469" s="1">
        <f t="shared" si="252"/>
        <v>-175.60867717256707</v>
      </c>
      <c r="G1469" s="1">
        <f t="shared" si="249"/>
        <v>5.421513326303811E-77</v>
      </c>
      <c r="H1469" s="1">
        <f t="shared" si="242"/>
        <v>5.3216101519421681E-78</v>
      </c>
      <c r="I1469">
        <f t="shared" si="243"/>
        <v>60</v>
      </c>
      <c r="J1469">
        <f t="shared" si="244"/>
        <v>1382</v>
      </c>
      <c r="K1469" s="5">
        <f t="shared" si="245"/>
        <v>0</v>
      </c>
      <c r="L1469">
        <f t="shared" si="246"/>
        <v>85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-173.72834129834555</v>
      </c>
      <c r="F1470" s="1">
        <f t="shared" si="252"/>
        <v>-175.73037410754461</v>
      </c>
      <c r="G1470" s="1">
        <f t="shared" si="249"/>
        <v>4.8002982576647579E-77</v>
      </c>
      <c r="H1470" s="1">
        <f t="shared" si="242"/>
        <v>4.7118423220320548E-78</v>
      </c>
      <c r="I1470">
        <f t="shared" si="243"/>
        <v>60</v>
      </c>
      <c r="J1470">
        <f t="shared" si="244"/>
        <v>1383</v>
      </c>
      <c r="K1470" s="5">
        <f t="shared" si="245"/>
        <v>0</v>
      </c>
      <c r="L1470">
        <f t="shared" si="246"/>
        <v>85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-173.85003823332309</v>
      </c>
      <c r="F1471" s="1">
        <f t="shared" si="252"/>
        <v>-175.85207104252214</v>
      </c>
      <c r="G1471" s="1">
        <f t="shared" si="249"/>
        <v>4.2502640823072712E-77</v>
      </c>
      <c r="H1471" s="1">
        <f t="shared" si="242"/>
        <v>4.171943722632483E-78</v>
      </c>
      <c r="I1471">
        <f t="shared" si="243"/>
        <v>60</v>
      </c>
      <c r="J1471">
        <f t="shared" si="244"/>
        <v>1384</v>
      </c>
      <c r="K1471" s="5">
        <f t="shared" si="245"/>
        <v>0</v>
      </c>
      <c r="L1471">
        <f t="shared" si="246"/>
        <v>85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-173.97173516830063</v>
      </c>
      <c r="F1472" s="1">
        <f t="shared" si="252"/>
        <v>-175.97376797749968</v>
      </c>
      <c r="G1472" s="1">
        <f t="shared" si="249"/>
        <v>3.7632546562095042E-77</v>
      </c>
      <c r="H1472" s="1">
        <f t="shared" si="242"/>
        <v>3.6939085044141201E-78</v>
      </c>
      <c r="I1472">
        <f t="shared" si="243"/>
        <v>60</v>
      </c>
      <c r="J1472">
        <f t="shared" si="244"/>
        <v>1385</v>
      </c>
      <c r="K1472" s="5">
        <f t="shared" si="245"/>
        <v>0</v>
      </c>
      <c r="L1472">
        <f t="shared" si="246"/>
        <v>85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-174.09343210327816</v>
      </c>
      <c r="F1473" s="1">
        <f t="shared" si="252"/>
        <v>-176.09546491247721</v>
      </c>
      <c r="G1473" s="1">
        <f t="shared" si="249"/>
        <v>3.3320483935187795E-77</v>
      </c>
      <c r="H1473" s="1">
        <f t="shared" si="242"/>
        <v>3.2706481549499508E-78</v>
      </c>
      <c r="I1473">
        <f t="shared" si="243"/>
        <v>60</v>
      </c>
      <c r="J1473">
        <f t="shared" si="244"/>
        <v>1386</v>
      </c>
      <c r="K1473" s="5">
        <f t="shared" si="245"/>
        <v>0</v>
      </c>
      <c r="L1473">
        <f t="shared" si="246"/>
        <v>85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-174.2151290382557</v>
      </c>
      <c r="F1474" s="1">
        <f t="shared" si="252"/>
        <v>-176.21716184745475</v>
      </c>
      <c r="G1474" s="1">
        <f t="shared" si="249"/>
        <v>2.9502511817613731E-77</v>
      </c>
      <c r="H1474" s="1">
        <f t="shared" si="242"/>
        <v>2.8958863871952235E-78</v>
      </c>
      <c r="I1474">
        <f t="shared" si="243"/>
        <v>60</v>
      </c>
      <c r="J1474">
        <f t="shared" si="244"/>
        <v>1387</v>
      </c>
      <c r="K1474" s="5">
        <f t="shared" si="245"/>
        <v>0</v>
      </c>
      <c r="L1474">
        <f t="shared" si="246"/>
        <v>85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-174.33682597323323</v>
      </c>
      <c r="F1475" s="1">
        <f t="shared" si="252"/>
        <v>-176.33885878243228</v>
      </c>
      <c r="G1475" s="1">
        <f t="shared" si="249"/>
        <v>2.6122015671845083E-77</v>
      </c>
      <c r="H1475" s="1">
        <f t="shared" si="242"/>
        <v>2.5640660719957308E-78</v>
      </c>
      <c r="I1475">
        <f t="shared" si="243"/>
        <v>60</v>
      </c>
      <c r="J1475">
        <f t="shared" si="244"/>
        <v>1388</v>
      </c>
      <c r="K1475" s="5">
        <f t="shared" si="245"/>
        <v>0</v>
      </c>
      <c r="L1475">
        <f t="shared" si="246"/>
        <v>85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-174.45852290821077</v>
      </c>
      <c r="F1476" s="1">
        <f t="shared" si="252"/>
        <v>-176.46055571740982</v>
      </c>
      <c r="G1476" s="1">
        <f t="shared" si="249"/>
        <v>2.3128868042779141E-77</v>
      </c>
      <c r="H1476" s="1">
        <f t="shared" si="242"/>
        <v>2.2702668345795178E-78</v>
      </c>
      <c r="I1476">
        <f t="shared" si="243"/>
        <v>60</v>
      </c>
      <c r="J1476">
        <f t="shared" si="244"/>
        <v>1389</v>
      </c>
      <c r="K1476" s="5">
        <f t="shared" si="245"/>
        <v>0</v>
      </c>
      <c r="L1476">
        <f t="shared" si="246"/>
        <v>85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-174.5802198431883</v>
      </c>
      <c r="F1477" s="1">
        <f t="shared" si="252"/>
        <v>-176.58225265238735</v>
      </c>
      <c r="G1477" s="1">
        <f t="shared" si="249"/>
        <v>2.0478685246210376E-77</v>
      </c>
      <c r="H1477" s="1">
        <f t="shared" si="242"/>
        <v>2.0101320931172499E-78</v>
      </c>
      <c r="I1477">
        <f t="shared" si="243"/>
        <v>60</v>
      </c>
      <c r="J1477">
        <f t="shared" si="244"/>
        <v>1390</v>
      </c>
      <c r="K1477" s="5">
        <f t="shared" si="245"/>
        <v>0</v>
      </c>
      <c r="L1477">
        <f t="shared" si="246"/>
        <v>85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-174.70191677816584</v>
      </c>
      <c r="F1478" s="1">
        <f t="shared" si="252"/>
        <v>-176.70394958736489</v>
      </c>
      <c r="G1478" s="1">
        <f t="shared" si="249"/>
        <v>1.8132169228415154E-77</v>
      </c>
      <c r="H1478" s="1">
        <f t="shared" si="242"/>
        <v>1.7798044574475375E-78</v>
      </c>
      <c r="I1478">
        <f t="shared" si="243"/>
        <v>60</v>
      </c>
      <c r="J1478">
        <f t="shared" si="244"/>
        <v>1391</v>
      </c>
      <c r="K1478" s="5">
        <f t="shared" si="245"/>
        <v>0</v>
      </c>
      <c r="L1478">
        <f t="shared" si="246"/>
        <v>85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-174.82361371314337</v>
      </c>
      <c r="F1479" s="1">
        <f t="shared" si="252"/>
        <v>-176.82564652234242</v>
      </c>
      <c r="G1479" s="1">
        <f t="shared" si="249"/>
        <v>1.6054524837659E-77</v>
      </c>
      <c r="H1479" s="1">
        <f t="shared" si="242"/>
        <v>1.575868530031649E-78</v>
      </c>
      <c r="I1479">
        <f t="shared" si="243"/>
        <v>60</v>
      </c>
      <c r="J1479">
        <f t="shared" si="244"/>
        <v>1392</v>
      </c>
      <c r="K1479" s="5">
        <f t="shared" si="245"/>
        <v>0</v>
      </c>
      <c r="L1479">
        <f t="shared" si="246"/>
        <v>85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-174.94531064812091</v>
      </c>
      <c r="F1480" s="1">
        <f t="shared" si="252"/>
        <v>-176.94734345731996</v>
      </c>
      <c r="G1480" s="1">
        <f t="shared" si="249"/>
        <v>1.4214943866677017E-77</v>
      </c>
      <c r="H1480" s="1">
        <f t="shared" si="242"/>
        <v>1.3953002609655008E-78</v>
      </c>
      <c r="I1480">
        <f t="shared" si="243"/>
        <v>60</v>
      </c>
      <c r="J1480">
        <f t="shared" si="244"/>
        <v>1393</v>
      </c>
      <c r="K1480" s="5">
        <f t="shared" si="245"/>
        <v>0</v>
      </c>
      <c r="L1480">
        <f t="shared" si="246"/>
        <v>85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-175.06700758309844</v>
      </c>
      <c r="F1481" s="1">
        <f t="shared" si="252"/>
        <v>-177.0690403922975</v>
      </c>
      <c r="G1481" s="1">
        <f t="shared" si="249"/>
        <v>1.2586148215286745E-77</v>
      </c>
      <c r="H1481" s="1">
        <f t="shared" si="242"/>
        <v>1.2354221060631845E-78</v>
      </c>
      <c r="I1481">
        <f t="shared" si="243"/>
        <v>60</v>
      </c>
      <c r="J1481">
        <f t="shared" si="244"/>
        <v>1394</v>
      </c>
      <c r="K1481" s="5">
        <f t="shared" si="245"/>
        <v>0</v>
      </c>
      <c r="L1481">
        <f t="shared" si="246"/>
        <v>85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-175.18870451807598</v>
      </c>
      <c r="F1482" s="1">
        <f t="shared" si="252"/>
        <v>-177.19073732727503</v>
      </c>
      <c r="G1482" s="1">
        <f t="shared" si="249"/>
        <v>1.1143985398951632E-77</v>
      </c>
      <c r="H1482" s="1">
        <f t="shared" si="242"/>
        <v>1.0938633230767608E-78</v>
      </c>
      <c r="I1482">
        <f t="shared" si="243"/>
        <v>60</v>
      </c>
      <c r="J1482">
        <f t="shared" si="244"/>
        <v>1395</v>
      </c>
      <c r="K1482" s="5">
        <f t="shared" si="245"/>
        <v>0</v>
      </c>
      <c r="L1482">
        <f t="shared" si="246"/>
        <v>85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-175.31040145305352</v>
      </c>
      <c r="F1483" s="1">
        <f t="shared" si="252"/>
        <v>-177.31243426225257</v>
      </c>
      <c r="G1483" s="1">
        <f t="shared" si="249"/>
        <v>9.8670704053216037E-78</v>
      </c>
      <c r="H1483" s="1">
        <f t="shared" si="242"/>
        <v>9.6852481730753359E-79</v>
      </c>
      <c r="I1483">
        <f t="shared" si="243"/>
        <v>60</v>
      </c>
      <c r="J1483">
        <f t="shared" si="244"/>
        <v>1396</v>
      </c>
      <c r="K1483" s="5">
        <f t="shared" si="245"/>
        <v>0</v>
      </c>
      <c r="L1483">
        <f t="shared" si="246"/>
        <v>85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-175.43209838803105</v>
      </c>
      <c r="F1484" s="1">
        <f t="shared" si="252"/>
        <v>-177.4341311972301</v>
      </c>
      <c r="G1484" s="1">
        <f t="shared" si="249"/>
        <v>8.7364685880450329E-78</v>
      </c>
      <c r="H1484" s="1">
        <f t="shared" si="242"/>
        <v>8.5754801532436527E-79</v>
      </c>
      <c r="I1484">
        <f t="shared" si="243"/>
        <v>60</v>
      </c>
      <c r="J1484">
        <f t="shared" si="244"/>
        <v>1397</v>
      </c>
      <c r="K1484" s="5">
        <f t="shared" si="245"/>
        <v>0</v>
      </c>
      <c r="L1484">
        <f t="shared" si="246"/>
        <v>85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-175.55379532300859</v>
      </c>
      <c r="F1485" s="1">
        <f t="shared" si="252"/>
        <v>-177.55582813220764</v>
      </c>
      <c r="G1485" s="1">
        <f t="shared" si="249"/>
        <v>7.7354148956647513E-78</v>
      </c>
      <c r="H1485" s="1">
        <f t="shared" si="242"/>
        <v>7.5928730523510312E-79</v>
      </c>
      <c r="I1485">
        <f t="shared" si="243"/>
        <v>60</v>
      </c>
      <c r="J1485">
        <f t="shared" si="244"/>
        <v>1398</v>
      </c>
      <c r="K1485" s="5">
        <f t="shared" si="245"/>
        <v>0</v>
      </c>
      <c r="L1485">
        <f t="shared" si="246"/>
        <v>85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-175.67549225798612</v>
      </c>
      <c r="F1486" s="1">
        <f t="shared" si="252"/>
        <v>-177.67752506718517</v>
      </c>
      <c r="G1486" s="1">
        <f t="shared" si="249"/>
        <v>6.8490652722030582E-78</v>
      </c>
      <c r="H1486" s="1">
        <f t="shared" si="242"/>
        <v>6.7228563484357037E-79</v>
      </c>
      <c r="I1486">
        <f t="shared" si="243"/>
        <v>60</v>
      </c>
      <c r="J1486">
        <f t="shared" si="244"/>
        <v>1399</v>
      </c>
      <c r="K1486" s="5">
        <f t="shared" si="245"/>
        <v>0</v>
      </c>
      <c r="L1486">
        <f t="shared" si="246"/>
        <v>85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-175.79718919296366</v>
      </c>
      <c r="F1487" s="1">
        <f t="shared" si="252"/>
        <v>-177.79922200216271</v>
      </c>
      <c r="G1487" s="1">
        <f t="shared" si="249"/>
        <v>6.0642765430963635E-78</v>
      </c>
      <c r="H1487" s="1">
        <f t="shared" si="242"/>
        <v>5.9525290585106874E-79</v>
      </c>
      <c r="I1487">
        <f t="shared" si="243"/>
        <v>60</v>
      </c>
      <c r="J1487">
        <f t="shared" si="244"/>
        <v>1400</v>
      </c>
      <c r="K1487" s="5">
        <f t="shared" si="245"/>
        <v>0</v>
      </c>
      <c r="L1487">
        <f t="shared" si="246"/>
        <v>85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-175.91888612794119</v>
      </c>
      <c r="F1488" s="1">
        <f t="shared" si="252"/>
        <v>-177.92091893714024</v>
      </c>
      <c r="G1488" s="1">
        <f t="shared" si="249"/>
        <v>5.369411522533154E-78</v>
      </c>
      <c r="H1488" s="1">
        <f t="shared" si="242"/>
        <v>5.2704684372229212E-79</v>
      </c>
      <c r="I1488">
        <f t="shared" si="243"/>
        <v>60</v>
      </c>
      <c r="J1488">
        <f t="shared" si="244"/>
        <v>1401</v>
      </c>
      <c r="K1488" s="5">
        <f t="shared" si="245"/>
        <v>0</v>
      </c>
      <c r="L1488">
        <f t="shared" si="246"/>
        <v>85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-176.04058306291873</v>
      </c>
      <c r="F1489" s="1">
        <f t="shared" si="252"/>
        <v>-178.04261587211778</v>
      </c>
      <c r="G1489" s="1">
        <f t="shared" si="249"/>
        <v>4.7541664522428222E-78</v>
      </c>
      <c r="H1489" s="1">
        <f t="shared" si="242"/>
        <v>4.6665605954577216E-79</v>
      </c>
      <c r="I1489">
        <f t="shared" si="243"/>
        <v>60</v>
      </c>
      <c r="J1489">
        <f t="shared" si="244"/>
        <v>1402</v>
      </c>
      <c r="K1489" s="5">
        <f t="shared" si="245"/>
        <v>0</v>
      </c>
      <c r="L1489">
        <f t="shared" si="246"/>
        <v>85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-176.16227999789626</v>
      </c>
      <c r="F1490" s="1">
        <f t="shared" si="252"/>
        <v>-178.16431280709531</v>
      </c>
      <c r="G1490" s="1">
        <f t="shared" si="249"/>
        <v>4.2094182129232668E-78</v>
      </c>
      <c r="H1490" s="1">
        <f t="shared" si="242"/>
        <v>4.1318505272281264E-79</v>
      </c>
      <c r="I1490">
        <f t="shared" si="243"/>
        <v>60</v>
      </c>
      <c r="J1490">
        <f t="shared" si="244"/>
        <v>1403</v>
      </c>
      <c r="K1490" s="5">
        <f t="shared" si="245"/>
        <v>0</v>
      </c>
      <c r="L1490">
        <f t="shared" si="246"/>
        <v>85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-176.2839769328738</v>
      </c>
      <c r="F1491" s="1">
        <f t="shared" si="252"/>
        <v>-178.28600974207285</v>
      </c>
      <c r="G1491" s="1">
        <f t="shared" si="249"/>
        <v>3.7270890426924174E-78</v>
      </c>
      <c r="H1491" s="1">
        <f t="shared" si="242"/>
        <v>3.6584093209831799E-79</v>
      </c>
      <c r="I1491">
        <f t="shared" si="243"/>
        <v>60</v>
      </c>
      <c r="J1491">
        <f t="shared" si="244"/>
        <v>1404</v>
      </c>
      <c r="K1491" s="5">
        <f t="shared" si="245"/>
        <v>0</v>
      </c>
      <c r="L1491">
        <f t="shared" si="246"/>
        <v>85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-176.40567386785133</v>
      </c>
      <c r="F1492" s="1">
        <f t="shared" si="252"/>
        <v>-178.40770667705038</v>
      </c>
      <c r="G1492" s="1">
        <f t="shared" si="249"/>
        <v>3.3000267565505265E-78</v>
      </c>
      <c r="H1492" s="1">
        <f t="shared" si="242"/>
        <v>3.23921658628714E-79</v>
      </c>
      <c r="I1492">
        <f t="shared" si="243"/>
        <v>60</v>
      </c>
      <c r="J1492">
        <f t="shared" si="244"/>
        <v>1405</v>
      </c>
      <c r="K1492" s="5">
        <f t="shared" si="245"/>
        <v>0</v>
      </c>
      <c r="L1492">
        <f t="shared" si="246"/>
        <v>85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-176.52737080282887</v>
      </c>
      <c r="F1493" s="1">
        <f t="shared" si="252"/>
        <v>-178.52940361202792</v>
      </c>
      <c r="G1493" s="1">
        <f t="shared" si="249"/>
        <v>2.9218986906957329E-78</v>
      </c>
      <c r="H1493" s="1">
        <f t="shared" si="242"/>
        <v>2.8680563524416934E-79</v>
      </c>
      <c r="I1493">
        <f t="shared" si="243"/>
        <v>60</v>
      </c>
      <c r="J1493">
        <f t="shared" si="244"/>
        <v>1406</v>
      </c>
      <c r="K1493" s="5">
        <f t="shared" si="245"/>
        <v>0</v>
      </c>
      <c r="L1493">
        <f t="shared" si="246"/>
        <v>85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-176.6490677378064</v>
      </c>
      <c r="F1494" s="1">
        <f t="shared" si="252"/>
        <v>-178.65110054700546</v>
      </c>
      <c r="G1494" s="1">
        <f t="shared" si="249"/>
        <v>2.587097799053473E-78</v>
      </c>
      <c r="H1494" s="1">
        <f t="shared" si="242"/>
        <v>2.5394248953910431E-79</v>
      </c>
      <c r="I1494">
        <f t="shared" si="243"/>
        <v>60</v>
      </c>
      <c r="J1494">
        <f t="shared" si="244"/>
        <v>1407</v>
      </c>
      <c r="K1494" s="5">
        <f t="shared" si="245"/>
        <v>0</v>
      </c>
      <c r="L1494">
        <f t="shared" si="246"/>
        <v>85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-176.77076467278394</v>
      </c>
      <c r="F1495" s="1">
        <f t="shared" si="252"/>
        <v>-178.77279748198299</v>
      </c>
      <c r="G1495" s="1">
        <f t="shared" si="249"/>
        <v>2.2906595095785601E-78</v>
      </c>
      <c r="H1495" s="1">
        <f t="shared" ref="H1495:H1558" si="253">G1495/$G$21</f>
        <v>2.2484491261274511E-79</v>
      </c>
      <c r="I1495">
        <f t="shared" ref="I1495:I1558" si="254">IF($F$11&lt;=D1495, IF(D1495&lt;=$A$15,D1495-$F$11,$C$11),0)</f>
        <v>60</v>
      </c>
      <c r="J1495">
        <f t="shared" ref="J1495:J1558" si="255">IF(D1495&lt;=$A$15,0,D1495-$A$15)</f>
        <v>1408</v>
      </c>
      <c r="K1495" s="5">
        <f t="shared" ref="K1495:K1558" si="256">IF(D1495&lt;$F$11,H1495,0)</f>
        <v>0</v>
      </c>
      <c r="L1495">
        <f t="shared" ref="L1495:L1558" si="257">IF(D1495&lt;$A$15,$D$11,$D$11*(1-$H$11))</f>
        <v>85</v>
      </c>
      <c r="M1495">
        <f t="shared" ref="M1495:M1558" si="258">IF(D1495&lt;$A$15,0,1)</f>
        <v>1</v>
      </c>
      <c r="N1495">
        <f t="shared" ref="N1495:N1558" si="259">IF(SUM(I1495:J1495)&lt;=($G$11/60*$F$11/($E$11/60)),1,0)</f>
        <v>0</v>
      </c>
    </row>
    <row r="1496" spans="4:14" x14ac:dyDescent="0.2">
      <c r="D1496">
        <f t="shared" si="250"/>
        <v>1473</v>
      </c>
      <c r="E1496" s="1">
        <f t="shared" si="251"/>
        <v>-176.89246160776148</v>
      </c>
      <c r="F1496" s="1">
        <f t="shared" si="252"/>
        <v>-178.89449441696053</v>
      </c>
      <c r="G1496" s="1">
        <f t="shared" ref="G1496:G1559" si="260">EXP(F1496)</f>
        <v>2.0281881074393184E-78</v>
      </c>
      <c r="H1496" s="1">
        <f t="shared" si="253"/>
        <v>1.9908143304253161E-79</v>
      </c>
      <c r="I1496">
        <f t="shared" si="254"/>
        <v>60</v>
      </c>
      <c r="J1496">
        <f t="shared" si="255"/>
        <v>1409</v>
      </c>
      <c r="K1496" s="5">
        <f t="shared" si="256"/>
        <v>0</v>
      </c>
      <c r="L1496">
        <f t="shared" si="257"/>
        <v>85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IF($H$11=1,IF(D1497&lt;=$A$15, E1496+LN($D$11)-LN(60/$E$11)-LN(MIN(D1497,$F$11)), E1496-LN(60/$E$11)-LN(MIN(D1497,$F$11))), IF(D1497&lt;=$A$15, E1496+LN($D$11)-LN(60/$E$11)-LN(MIN(D1497,$F$11)), E1496+LN($D$11)+LN(1-$H$11)-LN(60/$E$11)-LN(MIN(D1497,$F$11))))</f>
        <v>-177.01415854273901</v>
      </c>
      <c r="F1497" s="1">
        <f t="shared" ref="F1497:F1560" si="263">E1497-$E$21</f>
        <v>-179.01619135193806</v>
      </c>
      <c r="G1497" s="1">
        <f t="shared" si="260"/>
        <v>1.7957915534618683E-78</v>
      </c>
      <c r="H1497" s="1">
        <f t="shared" si="253"/>
        <v>1.7627001883973876E-79</v>
      </c>
      <c r="I1497">
        <f t="shared" si="254"/>
        <v>60</v>
      </c>
      <c r="J1497">
        <f t="shared" si="255"/>
        <v>1410</v>
      </c>
      <c r="K1497" s="5">
        <f t="shared" si="256"/>
        <v>0</v>
      </c>
      <c r="L1497">
        <f t="shared" si="257"/>
        <v>85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-177.13585547771655</v>
      </c>
      <c r="F1498" s="1">
        <f t="shared" si="263"/>
        <v>-179.1378882869156</v>
      </c>
      <c r="G1498" s="1">
        <f t="shared" si="260"/>
        <v>1.5900237712943378E-78</v>
      </c>
      <c r="H1498" s="1">
        <f t="shared" si="253"/>
        <v>1.5607241251434961E-79</v>
      </c>
      <c r="I1498">
        <f t="shared" si="254"/>
        <v>60</v>
      </c>
      <c r="J1498">
        <f t="shared" si="255"/>
        <v>1411</v>
      </c>
      <c r="K1498" s="5">
        <f t="shared" si="256"/>
        <v>0</v>
      </c>
      <c r="L1498">
        <f t="shared" si="257"/>
        <v>85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-177.25755241269408</v>
      </c>
      <c r="F1499" s="1">
        <f t="shared" si="263"/>
        <v>-179.25958522189313</v>
      </c>
      <c r="G1499" s="1">
        <f t="shared" si="260"/>
        <v>1.407833547500173E-78</v>
      </c>
      <c r="H1499" s="1">
        <f t="shared" si="253"/>
        <v>1.3818911524707822E-79</v>
      </c>
      <c r="I1499">
        <f t="shared" si="254"/>
        <v>60</v>
      </c>
      <c r="J1499">
        <f t="shared" si="255"/>
        <v>1412</v>
      </c>
      <c r="K1499" s="5">
        <f t="shared" si="256"/>
        <v>0</v>
      </c>
      <c r="L1499">
        <f t="shared" si="257"/>
        <v>85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-177.37924934767162</v>
      </c>
      <c r="F1500" s="1">
        <f t="shared" si="263"/>
        <v>-179.38128215687067</v>
      </c>
      <c r="G1500" s="1">
        <f t="shared" si="260"/>
        <v>1.2465192868490919E-78</v>
      </c>
      <c r="H1500" s="1">
        <f t="shared" si="253"/>
        <v>1.2235494579168192E-79</v>
      </c>
      <c r="I1500">
        <f t="shared" si="254"/>
        <v>60</v>
      </c>
      <c r="J1500">
        <f t="shared" si="255"/>
        <v>1413</v>
      </c>
      <c r="K1500" s="5">
        <f t="shared" si="256"/>
        <v>0</v>
      </c>
      <c r="L1500">
        <f t="shared" si="257"/>
        <v>85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-177.50094628264915</v>
      </c>
      <c r="F1501" s="1">
        <f t="shared" si="263"/>
        <v>-179.5029790918482</v>
      </c>
      <c r="G1501" s="1">
        <f t="shared" si="260"/>
        <v>1.1036889518976162E-78</v>
      </c>
      <c r="H1501" s="1">
        <f t="shared" si="253"/>
        <v>1.0833510825305E-79</v>
      </c>
      <c r="I1501">
        <f t="shared" si="254"/>
        <v>60</v>
      </c>
      <c r="J1501">
        <f t="shared" si="255"/>
        <v>1414</v>
      </c>
      <c r="K1501" s="5">
        <f t="shared" si="256"/>
        <v>0</v>
      </c>
      <c r="L1501">
        <f t="shared" si="257"/>
        <v>85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-177.62264321762669</v>
      </c>
      <c r="F1502" s="1">
        <f t="shared" si="263"/>
        <v>-179.62467602682574</v>
      </c>
      <c r="G1502" s="1">
        <f t="shared" si="260"/>
        <v>9.7722459282599907E-79</v>
      </c>
      <c r="H1502" s="1">
        <f t="shared" si="253"/>
        <v>9.5921710432386519E-80</v>
      </c>
      <c r="I1502">
        <f t="shared" si="254"/>
        <v>60</v>
      </c>
      <c r="J1502">
        <f t="shared" si="255"/>
        <v>1415</v>
      </c>
      <c r="K1502" s="5">
        <f t="shared" si="256"/>
        <v>0</v>
      </c>
      <c r="L1502">
        <f t="shared" si="257"/>
        <v>85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-177.74434015260422</v>
      </c>
      <c r="F1503" s="1">
        <f t="shared" si="263"/>
        <v>-179.74637296180327</v>
      </c>
      <c r="G1503" s="1">
        <f t="shared" si="260"/>
        <v>8.6525094156467315E-79</v>
      </c>
      <c r="H1503" s="1">
        <f t="shared" si="253"/>
        <v>8.4930681112007577E-80</v>
      </c>
      <c r="I1503">
        <f t="shared" si="254"/>
        <v>60</v>
      </c>
      <c r="J1503">
        <f t="shared" si="255"/>
        <v>1416</v>
      </c>
      <c r="K1503" s="5">
        <f t="shared" si="256"/>
        <v>0</v>
      </c>
      <c r="L1503">
        <f t="shared" si="257"/>
        <v>85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-177.86603708758176</v>
      </c>
      <c r="F1504" s="1">
        <f t="shared" si="263"/>
        <v>-179.86806989678081</v>
      </c>
      <c r="G1504" s="1">
        <f t="shared" si="260"/>
        <v>7.6610760451037576E-79</v>
      </c>
      <c r="H1504" s="1">
        <f t="shared" si="253"/>
        <v>7.5199040567922202E-80</v>
      </c>
      <c r="I1504">
        <f t="shared" si="254"/>
        <v>60</v>
      </c>
      <c r="J1504">
        <f t="shared" si="255"/>
        <v>1417</v>
      </c>
      <c r="K1504" s="5">
        <f t="shared" si="256"/>
        <v>0</v>
      </c>
      <c r="L1504">
        <f t="shared" si="257"/>
        <v>85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-177.98773402255929</v>
      </c>
      <c r="F1505" s="1">
        <f t="shared" si="263"/>
        <v>-179.98976683175835</v>
      </c>
      <c r="G1505" s="1">
        <f t="shared" si="260"/>
        <v>6.7832444149355121E-79</v>
      </c>
      <c r="H1505" s="1">
        <f t="shared" si="253"/>
        <v>6.6582483836180071E-80</v>
      </c>
      <c r="I1505">
        <f t="shared" si="254"/>
        <v>60</v>
      </c>
      <c r="J1505">
        <f t="shared" si="255"/>
        <v>1418</v>
      </c>
      <c r="K1505" s="5">
        <f t="shared" si="256"/>
        <v>0</v>
      </c>
      <c r="L1505">
        <f t="shared" si="257"/>
        <v>85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-178.10943095753683</v>
      </c>
      <c r="F1506" s="1">
        <f t="shared" si="263"/>
        <v>-180.11146376673588</v>
      </c>
      <c r="G1506" s="1">
        <f t="shared" si="260"/>
        <v>6.005997659057391E-79</v>
      </c>
      <c r="H1506" s="1">
        <f t="shared" si="253"/>
        <v>5.895324089661685E-80</v>
      </c>
      <c r="I1506">
        <f t="shared" si="254"/>
        <v>60</v>
      </c>
      <c r="J1506">
        <f t="shared" si="255"/>
        <v>1419</v>
      </c>
      <c r="K1506" s="5">
        <f t="shared" si="256"/>
        <v>0</v>
      </c>
      <c r="L1506">
        <f t="shared" si="257"/>
        <v>85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-178.23112789251437</v>
      </c>
      <c r="F1507" s="1">
        <f t="shared" si="263"/>
        <v>-180.23316070171342</v>
      </c>
      <c r="G1507" s="1">
        <f t="shared" si="260"/>
        <v>5.317810427290315E-79</v>
      </c>
      <c r="H1507" s="1">
        <f t="shared" si="253"/>
        <v>5.2198182043878689E-80</v>
      </c>
      <c r="I1507">
        <f t="shared" si="254"/>
        <v>60</v>
      </c>
      <c r="J1507">
        <f t="shared" si="255"/>
        <v>1420</v>
      </c>
      <c r="K1507" s="5">
        <f t="shared" si="256"/>
        <v>0</v>
      </c>
      <c r="L1507">
        <f t="shared" si="257"/>
        <v>85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-178.3528248274919</v>
      </c>
      <c r="F1508" s="1">
        <f t="shared" si="263"/>
        <v>-180.35485763669095</v>
      </c>
      <c r="G1508" s="1">
        <f t="shared" si="260"/>
        <v>4.7084779824965595E-79</v>
      </c>
      <c r="H1508" s="1">
        <f t="shared" si="253"/>
        <v>4.6217140351350199E-80</v>
      </c>
      <c r="I1508">
        <f t="shared" si="254"/>
        <v>60</v>
      </c>
      <c r="J1508">
        <f t="shared" si="255"/>
        <v>1421</v>
      </c>
      <c r="K1508" s="5">
        <f t="shared" si="256"/>
        <v>0</v>
      </c>
      <c r="L1508">
        <f t="shared" si="257"/>
        <v>85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-178.47452176246944</v>
      </c>
      <c r="F1509" s="1">
        <f t="shared" si="263"/>
        <v>-180.47655457166849</v>
      </c>
      <c r="G1509" s="1">
        <f t="shared" si="260"/>
        <v>4.16896488033543E-79</v>
      </c>
      <c r="H1509" s="1">
        <f t="shared" si="253"/>
        <v>4.0921426352757347E-80</v>
      </c>
      <c r="I1509">
        <f t="shared" si="254"/>
        <v>60</v>
      </c>
      <c r="J1509">
        <f t="shared" si="255"/>
        <v>1422</v>
      </c>
      <c r="K1509" s="5">
        <f t="shared" si="256"/>
        <v>0</v>
      </c>
      <c r="L1509">
        <f t="shared" si="257"/>
        <v>85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-178.59621869744697</v>
      </c>
      <c r="F1510" s="1">
        <f t="shared" si="263"/>
        <v>-180.59825150664602</v>
      </c>
      <c r="G1510" s="1">
        <f t="shared" si="260"/>
        <v>3.691270987796938E-79</v>
      </c>
      <c r="H1510" s="1">
        <f t="shared" si="253"/>
        <v>3.6232512916503335E-80</v>
      </c>
      <c r="I1510">
        <f t="shared" si="254"/>
        <v>60</v>
      </c>
      <c r="J1510">
        <f t="shared" si="255"/>
        <v>1423</v>
      </c>
      <c r="K1510" s="5">
        <f t="shared" si="256"/>
        <v>0</v>
      </c>
      <c r="L1510">
        <f t="shared" si="257"/>
        <v>85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-178.71791563242451</v>
      </c>
      <c r="F1511" s="1">
        <f t="shared" si="263"/>
        <v>-180.71994844162356</v>
      </c>
      <c r="G1511" s="1">
        <f t="shared" si="260"/>
        <v>3.2683128537784875E-79</v>
      </c>
      <c r="H1511" s="1">
        <f t="shared" si="253"/>
        <v>3.2080870811486825E-80</v>
      </c>
      <c r="I1511">
        <f t="shared" si="254"/>
        <v>60</v>
      </c>
      <c r="J1511">
        <f t="shared" si="255"/>
        <v>1424</v>
      </c>
      <c r="K1511" s="5">
        <f t="shared" si="256"/>
        <v>0</v>
      </c>
      <c r="L1511">
        <f t="shared" si="257"/>
        <v>85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-178.83961256740204</v>
      </c>
      <c r="F1512" s="1">
        <f t="shared" si="263"/>
        <v>-180.84164537660109</v>
      </c>
      <c r="G1512" s="1">
        <f t="shared" si="260"/>
        <v>2.893818672616324E-79</v>
      </c>
      <c r="H1512" s="1">
        <f t="shared" si="253"/>
        <v>2.8404937697670184E-80</v>
      </c>
      <c r="I1512">
        <f t="shared" si="254"/>
        <v>60</v>
      </c>
      <c r="J1512">
        <f t="shared" si="255"/>
        <v>1425</v>
      </c>
      <c r="K1512" s="5">
        <f t="shared" si="256"/>
        <v>0</v>
      </c>
      <c r="L1512">
        <f t="shared" si="257"/>
        <v>85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-178.96130950237958</v>
      </c>
      <c r="F1513" s="1">
        <f t="shared" si="263"/>
        <v>-180.96334231157863</v>
      </c>
      <c r="G1513" s="1">
        <f t="shared" si="260"/>
        <v>2.5622352830456632E-79</v>
      </c>
      <c r="H1513" s="1">
        <f t="shared" si="253"/>
        <v>2.5150205253145081E-80</v>
      </c>
      <c r="I1513">
        <f t="shared" si="254"/>
        <v>60</v>
      </c>
      <c r="J1513">
        <f t="shared" si="255"/>
        <v>1426</v>
      </c>
      <c r="K1513" s="5">
        <f t="shared" si="256"/>
        <v>0</v>
      </c>
      <c r="L1513">
        <f t="shared" si="257"/>
        <v>85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-179.08300643735711</v>
      </c>
      <c r="F1514" s="1">
        <f t="shared" si="263"/>
        <v>-181.08503924655616</v>
      </c>
      <c r="G1514" s="1">
        <f t="shared" si="260"/>
        <v>2.2686458235299789E-79</v>
      </c>
      <c r="H1514" s="1">
        <f t="shared" si="253"/>
        <v>2.2268410901221859E-80</v>
      </c>
      <c r="I1514">
        <f t="shared" si="254"/>
        <v>60</v>
      </c>
      <c r="J1514">
        <f t="shared" si="255"/>
        <v>1427</v>
      </c>
      <c r="K1514" s="5">
        <f t="shared" si="256"/>
        <v>0</v>
      </c>
      <c r="L1514">
        <f t="shared" si="257"/>
        <v>85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-179.20470337233465</v>
      </c>
      <c r="F1515" s="1">
        <f t="shared" si="263"/>
        <v>-181.2067361815337</v>
      </c>
      <c r="G1515" s="1">
        <f t="shared" si="260"/>
        <v>2.0086968229171374E-79</v>
      </c>
      <c r="H1515" s="1">
        <f t="shared" si="253"/>
        <v>1.9716822152123213E-80</v>
      </c>
      <c r="I1515">
        <f t="shared" si="254"/>
        <v>60</v>
      </c>
      <c r="J1515">
        <f t="shared" si="255"/>
        <v>1428</v>
      </c>
      <c r="K1515" s="5">
        <f t="shared" si="256"/>
        <v>0</v>
      </c>
      <c r="L1515">
        <f t="shared" si="257"/>
        <v>85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-179.32640030731218</v>
      </c>
      <c r="F1516" s="1">
        <f t="shared" si="263"/>
        <v>-181.32843311651123</v>
      </c>
      <c r="G1516" s="1">
        <f t="shared" si="260"/>
        <v>1.7785336452911877E-79</v>
      </c>
      <c r="H1516" s="1">
        <f t="shared" si="253"/>
        <v>1.7457602947192157E-80</v>
      </c>
      <c r="I1516">
        <f t="shared" si="254"/>
        <v>60</v>
      </c>
      <c r="J1516">
        <f t="shared" si="255"/>
        <v>1429</v>
      </c>
      <c r="K1516" s="5">
        <f t="shared" si="256"/>
        <v>0</v>
      </c>
      <c r="L1516">
        <f t="shared" si="257"/>
        <v>85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-179.44809724228972</v>
      </c>
      <c r="F1517" s="1">
        <f t="shared" si="263"/>
        <v>-181.45013005148877</v>
      </c>
      <c r="G1517" s="1">
        <f t="shared" si="260"/>
        <v>1.5747433317682145E-79</v>
      </c>
      <c r="H1517" s="1">
        <f t="shared" si="253"/>
        <v>1.5457252609492812E-80</v>
      </c>
      <c r="I1517">
        <f t="shared" si="254"/>
        <v>60</v>
      </c>
      <c r="J1517">
        <f t="shared" si="255"/>
        <v>1430</v>
      </c>
      <c r="K1517" s="5">
        <f t="shared" si="256"/>
        <v>0</v>
      </c>
      <c r="L1517">
        <f t="shared" si="257"/>
        <v>85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-179.56979417726726</v>
      </c>
      <c r="F1518" s="1">
        <f t="shared" si="263"/>
        <v>-181.57182698646631</v>
      </c>
      <c r="G1518" s="1">
        <f t="shared" si="260"/>
        <v>1.3943039916697515E-79</v>
      </c>
      <c r="H1518" s="1">
        <f t="shared" si="253"/>
        <v>1.3686109081321548E-80</v>
      </c>
      <c r="I1518">
        <f t="shared" si="254"/>
        <v>60</v>
      </c>
      <c r="J1518">
        <f t="shared" si="255"/>
        <v>1431</v>
      </c>
      <c r="K1518" s="5">
        <f t="shared" si="256"/>
        <v>0</v>
      </c>
      <c r="L1518">
        <f t="shared" si="257"/>
        <v>85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-179.69149111224479</v>
      </c>
      <c r="F1519" s="1">
        <f t="shared" si="263"/>
        <v>-181.69352392144384</v>
      </c>
      <c r="G1519" s="1">
        <f t="shared" si="260"/>
        <v>1.2345399926242397E-79</v>
      </c>
      <c r="H1519" s="1">
        <f t="shared" si="253"/>
        <v>1.2117909082419929E-80</v>
      </c>
      <c r="I1519">
        <f t="shared" si="254"/>
        <v>60</v>
      </c>
      <c r="J1519">
        <f t="shared" si="255"/>
        <v>1432</v>
      </c>
      <c r="K1519" s="5">
        <f t="shared" si="256"/>
        <v>0</v>
      </c>
      <c r="L1519">
        <f t="shared" si="257"/>
        <v>85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-179.81318804722233</v>
      </c>
      <c r="F1520" s="1">
        <f t="shared" si="263"/>
        <v>-181.81522085642138</v>
      </c>
      <c r="G1520" s="1">
        <f t="shared" si="260"/>
        <v>1.0930822851360285E-79</v>
      </c>
      <c r="H1520" s="1">
        <f t="shared" si="253"/>
        <v>1.0729398666725812E-80</v>
      </c>
      <c r="I1520">
        <f t="shared" si="254"/>
        <v>60</v>
      </c>
      <c r="J1520">
        <f t="shared" si="255"/>
        <v>1433</v>
      </c>
      <c r="K1520" s="5">
        <f t="shared" si="256"/>
        <v>0</v>
      </c>
      <c r="L1520">
        <f t="shared" si="257"/>
        <v>85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-179.93488498219986</v>
      </c>
      <c r="F1521" s="1">
        <f t="shared" si="263"/>
        <v>-181.93691779139891</v>
      </c>
      <c r="G1521" s="1">
        <f t="shared" si="260"/>
        <v>9.6783327329751015E-80</v>
      </c>
      <c r="H1521" s="1">
        <f t="shared" si="253"/>
        <v>9.4999884028299979E-81</v>
      </c>
      <c r="I1521">
        <f t="shared" si="254"/>
        <v>60</v>
      </c>
      <c r="J1521">
        <f t="shared" si="255"/>
        <v>1434</v>
      </c>
      <c r="K1521" s="5">
        <f t="shared" si="256"/>
        <v>0</v>
      </c>
      <c r="L1521">
        <f t="shared" si="257"/>
        <v>85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-180.0565819171774</v>
      </c>
      <c r="F1522" s="1">
        <f t="shared" si="263"/>
        <v>-182.05861472637645</v>
      </c>
      <c r="G1522" s="1">
        <f t="shared" si="260"/>
        <v>8.5693571073215698E-80</v>
      </c>
      <c r="H1522" s="1">
        <f t="shared" si="253"/>
        <v>8.4114480650055953E-81</v>
      </c>
      <c r="I1522">
        <f t="shared" si="254"/>
        <v>60</v>
      </c>
      <c r="J1522">
        <f t="shared" si="255"/>
        <v>1435</v>
      </c>
      <c r="K1522" s="5">
        <f t="shared" si="256"/>
        <v>0</v>
      </c>
      <c r="L1522">
        <f t="shared" si="257"/>
        <v>85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-180.17827885215493</v>
      </c>
      <c r="F1523" s="1">
        <f t="shared" si="263"/>
        <v>-182.18031166135398</v>
      </c>
      <c r="G1523" s="1">
        <f t="shared" si="260"/>
        <v>7.5874516054408554E-80</v>
      </c>
      <c r="H1523" s="1">
        <f t="shared" si="253"/>
        <v>7.4476363075569214E-81</v>
      </c>
      <c r="I1523">
        <f t="shared" si="254"/>
        <v>60</v>
      </c>
      <c r="J1523">
        <f t="shared" si="255"/>
        <v>1436</v>
      </c>
      <c r="K1523" s="5">
        <f t="shared" si="256"/>
        <v>0</v>
      </c>
      <c r="L1523">
        <f t="shared" si="257"/>
        <v>85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-180.29997578713247</v>
      </c>
      <c r="F1524" s="1">
        <f t="shared" si="263"/>
        <v>-182.30200859633152</v>
      </c>
      <c r="G1524" s="1">
        <f t="shared" si="260"/>
        <v>6.7180561089839855E-80</v>
      </c>
      <c r="H1524" s="1">
        <f t="shared" si="253"/>
        <v>6.594261313982588E-81</v>
      </c>
      <c r="I1524">
        <f t="shared" si="254"/>
        <v>60</v>
      </c>
      <c r="J1524">
        <f t="shared" si="255"/>
        <v>1437</v>
      </c>
      <c r="K1524" s="5">
        <f t="shared" si="256"/>
        <v>0</v>
      </c>
      <c r="L1524">
        <f t="shared" si="257"/>
        <v>85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-180.42167272211</v>
      </c>
      <c r="F1525" s="1">
        <f t="shared" si="263"/>
        <v>-182.42370553130905</v>
      </c>
      <c r="G1525" s="1">
        <f t="shared" si="260"/>
        <v>5.948278846496144E-80</v>
      </c>
      <c r="H1525" s="1">
        <f t="shared" si="253"/>
        <v>5.8386688717553246E-81</v>
      </c>
      <c r="I1525">
        <f t="shared" si="254"/>
        <v>60</v>
      </c>
      <c r="J1525">
        <f t="shared" si="255"/>
        <v>1438</v>
      </c>
      <c r="K1525" s="5">
        <f t="shared" si="256"/>
        <v>0</v>
      </c>
      <c r="L1525">
        <f t="shared" si="257"/>
        <v>85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-180.54336965708754</v>
      </c>
      <c r="F1526" s="1">
        <f t="shared" si="263"/>
        <v>-182.54540246628659</v>
      </c>
      <c r="G1526" s="1">
        <f t="shared" si="260"/>
        <v>5.2667052286683782E-80</v>
      </c>
      <c r="H1526" s="1">
        <f t="shared" si="253"/>
        <v>5.1696547301999456E-81</v>
      </c>
      <c r="I1526">
        <f t="shared" si="254"/>
        <v>60</v>
      </c>
      <c r="J1526">
        <f t="shared" si="255"/>
        <v>1439</v>
      </c>
      <c r="K1526" s="5">
        <f t="shared" si="256"/>
        <v>0</v>
      </c>
      <c r="L1526">
        <f t="shared" si="257"/>
        <v>85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-180.66506659206507</v>
      </c>
      <c r="F1527" s="1">
        <f t="shared" si="263"/>
        <v>-182.66709940126412</v>
      </c>
      <c r="G1527" s="1">
        <f t="shared" si="260"/>
        <v>4.6632285878833875E-80</v>
      </c>
      <c r="H1527" s="1">
        <f t="shared" si="253"/>
        <v>4.5772984590311316E-81</v>
      </c>
      <c r="I1527">
        <f t="shared" si="254"/>
        <v>60</v>
      </c>
      <c r="J1527">
        <f t="shared" si="255"/>
        <v>1440</v>
      </c>
      <c r="K1527" s="5">
        <f t="shared" si="256"/>
        <v>0</v>
      </c>
      <c r="L1527">
        <f t="shared" si="257"/>
        <v>85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-180.78676352704261</v>
      </c>
      <c r="F1528" s="1">
        <f t="shared" si="263"/>
        <v>-182.78879633624166</v>
      </c>
      <c r="G1528" s="1">
        <f t="shared" si="260"/>
        <v>4.1289003121883513E-80</v>
      </c>
      <c r="H1528" s="1">
        <f t="shared" si="253"/>
        <v>4.0528163439337508E-81</v>
      </c>
      <c r="I1528">
        <f t="shared" si="254"/>
        <v>60</v>
      </c>
      <c r="J1528">
        <f t="shared" si="255"/>
        <v>1441</v>
      </c>
      <c r="K1528" s="5">
        <f t="shared" si="256"/>
        <v>0</v>
      </c>
      <c r="L1528">
        <f t="shared" si="257"/>
        <v>85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-180.90846046202014</v>
      </c>
      <c r="F1529" s="1">
        <f t="shared" si="263"/>
        <v>-182.9104932712192</v>
      </c>
      <c r="G1529" s="1">
        <f t="shared" si="260"/>
        <v>3.6557971514167122E-80</v>
      </c>
      <c r="H1529" s="1">
        <f t="shared" si="253"/>
        <v>3.5884311378579522E-81</v>
      </c>
      <c r="I1529">
        <f t="shared" si="254"/>
        <v>60</v>
      </c>
      <c r="J1529">
        <f t="shared" si="255"/>
        <v>1442</v>
      </c>
      <c r="K1529" s="5">
        <f t="shared" si="256"/>
        <v>0</v>
      </c>
      <c r="L1529">
        <f t="shared" si="257"/>
        <v>85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-181.03015739699768</v>
      </c>
      <c r="F1530" s="1">
        <f t="shared" si="263"/>
        <v>-183.03219020619673</v>
      </c>
      <c r="G1530" s="1">
        <f t="shared" si="260"/>
        <v>3.2369037278168301E-80</v>
      </c>
      <c r="H1530" s="1">
        <f t="shared" si="253"/>
        <v>3.1772567366450121E-81</v>
      </c>
      <c r="I1530">
        <f t="shared" si="254"/>
        <v>60</v>
      </c>
      <c r="J1530">
        <f t="shared" si="255"/>
        <v>1443</v>
      </c>
      <c r="K1530" s="5">
        <f t="shared" si="256"/>
        <v>0</v>
      </c>
      <c r="L1530">
        <f t="shared" si="257"/>
        <v>85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-181.15185433197522</v>
      </c>
      <c r="F1531" s="1">
        <f t="shared" si="263"/>
        <v>-183.15388714117427</v>
      </c>
      <c r="G1531" s="1">
        <f t="shared" si="260"/>
        <v>2.86600850900444E-80</v>
      </c>
      <c r="H1531" s="1">
        <f t="shared" si="253"/>
        <v>2.8131960689043941E-81</v>
      </c>
      <c r="I1531">
        <f t="shared" si="254"/>
        <v>60</v>
      </c>
      <c r="J1531">
        <f t="shared" si="255"/>
        <v>1444</v>
      </c>
      <c r="K1531" s="5">
        <f t="shared" si="256"/>
        <v>0</v>
      </c>
      <c r="L1531">
        <f t="shared" si="257"/>
        <v>85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-181.27355126695275</v>
      </c>
      <c r="F1532" s="1">
        <f t="shared" si="263"/>
        <v>-183.2755840761518</v>
      </c>
      <c r="G1532" s="1">
        <f t="shared" si="260"/>
        <v>2.5376117006809749E-80</v>
      </c>
      <c r="H1532" s="1">
        <f t="shared" si="253"/>
        <v>2.4908506860090597E-81</v>
      </c>
      <c r="I1532">
        <f t="shared" si="254"/>
        <v>60</v>
      </c>
      <c r="J1532">
        <f t="shared" si="255"/>
        <v>1445</v>
      </c>
      <c r="K1532" s="5">
        <f t="shared" si="256"/>
        <v>0</v>
      </c>
      <c r="L1532">
        <f t="shared" si="257"/>
        <v>85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-181.39524820193029</v>
      </c>
      <c r="F1533" s="1">
        <f t="shared" si="263"/>
        <v>-183.39728101112934</v>
      </c>
      <c r="G1533" s="1">
        <f t="shared" si="260"/>
        <v>2.2468436933112447E-80</v>
      </c>
      <c r="H1533" s="1">
        <f t="shared" si="253"/>
        <v>2.2054407115704873E-81</v>
      </c>
      <c r="I1533">
        <f t="shared" si="254"/>
        <v>60</v>
      </c>
      <c r="J1533">
        <f t="shared" si="255"/>
        <v>1446</v>
      </c>
      <c r="K1533" s="5">
        <f t="shared" si="256"/>
        <v>0</v>
      </c>
      <c r="L1533">
        <f t="shared" si="257"/>
        <v>85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-181.51694513690782</v>
      </c>
      <c r="F1534" s="1">
        <f t="shared" si="263"/>
        <v>-183.51897794610687</v>
      </c>
      <c r="G1534" s="1">
        <f t="shared" si="260"/>
        <v>1.9893928534526335E-80</v>
      </c>
      <c r="H1534" s="1">
        <f t="shared" si="253"/>
        <v>1.9527339633696717E-81</v>
      </c>
      <c r="I1534">
        <f t="shared" si="254"/>
        <v>60</v>
      </c>
      <c r="J1534">
        <f t="shared" si="255"/>
        <v>1447</v>
      </c>
      <c r="K1534" s="5">
        <f t="shared" si="256"/>
        <v>0</v>
      </c>
      <c r="L1534">
        <f t="shared" si="257"/>
        <v>85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-181.63864207188536</v>
      </c>
      <c r="F1535" s="1">
        <f t="shared" si="263"/>
        <v>-183.64067488108441</v>
      </c>
      <c r="G1535" s="1">
        <f t="shared" si="260"/>
        <v>1.7614415889944918E-80</v>
      </c>
      <c r="H1535" s="1">
        <f t="shared" si="253"/>
        <v>1.7289831967335366E-81</v>
      </c>
      <c r="I1535">
        <f t="shared" si="254"/>
        <v>60</v>
      </c>
      <c r="J1535">
        <f t="shared" si="255"/>
        <v>1448</v>
      </c>
      <c r="K1535" s="5">
        <f t="shared" si="256"/>
        <v>0</v>
      </c>
      <c r="L1535">
        <f t="shared" si="257"/>
        <v>85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-181.76033900686289</v>
      </c>
      <c r="F1536" s="1">
        <f t="shared" si="263"/>
        <v>-183.76237181606194</v>
      </c>
      <c r="G1536" s="1">
        <f t="shared" si="260"/>
        <v>1.5596097402555152E-80</v>
      </c>
      <c r="H1536" s="1">
        <f t="shared" si="253"/>
        <v>1.5308705387744614E-81</v>
      </c>
      <c r="I1536">
        <f t="shared" si="254"/>
        <v>60</v>
      </c>
      <c r="J1536">
        <f t="shared" si="255"/>
        <v>1449</v>
      </c>
      <c r="K1536" s="5">
        <f t="shared" si="256"/>
        <v>0</v>
      </c>
      <c r="L1536">
        <f t="shared" si="257"/>
        <v>85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-181.88203594184043</v>
      </c>
      <c r="F1537" s="1">
        <f t="shared" si="263"/>
        <v>-183.88406875103948</v>
      </c>
      <c r="G1537" s="1">
        <f t="shared" si="260"/>
        <v>1.3809044575178824E-80</v>
      </c>
      <c r="H1537" s="1">
        <f t="shared" si="253"/>
        <v>1.3554582895398664E-81</v>
      </c>
      <c r="I1537">
        <f t="shared" si="254"/>
        <v>60</v>
      </c>
      <c r="J1537">
        <f t="shared" si="255"/>
        <v>1450</v>
      </c>
      <c r="K1537" s="5">
        <f t="shared" si="256"/>
        <v>0</v>
      </c>
      <c r="L1537">
        <f t="shared" si="257"/>
        <v>85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-182.00373287681796</v>
      </c>
      <c r="F1538" s="1">
        <f t="shared" si="263"/>
        <v>-184.00576568601701</v>
      </c>
      <c r="G1538" s="1">
        <f t="shared" si="260"/>
        <v>1.2226758217606059E-80</v>
      </c>
      <c r="H1538" s="1">
        <f t="shared" si="253"/>
        <v>1.2001453605300713E-81</v>
      </c>
      <c r="I1538">
        <f t="shared" si="254"/>
        <v>60</v>
      </c>
      <c r="J1538">
        <f t="shared" si="255"/>
        <v>1451</v>
      </c>
      <c r="K1538" s="5">
        <f t="shared" si="256"/>
        <v>0</v>
      </c>
      <c r="L1538">
        <f t="shared" si="257"/>
        <v>85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-182.1254298117955</v>
      </c>
      <c r="F1539" s="1">
        <f t="shared" si="263"/>
        <v>-184.12746262099455</v>
      </c>
      <c r="G1539" s="1">
        <f t="shared" si="260"/>
        <v>1.0825775505171863E-80</v>
      </c>
      <c r="H1539" s="1">
        <f t="shared" si="253"/>
        <v>1.0626287046359841E-81</v>
      </c>
      <c r="I1539">
        <f t="shared" si="254"/>
        <v>60</v>
      </c>
      <c r="J1539">
        <f t="shared" si="255"/>
        <v>1452</v>
      </c>
      <c r="K1539" s="5">
        <f t="shared" si="256"/>
        <v>0</v>
      </c>
      <c r="L1539">
        <f t="shared" si="257"/>
        <v>85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-182.24712674677303</v>
      </c>
      <c r="F1540" s="1">
        <f t="shared" si="263"/>
        <v>-184.24915955597208</v>
      </c>
      <c r="G1540" s="1">
        <f t="shared" si="260"/>
        <v>9.5853220618707699E-81</v>
      </c>
      <c r="H1540" s="1">
        <f t="shared" si="253"/>
        <v>9.4086916556309615E-82</v>
      </c>
      <c r="I1540">
        <f t="shared" si="254"/>
        <v>60</v>
      </c>
      <c r="J1540">
        <f t="shared" si="255"/>
        <v>1453</v>
      </c>
      <c r="K1540" s="5">
        <f t="shared" si="256"/>
        <v>0</v>
      </c>
      <c r="L1540">
        <f t="shared" si="257"/>
        <v>85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-182.36882368175057</v>
      </c>
      <c r="F1541" s="1">
        <f t="shared" si="263"/>
        <v>-184.37085649094962</v>
      </c>
      <c r="G1541" s="1">
        <f t="shared" si="260"/>
        <v>8.4870039089479457E-81</v>
      </c>
      <c r="H1541" s="1">
        <f t="shared" si="253"/>
        <v>8.3306124034231182E-82</v>
      </c>
      <c r="I1541">
        <f t="shared" si="254"/>
        <v>60</v>
      </c>
      <c r="J1541">
        <f t="shared" si="255"/>
        <v>1454</v>
      </c>
      <c r="K1541" s="5">
        <f t="shared" si="256"/>
        <v>0</v>
      </c>
      <c r="L1541">
        <f t="shared" si="257"/>
        <v>85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-182.49052061672811</v>
      </c>
      <c r="F1542" s="1">
        <f t="shared" si="263"/>
        <v>-184.49255342592716</v>
      </c>
      <c r="G1542" s="1">
        <f t="shared" si="260"/>
        <v>7.5145347110475421E-81</v>
      </c>
      <c r="H1542" s="1">
        <f t="shared" si="253"/>
        <v>7.3760630655307696E-82</v>
      </c>
      <c r="I1542">
        <f t="shared" si="254"/>
        <v>60</v>
      </c>
      <c r="J1542">
        <f t="shared" si="255"/>
        <v>1455</v>
      </c>
      <c r="K1542" s="5">
        <f t="shared" si="256"/>
        <v>0</v>
      </c>
      <c r="L1542">
        <f t="shared" si="257"/>
        <v>85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-182.61221755170564</v>
      </c>
      <c r="F1543" s="1">
        <f t="shared" si="263"/>
        <v>-184.61425036090469</v>
      </c>
      <c r="G1543" s="1">
        <f t="shared" si="260"/>
        <v>6.6534942754065743E-81</v>
      </c>
      <c r="H1543" s="1">
        <f t="shared" si="253"/>
        <v>6.5308891726052674E-82</v>
      </c>
      <c r="I1543">
        <f t="shared" si="254"/>
        <v>60</v>
      </c>
      <c r="J1543">
        <f t="shared" si="255"/>
        <v>1456</v>
      </c>
      <c r="K1543" s="5">
        <f t="shared" si="256"/>
        <v>0</v>
      </c>
      <c r="L1543">
        <f t="shared" si="257"/>
        <v>85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-182.73391448668318</v>
      </c>
      <c r="F1544" s="1">
        <f t="shared" si="263"/>
        <v>-184.73594729588223</v>
      </c>
      <c r="G1544" s="1">
        <f t="shared" si="260"/>
        <v>5.8911147230161456E-81</v>
      </c>
      <c r="H1544" s="1">
        <f t="shared" si="253"/>
        <v>5.7825581215774895E-82</v>
      </c>
      <c r="I1544">
        <f t="shared" si="254"/>
        <v>60</v>
      </c>
      <c r="J1544">
        <f t="shared" si="255"/>
        <v>1457</v>
      </c>
      <c r="K1544" s="5">
        <f t="shared" si="256"/>
        <v>0</v>
      </c>
      <c r="L1544">
        <f t="shared" si="257"/>
        <v>85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-182.85561142166071</v>
      </c>
      <c r="F1545" s="1">
        <f t="shared" si="263"/>
        <v>-184.85764423085976</v>
      </c>
      <c r="G1545" s="1">
        <f t="shared" si="260"/>
        <v>5.2160911610037966E-81</v>
      </c>
      <c r="H1545" s="1">
        <f t="shared" si="253"/>
        <v>5.1199733368133218E-82</v>
      </c>
      <c r="I1545">
        <f t="shared" si="254"/>
        <v>60</v>
      </c>
      <c r="J1545">
        <f t="shared" si="255"/>
        <v>1458</v>
      </c>
      <c r="K1545" s="5">
        <f t="shared" si="256"/>
        <v>0</v>
      </c>
      <c r="L1545">
        <f t="shared" si="257"/>
        <v>85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-182.97730835663825</v>
      </c>
      <c r="F1546" s="1">
        <f t="shared" si="263"/>
        <v>-184.9793411658373</v>
      </c>
      <c r="G1546" s="1">
        <f t="shared" si="260"/>
        <v>4.618414048805373E-81</v>
      </c>
      <c r="H1546" s="1">
        <f t="shared" si="253"/>
        <v>4.5333097253033915E-82</v>
      </c>
      <c r="I1546">
        <f t="shared" si="254"/>
        <v>60</v>
      </c>
      <c r="J1546">
        <f t="shared" si="255"/>
        <v>1459</v>
      </c>
      <c r="K1546" s="5">
        <f t="shared" si="256"/>
        <v>0</v>
      </c>
      <c r="L1546">
        <f t="shared" si="257"/>
        <v>85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-183.09900529161578</v>
      </c>
      <c r="F1547" s="1">
        <f t="shared" si="263"/>
        <v>-185.10103810081483</v>
      </c>
      <c r="G1547" s="1">
        <f t="shared" si="260"/>
        <v>4.0892207723796935E-81</v>
      </c>
      <c r="H1547" s="1">
        <f t="shared" si="253"/>
        <v>4.0138679859456484E-82</v>
      </c>
      <c r="I1547">
        <f t="shared" si="254"/>
        <v>60</v>
      </c>
      <c r="J1547">
        <f t="shared" si="255"/>
        <v>1460</v>
      </c>
      <c r="K1547" s="5">
        <f t="shared" si="256"/>
        <v>0</v>
      </c>
      <c r="L1547">
        <f t="shared" si="257"/>
        <v>85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-183.22070222659332</v>
      </c>
      <c r="F1548" s="1">
        <f t="shared" si="263"/>
        <v>-185.22273503579237</v>
      </c>
      <c r="G1548" s="1">
        <f t="shared" si="260"/>
        <v>3.6206642255444635E-81</v>
      </c>
      <c r="H1548" s="1">
        <f t="shared" si="253"/>
        <v>3.5539456125559872E-82</v>
      </c>
      <c r="I1548">
        <f t="shared" si="254"/>
        <v>60</v>
      </c>
      <c r="J1548">
        <f t="shared" si="255"/>
        <v>1461</v>
      </c>
      <c r="K1548" s="5">
        <f t="shared" si="256"/>
        <v>0</v>
      </c>
      <c r="L1548">
        <f t="shared" si="257"/>
        <v>85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-183.34239916157085</v>
      </c>
      <c r="F1549" s="1">
        <f t="shared" si="263"/>
        <v>-185.3444319707699</v>
      </c>
      <c r="G1549" s="1">
        <f t="shared" si="260"/>
        <v>3.2057964497007772E-81</v>
      </c>
      <c r="H1549" s="1">
        <f t="shared" si="253"/>
        <v>3.1467226777838981E-82</v>
      </c>
      <c r="I1549">
        <f t="shared" si="254"/>
        <v>60</v>
      </c>
      <c r="J1549">
        <f t="shared" si="255"/>
        <v>1462</v>
      </c>
      <c r="K1549" s="5">
        <f t="shared" si="256"/>
        <v>0</v>
      </c>
      <c r="L1549">
        <f t="shared" si="257"/>
        <v>85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-183.46409609654839</v>
      </c>
      <c r="F1550" s="1">
        <f t="shared" si="263"/>
        <v>-185.46612890574744</v>
      </c>
      <c r="G1550" s="1">
        <f t="shared" si="260"/>
        <v>2.8384656065058519E-81</v>
      </c>
      <c r="H1550" s="1">
        <f t="shared" si="253"/>
        <v>2.7861607042877827E-82</v>
      </c>
      <c r="I1550">
        <f t="shared" si="254"/>
        <v>60</v>
      </c>
      <c r="J1550">
        <f t="shared" si="255"/>
        <v>1463</v>
      </c>
      <c r="K1550" s="5">
        <f t="shared" si="256"/>
        <v>0</v>
      </c>
      <c r="L1550">
        <f t="shared" si="257"/>
        <v>85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-183.58579303152592</v>
      </c>
      <c r="F1551" s="1">
        <f t="shared" si="263"/>
        <v>-185.58782584072497</v>
      </c>
      <c r="G1551" s="1">
        <f t="shared" si="260"/>
        <v>2.5132247557603504E-81</v>
      </c>
      <c r="H1551" s="1">
        <f t="shared" si="253"/>
        <v>2.4669131235881023E-82</v>
      </c>
      <c r="I1551">
        <f t="shared" si="254"/>
        <v>60</v>
      </c>
      <c r="J1551">
        <f t="shared" si="255"/>
        <v>1464</v>
      </c>
      <c r="K1551" s="5">
        <f t="shared" si="256"/>
        <v>0</v>
      </c>
      <c r="L1551">
        <f t="shared" si="257"/>
        <v>85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-183.70748996650346</v>
      </c>
      <c r="F1552" s="1">
        <f t="shared" si="263"/>
        <v>-185.70952277570251</v>
      </c>
      <c r="G1552" s="1">
        <f t="shared" si="260"/>
        <v>2.2252510858294422E-81</v>
      </c>
      <c r="H1552" s="1">
        <f t="shared" si="253"/>
        <v>2.1842459948435983E-82</v>
      </c>
      <c r="I1552">
        <f t="shared" si="254"/>
        <v>60</v>
      </c>
      <c r="J1552">
        <f t="shared" si="255"/>
        <v>1465</v>
      </c>
      <c r="K1552" s="5">
        <f t="shared" si="256"/>
        <v>0</v>
      </c>
      <c r="L1552">
        <f t="shared" si="257"/>
        <v>85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-183.82918690148099</v>
      </c>
      <c r="F1553" s="1">
        <f t="shared" si="263"/>
        <v>-185.83121971068005</v>
      </c>
      <c r="G1553" s="1">
        <f t="shared" si="260"/>
        <v>1.9702743989114545E-81</v>
      </c>
      <c r="H1553" s="1">
        <f t="shared" si="253"/>
        <v>1.9339678079344057E-82</v>
      </c>
      <c r="I1553">
        <f t="shared" si="254"/>
        <v>60</v>
      </c>
      <c r="J1553">
        <f t="shared" si="255"/>
        <v>1466</v>
      </c>
      <c r="K1553" s="5">
        <f t="shared" si="256"/>
        <v>0</v>
      </c>
      <c r="L1553">
        <f t="shared" si="257"/>
        <v>85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-183.95088383645853</v>
      </c>
      <c r="F1554" s="1">
        <f t="shared" si="263"/>
        <v>-185.95291664565758</v>
      </c>
      <c r="G1554" s="1">
        <f t="shared" si="260"/>
        <v>1.7445137907028231E-81</v>
      </c>
      <c r="H1554" s="1">
        <f t="shared" si="253"/>
        <v>1.7123673299418949E-82</v>
      </c>
      <c r="I1554">
        <f t="shared" si="254"/>
        <v>60</v>
      </c>
      <c r="J1554">
        <f t="shared" si="255"/>
        <v>1467</v>
      </c>
      <c r="K1554" s="5">
        <f t="shared" si="256"/>
        <v>0</v>
      </c>
      <c r="L1554">
        <f t="shared" si="257"/>
        <v>85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-184.07258077143607</v>
      </c>
      <c r="F1555" s="1">
        <f t="shared" si="263"/>
        <v>-186.07461358063512</v>
      </c>
      <c r="G1555" s="1">
        <f t="shared" si="260"/>
        <v>1.5446215855181005E-81</v>
      </c>
      <c r="H1555" s="1">
        <f t="shared" si="253"/>
        <v>1.5161585733860291E-82</v>
      </c>
      <c r="I1555">
        <f t="shared" si="254"/>
        <v>60</v>
      </c>
      <c r="J1555">
        <f t="shared" si="255"/>
        <v>1468</v>
      </c>
      <c r="K1555" s="5">
        <f t="shared" si="256"/>
        <v>0</v>
      </c>
      <c r="L1555">
        <f t="shared" si="257"/>
        <v>85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-184.1942777064136</v>
      </c>
      <c r="F1556" s="1">
        <f t="shared" si="263"/>
        <v>-186.19631051561265</v>
      </c>
      <c r="G1556" s="1">
        <f t="shared" si="260"/>
        <v>1.3676336955107966E-81</v>
      </c>
      <c r="H1556" s="1">
        <f t="shared" si="253"/>
        <v>1.3424320701855256E-82</v>
      </c>
      <c r="I1556">
        <f t="shared" si="254"/>
        <v>60</v>
      </c>
      <c r="J1556">
        <f t="shared" si="255"/>
        <v>1469</v>
      </c>
      <c r="K1556" s="5">
        <f t="shared" si="256"/>
        <v>0</v>
      </c>
      <c r="L1556">
        <f t="shared" si="257"/>
        <v>85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-184.31597464139114</v>
      </c>
      <c r="F1557" s="1">
        <f t="shared" si="263"/>
        <v>-186.31800745059019</v>
      </c>
      <c r="G1557" s="1">
        <f t="shared" si="260"/>
        <v>1.2109256679001656E-81</v>
      </c>
      <c r="H1557" s="1">
        <f t="shared" si="253"/>
        <v>1.1886117288100821E-82</v>
      </c>
      <c r="I1557">
        <f t="shared" si="254"/>
        <v>60</v>
      </c>
      <c r="J1557">
        <f t="shared" si="255"/>
        <v>1470</v>
      </c>
      <c r="K1557" s="5">
        <f t="shared" si="256"/>
        <v>0</v>
      </c>
      <c r="L1557">
        <f t="shared" si="257"/>
        <v>85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-184.43767157636867</v>
      </c>
      <c r="F1558" s="1">
        <f t="shared" si="263"/>
        <v>-186.43970438556772</v>
      </c>
      <c r="G1558" s="1">
        <f t="shared" si="260"/>
        <v>1.0721737684532549E-81</v>
      </c>
      <c r="H1558" s="1">
        <f t="shared" si="253"/>
        <v>1.0524166348839104E-82</v>
      </c>
      <c r="I1558">
        <f t="shared" si="254"/>
        <v>60</v>
      </c>
      <c r="J1558">
        <f t="shared" si="255"/>
        <v>1471</v>
      </c>
      <c r="K1558" s="5">
        <f t="shared" si="256"/>
        <v>0</v>
      </c>
      <c r="L1558">
        <f t="shared" si="257"/>
        <v>85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-184.55936851134621</v>
      </c>
      <c r="F1559" s="1">
        <f t="shared" si="263"/>
        <v>-186.56140132054526</v>
      </c>
      <c r="G1559" s="1">
        <f t="shared" si="260"/>
        <v>9.4932052415130456E-82</v>
      </c>
      <c r="H1559" s="1">
        <f t="shared" ref="H1559:H1622" si="264">G1559/$G$21</f>
        <v>9.3182722880344782E-83</v>
      </c>
      <c r="I1559">
        <f t="shared" ref="I1559:I1622" si="265">IF($F$11&lt;=D1559, IF(D1559&lt;=$A$15,D1559-$F$11,$C$11),0)</f>
        <v>60</v>
      </c>
      <c r="J1559">
        <f t="shared" ref="J1559:J1622" si="266">IF(D1559&lt;=$A$15,0,D1559-$A$15)</f>
        <v>1472</v>
      </c>
      <c r="K1559" s="5">
        <f t="shared" ref="K1559:K1622" si="267">IF(D1559&lt;$F$11,H1559,0)</f>
        <v>0</v>
      </c>
      <c r="L1559">
        <f t="shared" ref="L1559:L1622" si="268">IF(D1559&lt;$A$15,$D$11,$D$11*(1-$H$11))</f>
        <v>85</v>
      </c>
      <c r="M1559">
        <f t="shared" ref="M1559:M1622" si="269">IF(D1559&lt;$A$15,0,1)</f>
        <v>1</v>
      </c>
      <c r="N1559">
        <f t="shared" ref="N1559:N1622" si="270">IF(SUM(I1559:J1559)&lt;=($G$11/60*$F$11/($E$11/60)),1,0)</f>
        <v>0</v>
      </c>
    </row>
    <row r="1560" spans="4:14" x14ac:dyDescent="0.2">
      <c r="D1560">
        <f t="shared" si="261"/>
        <v>1537</v>
      </c>
      <c r="E1560" s="1">
        <f t="shared" si="262"/>
        <v>-184.68106544632374</v>
      </c>
      <c r="F1560" s="1">
        <f t="shared" si="263"/>
        <v>-186.68309825552279</v>
      </c>
      <c r="G1560" s="1">
        <f t="shared" ref="G1560:G1623" si="271">EXP(F1560)</f>
        <v>8.4054421409228772E-82</v>
      </c>
      <c r="H1560" s="1">
        <f t="shared" si="264"/>
        <v>8.2505535883637313E-83</v>
      </c>
      <c r="I1560">
        <f t="shared" si="265"/>
        <v>60</v>
      </c>
      <c r="J1560">
        <f t="shared" si="266"/>
        <v>1473</v>
      </c>
      <c r="K1560" s="5">
        <f t="shared" si="267"/>
        <v>0</v>
      </c>
      <c r="L1560">
        <f t="shared" si="268"/>
        <v>85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IF($H$11=1,IF(D1561&lt;=$A$15, E1560+LN($D$11)-LN(60/$E$11)-LN(MIN(D1561,$F$11)), E1560-LN(60/$E$11)-LN(MIN(D1561,$F$11))), IF(D1561&lt;=$A$15, E1560+LN($D$11)-LN(60/$E$11)-LN(MIN(D1561,$F$11)), E1560+LN($D$11)+LN(1-$H$11)-LN(60/$E$11)-LN(MIN(D1561,$F$11))))</f>
        <v>-184.80276238130128</v>
      </c>
      <c r="F1561" s="1">
        <f t="shared" ref="F1561:F1624" si="274">E1561-$E$21</f>
        <v>-186.80479519050033</v>
      </c>
      <c r="G1561" s="1">
        <f t="shared" si="271"/>
        <v>7.4423185622753482E-82</v>
      </c>
      <c r="H1561" s="1">
        <f t="shared" si="264"/>
        <v>7.305177656363606E-83</v>
      </c>
      <c r="I1561">
        <f t="shared" si="265"/>
        <v>60</v>
      </c>
      <c r="J1561">
        <f t="shared" si="266"/>
        <v>1474</v>
      </c>
      <c r="K1561" s="5">
        <f t="shared" si="267"/>
        <v>0</v>
      </c>
      <c r="L1561">
        <f t="shared" si="268"/>
        <v>85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-184.92445931627881</v>
      </c>
      <c r="F1562" s="1">
        <f t="shared" si="274"/>
        <v>-186.92649212547786</v>
      </c>
      <c r="G1562" s="1">
        <f t="shared" si="271"/>
        <v>6.5895528936811954E-82</v>
      </c>
      <c r="H1562" s="1">
        <f t="shared" si="264"/>
        <v>6.4681260499051759E-83</v>
      </c>
      <c r="I1562">
        <f t="shared" si="265"/>
        <v>60</v>
      </c>
      <c r="J1562">
        <f t="shared" si="266"/>
        <v>1475</v>
      </c>
      <c r="K1562" s="5">
        <f t="shared" si="267"/>
        <v>0</v>
      </c>
      <c r="L1562">
        <f t="shared" si="268"/>
        <v>85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-185.04615625125635</v>
      </c>
      <c r="F1563" s="1">
        <f t="shared" si="274"/>
        <v>-187.0481890604554</v>
      </c>
      <c r="G1563" s="1">
        <f t="shared" si="271"/>
        <v>5.8344999579468001E-82</v>
      </c>
      <c r="H1563" s="1">
        <f t="shared" si="264"/>
        <v>5.7269866066867848E-83</v>
      </c>
      <c r="I1563">
        <f t="shared" si="265"/>
        <v>60</v>
      </c>
      <c r="J1563">
        <f t="shared" si="266"/>
        <v>1476</v>
      </c>
      <c r="K1563" s="5">
        <f t="shared" si="267"/>
        <v>0</v>
      </c>
      <c r="L1563">
        <f t="shared" si="268"/>
        <v>85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-185.16785318623388</v>
      </c>
      <c r="F1564" s="1">
        <f t="shared" si="274"/>
        <v>-187.16988599543294</v>
      </c>
      <c r="G1564" s="1">
        <f t="shared" si="271"/>
        <v>5.1659635044319819E-82</v>
      </c>
      <c r="H1564" s="1">
        <f t="shared" si="264"/>
        <v>5.0707693913371782E-83</v>
      </c>
      <c r="I1564">
        <f t="shared" si="265"/>
        <v>60</v>
      </c>
      <c r="J1564">
        <f t="shared" si="266"/>
        <v>1477</v>
      </c>
      <c r="K1564" s="5">
        <f t="shared" si="267"/>
        <v>0</v>
      </c>
      <c r="L1564">
        <f t="shared" si="268"/>
        <v>85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-185.28955012121142</v>
      </c>
      <c r="F1565" s="1">
        <f t="shared" si="274"/>
        <v>-187.29158293041047</v>
      </c>
      <c r="G1565" s="1">
        <f t="shared" si="271"/>
        <v>4.5740301862157456E-82</v>
      </c>
      <c r="H1565" s="1">
        <f t="shared" si="264"/>
        <v>4.4897437319130558E-83</v>
      </c>
      <c r="I1565">
        <f t="shared" si="265"/>
        <v>60</v>
      </c>
      <c r="J1565">
        <f t="shared" si="266"/>
        <v>1478</v>
      </c>
      <c r="K1565" s="5">
        <f t="shared" si="267"/>
        <v>0</v>
      </c>
      <c r="L1565">
        <f t="shared" si="268"/>
        <v>85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-185.41124705618896</v>
      </c>
      <c r="F1566" s="1">
        <f t="shared" si="274"/>
        <v>-187.41327986538801</v>
      </c>
      <c r="G1566" s="1">
        <f t="shared" si="271"/>
        <v>4.0499225607117949E-82</v>
      </c>
      <c r="H1566" s="1">
        <f t="shared" si="264"/>
        <v>3.9752939292979564E-83</v>
      </c>
      <c r="I1566">
        <f t="shared" si="265"/>
        <v>60</v>
      </c>
      <c r="J1566">
        <f t="shared" si="266"/>
        <v>1479</v>
      </c>
      <c r="K1566" s="5">
        <f t="shared" si="267"/>
        <v>0</v>
      </c>
      <c r="L1566">
        <f t="shared" si="268"/>
        <v>85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-185.53294399116649</v>
      </c>
      <c r="F1567" s="1">
        <f t="shared" si="274"/>
        <v>-187.53497680036554</v>
      </c>
      <c r="G1567" s="1">
        <f t="shared" si="271"/>
        <v>3.5858689339635123E-82</v>
      </c>
      <c r="H1567" s="1">
        <f t="shared" si="264"/>
        <v>3.5197914998991772E-83</v>
      </c>
      <c r="I1567">
        <f t="shared" si="265"/>
        <v>60</v>
      </c>
      <c r="J1567">
        <f t="shared" si="266"/>
        <v>1480</v>
      </c>
      <c r="K1567" s="5">
        <f t="shared" si="267"/>
        <v>0</v>
      </c>
      <c r="L1567">
        <f t="shared" si="268"/>
        <v>85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-185.65464092614403</v>
      </c>
      <c r="F1568" s="1">
        <f t="shared" si="274"/>
        <v>-187.65667373534308</v>
      </c>
      <c r="G1568" s="1">
        <f t="shared" si="271"/>
        <v>3.1749881186134769E-82</v>
      </c>
      <c r="H1568" s="1">
        <f t="shared" si="264"/>
        <v>3.1164820572023478E-83</v>
      </c>
      <c r="I1568">
        <f t="shared" si="265"/>
        <v>60</v>
      </c>
      <c r="J1568">
        <f t="shared" si="266"/>
        <v>1481</v>
      </c>
      <c r="K1568" s="5">
        <f t="shared" si="267"/>
        <v>0</v>
      </c>
      <c r="L1568">
        <f t="shared" si="268"/>
        <v>85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-185.77633786112156</v>
      </c>
      <c r="F1569" s="1">
        <f t="shared" si="274"/>
        <v>-187.77837067032061</v>
      </c>
      <c r="G1569" s="1">
        <f t="shared" si="271"/>
        <v>2.8111873966889723E-82</v>
      </c>
      <c r="H1569" s="1">
        <f t="shared" si="264"/>
        <v>2.7593851548145357E-83</v>
      </c>
      <c r="I1569">
        <f t="shared" si="265"/>
        <v>60</v>
      </c>
      <c r="J1569">
        <f t="shared" si="266"/>
        <v>1482</v>
      </c>
      <c r="K1569" s="5">
        <f t="shared" si="267"/>
        <v>0</v>
      </c>
      <c r="L1569">
        <f t="shared" si="268"/>
        <v>85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-185.8980347960991</v>
      </c>
      <c r="F1570" s="1">
        <f t="shared" si="274"/>
        <v>-187.90006760529815</v>
      </c>
      <c r="G1570" s="1">
        <f t="shared" si="271"/>
        <v>2.4890721741516549E-82</v>
      </c>
      <c r="H1570" s="1">
        <f t="shared" si="264"/>
        <v>2.4432056058253317E-83</v>
      </c>
      <c r="I1570">
        <f t="shared" si="265"/>
        <v>60</v>
      </c>
      <c r="J1570">
        <f t="shared" si="266"/>
        <v>1483</v>
      </c>
      <c r="K1570" s="5">
        <f t="shared" si="267"/>
        <v>0</v>
      </c>
      <c r="L1570">
        <f t="shared" si="268"/>
        <v>85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-186.01973173107663</v>
      </c>
      <c r="F1571" s="1">
        <f t="shared" si="274"/>
        <v>-188.02176454027568</v>
      </c>
      <c r="G1571" s="1">
        <f t="shared" si="271"/>
        <v>2.2038659875300768E-82</v>
      </c>
      <c r="H1571" s="1">
        <f t="shared" si="264"/>
        <v>2.1632549634911455E-83</v>
      </c>
      <c r="I1571">
        <f t="shared" si="265"/>
        <v>60</v>
      </c>
      <c r="J1571">
        <f t="shared" si="266"/>
        <v>1484</v>
      </c>
      <c r="K1571" s="5">
        <f t="shared" si="267"/>
        <v>0</v>
      </c>
      <c r="L1571">
        <f t="shared" si="268"/>
        <v>85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-186.14142866605417</v>
      </c>
      <c r="F1572" s="1">
        <f t="shared" si="274"/>
        <v>-188.14346147525322</v>
      </c>
      <c r="G1572" s="1">
        <f t="shared" si="271"/>
        <v>1.9513396764588916E-82</v>
      </c>
      <c r="H1572" s="1">
        <f t="shared" si="264"/>
        <v>1.9153819989244215E-83</v>
      </c>
      <c r="I1572">
        <f t="shared" si="265"/>
        <v>60</v>
      </c>
      <c r="J1572">
        <f t="shared" si="266"/>
        <v>1485</v>
      </c>
      <c r="K1572" s="5">
        <f t="shared" si="267"/>
        <v>0</v>
      </c>
      <c r="L1572">
        <f t="shared" si="268"/>
        <v>85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-186.2631256010317</v>
      </c>
      <c r="F1573" s="1">
        <f t="shared" si="274"/>
        <v>-188.26515841023075</v>
      </c>
      <c r="G1573" s="1">
        <f t="shared" si="271"/>
        <v>1.7277486718646165E-82</v>
      </c>
      <c r="H1573" s="1">
        <f t="shared" si="264"/>
        <v>1.6959111448809717E-83</v>
      </c>
      <c r="I1573">
        <f t="shared" si="265"/>
        <v>60</v>
      </c>
      <c r="J1573">
        <f t="shared" si="266"/>
        <v>1486</v>
      </c>
      <c r="K1573" s="5">
        <f t="shared" si="267"/>
        <v>0</v>
      </c>
      <c r="L1573">
        <f t="shared" si="268"/>
        <v>85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-186.38482253600924</v>
      </c>
      <c r="F1574" s="1">
        <f t="shared" si="274"/>
        <v>-188.38685534520829</v>
      </c>
      <c r="G1574" s="1">
        <f t="shared" si="271"/>
        <v>1.5297774698801054E-82</v>
      </c>
      <c r="H1574" s="1">
        <f t="shared" si="264"/>
        <v>1.501587992863337E-83</v>
      </c>
      <c r="I1574">
        <f t="shared" si="265"/>
        <v>60</v>
      </c>
      <c r="J1574">
        <f t="shared" si="266"/>
        <v>1487</v>
      </c>
      <c r="K1574" s="5">
        <f t="shared" si="267"/>
        <v>0</v>
      </c>
      <c r="L1574">
        <f t="shared" si="268"/>
        <v>85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-186.50651947098677</v>
      </c>
      <c r="F1575" s="1">
        <f t="shared" si="274"/>
        <v>-188.50855228018582</v>
      </c>
      <c r="G1575" s="1">
        <f t="shared" si="271"/>
        <v>1.3544904681229888E-82</v>
      </c>
      <c r="H1575" s="1">
        <f t="shared" si="264"/>
        <v>1.3295310353477255E-83</v>
      </c>
      <c r="I1575">
        <f t="shared" si="265"/>
        <v>60</v>
      </c>
      <c r="J1575">
        <f t="shared" si="266"/>
        <v>1488</v>
      </c>
      <c r="K1575" s="5">
        <f t="shared" si="267"/>
        <v>0</v>
      </c>
      <c r="L1575">
        <f t="shared" si="268"/>
        <v>85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-186.62821640596431</v>
      </c>
      <c r="F1576" s="1">
        <f t="shared" si="274"/>
        <v>-188.63024921516336</v>
      </c>
      <c r="G1576" s="1">
        <f t="shared" si="271"/>
        <v>1.1992884353172109E-82</v>
      </c>
      <c r="H1576" s="1">
        <f t="shared" si="264"/>
        <v>1.1771889375474468E-83</v>
      </c>
      <c r="I1576">
        <f t="shared" si="265"/>
        <v>60</v>
      </c>
      <c r="J1576">
        <f t="shared" si="266"/>
        <v>1489</v>
      </c>
      <c r="K1576" s="5">
        <f t="shared" si="267"/>
        <v>0</v>
      </c>
      <c r="L1576">
        <f t="shared" si="268"/>
        <v>85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-186.74991334094184</v>
      </c>
      <c r="F1577" s="1">
        <f t="shared" si="274"/>
        <v>-188.7519461501409</v>
      </c>
      <c r="G1577" s="1">
        <f t="shared" si="271"/>
        <v>1.0618699687704305E-82</v>
      </c>
      <c r="H1577" s="1">
        <f t="shared" si="264"/>
        <v>1.0423027051201189E-83</v>
      </c>
      <c r="I1577">
        <f t="shared" si="265"/>
        <v>60</v>
      </c>
      <c r="J1577">
        <f t="shared" si="266"/>
        <v>1490</v>
      </c>
      <c r="K1577" s="5">
        <f t="shared" si="267"/>
        <v>0</v>
      </c>
      <c r="L1577">
        <f t="shared" si="268"/>
        <v>85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-186.87161027591938</v>
      </c>
      <c r="F1578" s="1">
        <f t="shared" si="274"/>
        <v>-188.87364308511843</v>
      </c>
      <c r="G1578" s="1">
        <f t="shared" si="271"/>
        <v>9.4019736818213732E-83</v>
      </c>
      <c r="H1578" s="1">
        <f t="shared" si="264"/>
        <v>9.2287218682509087E-84</v>
      </c>
      <c r="I1578">
        <f t="shared" si="265"/>
        <v>60</v>
      </c>
      <c r="J1578">
        <f t="shared" si="266"/>
        <v>1491</v>
      </c>
      <c r="K1578" s="5">
        <f t="shared" si="267"/>
        <v>0</v>
      </c>
      <c r="L1578">
        <f t="shared" si="268"/>
        <v>85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-186.99330721089692</v>
      </c>
      <c r="F1579" s="1">
        <f t="shared" si="274"/>
        <v>-188.99534002009597</v>
      </c>
      <c r="G1579" s="1">
        <f t="shared" si="271"/>
        <v>8.324664197445877E-83</v>
      </c>
      <c r="H1579" s="1">
        <f t="shared" si="264"/>
        <v>8.171264154180364E-84</v>
      </c>
      <c r="I1579">
        <f t="shared" si="265"/>
        <v>60</v>
      </c>
      <c r="J1579">
        <f t="shared" si="266"/>
        <v>1492</v>
      </c>
      <c r="K1579" s="5">
        <f t="shared" si="267"/>
        <v>0</v>
      </c>
      <c r="L1579">
        <f t="shared" si="268"/>
        <v>85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-187.11500414587445</v>
      </c>
      <c r="F1580" s="1">
        <f t="shared" si="274"/>
        <v>-189.1170369550735</v>
      </c>
      <c r="G1580" s="1">
        <f t="shared" si="271"/>
        <v>7.3707964248217554E-83</v>
      </c>
      <c r="H1580" s="1">
        <f t="shared" si="264"/>
        <v>7.2349734698470844E-84</v>
      </c>
      <c r="I1580">
        <f t="shared" si="265"/>
        <v>60</v>
      </c>
      <c r="J1580">
        <f t="shared" si="266"/>
        <v>1493</v>
      </c>
      <c r="K1580" s="5">
        <f t="shared" si="267"/>
        <v>0</v>
      </c>
      <c r="L1580">
        <f t="shared" si="268"/>
        <v>85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-187.23670108085199</v>
      </c>
      <c r="F1581" s="1">
        <f t="shared" si="274"/>
        <v>-189.23873389005104</v>
      </c>
      <c r="G1581" s="1">
        <f t="shared" si="271"/>
        <v>6.5262260011441604E-83</v>
      </c>
      <c r="H1581" s="1">
        <f t="shared" si="264"/>
        <v>6.4059660930936723E-84</v>
      </c>
      <c r="I1581">
        <f t="shared" si="265"/>
        <v>60</v>
      </c>
      <c r="J1581">
        <f t="shared" si="266"/>
        <v>1494</v>
      </c>
      <c r="K1581" s="5">
        <f t="shared" si="267"/>
        <v>0</v>
      </c>
      <c r="L1581">
        <f t="shared" si="268"/>
        <v>85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-187.35839801582952</v>
      </c>
      <c r="F1582" s="1">
        <f t="shared" si="274"/>
        <v>-189.36043082502857</v>
      </c>
      <c r="G1582" s="1">
        <f t="shared" si="271"/>
        <v>5.7784292718463017E-83</v>
      </c>
      <c r="H1582" s="1">
        <f t="shared" si="264"/>
        <v>5.6719491449266006E-84</v>
      </c>
      <c r="I1582">
        <f t="shared" si="265"/>
        <v>60</v>
      </c>
      <c r="J1582">
        <f t="shared" si="266"/>
        <v>1495</v>
      </c>
      <c r="K1582" s="5">
        <f t="shared" si="267"/>
        <v>0</v>
      </c>
      <c r="L1582">
        <f t="shared" si="268"/>
        <v>85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-187.48009495080706</v>
      </c>
      <c r="F1583" s="1">
        <f t="shared" si="274"/>
        <v>-189.48212776000611</v>
      </c>
      <c r="G1583" s="1">
        <f t="shared" si="271"/>
        <v>5.1163175844471668E-83</v>
      </c>
      <c r="H1583" s="1">
        <f t="shared" si="264"/>
        <v>5.0220383054036827E-84</v>
      </c>
      <c r="I1583">
        <f t="shared" si="265"/>
        <v>60</v>
      </c>
      <c r="J1583">
        <f t="shared" si="266"/>
        <v>1496</v>
      </c>
      <c r="K1583" s="5">
        <f t="shared" si="267"/>
        <v>0</v>
      </c>
      <c r="L1583">
        <f t="shared" si="268"/>
        <v>85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-187.60179188578459</v>
      </c>
      <c r="F1584" s="1">
        <f t="shared" si="274"/>
        <v>-189.60382469498364</v>
      </c>
      <c r="G1584" s="1">
        <f t="shared" si="271"/>
        <v>4.5300728612291915E-83</v>
      </c>
      <c r="H1584" s="1">
        <f t="shared" si="264"/>
        <v>4.4465964162427745E-84</v>
      </c>
      <c r="I1584">
        <f t="shared" si="265"/>
        <v>60</v>
      </c>
      <c r="J1584">
        <f t="shared" si="266"/>
        <v>1497</v>
      </c>
      <c r="K1584" s="5">
        <f t="shared" si="267"/>
        <v>0</v>
      </c>
      <c r="L1584">
        <f t="shared" si="268"/>
        <v>85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-187.72348882076213</v>
      </c>
      <c r="F1585" s="1">
        <f t="shared" si="274"/>
        <v>-189.72552162996118</v>
      </c>
      <c r="G1585" s="1">
        <f t="shared" si="271"/>
        <v>4.0110020125466169E-83</v>
      </c>
      <c r="H1585" s="1">
        <f t="shared" si="264"/>
        <v>3.9370905768815615E-84</v>
      </c>
      <c r="I1585">
        <f t="shared" si="265"/>
        <v>60</v>
      </c>
      <c r="J1585">
        <f t="shared" si="266"/>
        <v>1498</v>
      </c>
      <c r="K1585" s="5">
        <f t="shared" si="267"/>
        <v>0</v>
      </c>
      <c r="L1585">
        <f t="shared" si="268"/>
        <v>85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-187.84518575573966</v>
      </c>
      <c r="F1586" s="1">
        <f t="shared" si="274"/>
        <v>-189.84721856493871</v>
      </c>
      <c r="G1586" s="1">
        <f t="shared" si="271"/>
        <v>3.5514080319422616E-83</v>
      </c>
      <c r="H1586" s="1">
        <f t="shared" si="264"/>
        <v>3.4859656149471616E-84</v>
      </c>
      <c r="I1586">
        <f t="shared" si="265"/>
        <v>60</v>
      </c>
      <c r="J1586">
        <f t="shared" si="266"/>
        <v>1499</v>
      </c>
      <c r="K1586" s="5">
        <f t="shared" si="267"/>
        <v>0</v>
      </c>
      <c r="L1586">
        <f t="shared" si="268"/>
        <v>85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-187.9668826907172</v>
      </c>
      <c r="F1587" s="1">
        <f t="shared" si="274"/>
        <v>-189.96891549991625</v>
      </c>
      <c r="G1587" s="1">
        <f t="shared" si="271"/>
        <v>3.1444758616154948E-83</v>
      </c>
      <c r="H1587" s="1">
        <f t="shared" si="264"/>
        <v>3.0865320549010839E-84</v>
      </c>
      <c r="I1587">
        <f t="shared" si="265"/>
        <v>60</v>
      </c>
      <c r="J1587">
        <f t="shared" si="266"/>
        <v>1500</v>
      </c>
      <c r="K1587" s="5">
        <f t="shared" si="267"/>
        <v>0</v>
      </c>
      <c r="L1587">
        <f t="shared" si="268"/>
        <v>85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-188.08857962569473</v>
      </c>
      <c r="F1588" s="1">
        <f t="shared" si="274"/>
        <v>-190.09061243489379</v>
      </c>
      <c r="G1588" s="1">
        <f t="shared" si="271"/>
        <v>2.7841713358053427E-83</v>
      </c>
      <c r="H1588" s="1">
        <f t="shared" si="264"/>
        <v>2.7328669236102923E-84</v>
      </c>
      <c r="I1588">
        <f t="shared" si="265"/>
        <v>60</v>
      </c>
      <c r="J1588">
        <f t="shared" si="266"/>
        <v>1501</v>
      </c>
      <c r="K1588" s="5">
        <f t="shared" si="267"/>
        <v>0</v>
      </c>
      <c r="L1588">
        <f t="shared" si="268"/>
        <v>85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-188.21027656067227</v>
      </c>
      <c r="F1589" s="1">
        <f t="shared" si="274"/>
        <v>-190.21230936987132</v>
      </c>
      <c r="G1589" s="1">
        <f t="shared" si="271"/>
        <v>2.4651517035776085E-83</v>
      </c>
      <c r="H1589" s="1">
        <f t="shared" si="264"/>
        <v>2.419725921946575E-84</v>
      </c>
      <c r="I1589">
        <f t="shared" si="265"/>
        <v>60</v>
      </c>
      <c r="J1589">
        <f t="shared" si="266"/>
        <v>1502</v>
      </c>
      <c r="K1589" s="5">
        <f t="shared" si="267"/>
        <v>0</v>
      </c>
      <c r="L1589">
        <f t="shared" si="268"/>
        <v>85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-188.33197349564981</v>
      </c>
      <c r="F1590" s="1">
        <f t="shared" si="274"/>
        <v>-190.33400630484886</v>
      </c>
      <c r="G1590" s="1">
        <f t="shared" si="271"/>
        <v>2.1826864042093066E-83</v>
      </c>
      <c r="H1590" s="1">
        <f t="shared" si="264"/>
        <v>2.1424656600568298E-84</v>
      </c>
      <c r="I1590">
        <f t="shared" si="265"/>
        <v>60</v>
      </c>
      <c r="J1590">
        <f t="shared" si="266"/>
        <v>1503</v>
      </c>
      <c r="K1590" s="5">
        <f t="shared" si="267"/>
        <v>0</v>
      </c>
      <c r="L1590">
        <f t="shared" si="268"/>
        <v>85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-188.45367043062734</v>
      </c>
      <c r="F1591" s="1">
        <f t="shared" si="274"/>
        <v>-190.45570323982639</v>
      </c>
      <c r="G1591" s="1">
        <f t="shared" si="271"/>
        <v>1.932586920393627E-83</v>
      </c>
      <c r="H1591" s="1">
        <f t="shared" si="264"/>
        <v>1.8969748031752887E-84</v>
      </c>
      <c r="I1591">
        <f t="shared" si="265"/>
        <v>60</v>
      </c>
      <c r="J1591">
        <f t="shared" si="266"/>
        <v>1504</v>
      </c>
      <c r="K1591" s="5">
        <f t="shared" si="267"/>
        <v>0</v>
      </c>
      <c r="L1591">
        <f t="shared" si="268"/>
        <v>85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-188.57536736560488</v>
      </c>
      <c r="F1592" s="1">
        <f t="shared" si="274"/>
        <v>-190.57740017480393</v>
      </c>
      <c r="G1592" s="1">
        <f t="shared" si="271"/>
        <v>1.7111446690984969E-83</v>
      </c>
      <c r="H1592" s="1">
        <f t="shared" si="264"/>
        <v>1.6796131069780937E-84</v>
      </c>
      <c r="I1592">
        <f t="shared" si="265"/>
        <v>60</v>
      </c>
      <c r="J1592">
        <f t="shared" si="266"/>
        <v>1505</v>
      </c>
      <c r="K1592" s="5">
        <f t="shared" si="267"/>
        <v>0</v>
      </c>
      <c r="L1592">
        <f t="shared" si="268"/>
        <v>85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-188.69706430058241</v>
      </c>
      <c r="F1593" s="1">
        <f t="shared" si="274"/>
        <v>-190.69909710978146</v>
      </c>
      <c r="G1593" s="1">
        <f t="shared" si="271"/>
        <v>1.5150760090976039E-83</v>
      </c>
      <c r="H1593" s="1">
        <f t="shared" si="264"/>
        <v>1.4871574384701639E-84</v>
      </c>
      <c r="I1593">
        <f t="shared" si="265"/>
        <v>60</v>
      </c>
      <c r="J1593">
        <f t="shared" si="266"/>
        <v>1506</v>
      </c>
      <c r="K1593" s="5">
        <f t="shared" si="267"/>
        <v>0</v>
      </c>
      <c r="L1593">
        <f t="shared" si="268"/>
        <v>85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-188.81876123555995</v>
      </c>
      <c r="F1594" s="1">
        <f t="shared" si="274"/>
        <v>-190.820794044759</v>
      </c>
      <c r="G1594" s="1">
        <f t="shared" si="271"/>
        <v>1.3414735497218157E-83</v>
      </c>
      <c r="H1594" s="1">
        <f t="shared" si="264"/>
        <v>1.3167539819787704E-84</v>
      </c>
      <c r="I1594">
        <f t="shared" si="265"/>
        <v>60</v>
      </c>
      <c r="J1594">
        <f t="shared" si="266"/>
        <v>1507</v>
      </c>
      <c r="K1594" s="5">
        <f t="shared" si="267"/>
        <v>0</v>
      </c>
      <c r="L1594">
        <f t="shared" si="268"/>
        <v>85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-188.94045817053748</v>
      </c>
      <c r="F1595" s="1">
        <f t="shared" si="274"/>
        <v>-190.94249097973653</v>
      </c>
      <c r="G1595" s="1">
        <f t="shared" si="271"/>
        <v>1.1877630388161725E-83</v>
      </c>
      <c r="H1595" s="1">
        <f t="shared" si="264"/>
        <v>1.1658759215436848E-84</v>
      </c>
      <c r="I1595">
        <f t="shared" si="265"/>
        <v>60</v>
      </c>
      <c r="J1595">
        <f t="shared" si="266"/>
        <v>1508</v>
      </c>
      <c r="K1595" s="5">
        <f t="shared" si="267"/>
        <v>0</v>
      </c>
      <c r="L1595">
        <f t="shared" si="268"/>
        <v>85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-189.06215510551502</v>
      </c>
      <c r="F1596" s="1">
        <f t="shared" si="274"/>
        <v>-191.06418791471407</v>
      </c>
      <c r="G1596" s="1">
        <f t="shared" si="271"/>
        <v>1.0516651906184696E-83</v>
      </c>
      <c r="H1596" s="1">
        <f t="shared" si="264"/>
        <v>1.0322859722001213E-84</v>
      </c>
      <c r="I1596">
        <f t="shared" si="265"/>
        <v>60</v>
      </c>
      <c r="J1596">
        <f t="shared" si="266"/>
        <v>1509</v>
      </c>
      <c r="K1596" s="5">
        <f t="shared" si="267"/>
        <v>0</v>
      </c>
      <c r="L1596">
        <f t="shared" si="268"/>
        <v>85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-189.18385204049255</v>
      </c>
      <c r="F1597" s="1">
        <f t="shared" si="274"/>
        <v>-191.1858848496916</v>
      </c>
      <c r="G1597" s="1">
        <f t="shared" si="271"/>
        <v>9.3116188752675541E-84</v>
      </c>
      <c r="H1597" s="1">
        <f t="shared" si="264"/>
        <v>9.1400320455217648E-85</v>
      </c>
      <c r="I1597">
        <f t="shared" si="265"/>
        <v>60</v>
      </c>
      <c r="J1597">
        <f t="shared" si="266"/>
        <v>1510</v>
      </c>
      <c r="K1597" s="5">
        <f t="shared" si="267"/>
        <v>0</v>
      </c>
      <c r="L1597">
        <f t="shared" si="268"/>
        <v>85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-189.30554897547009</v>
      </c>
      <c r="F1598" s="1">
        <f t="shared" si="274"/>
        <v>-191.30758178466914</v>
      </c>
      <c r="G1598" s="1">
        <f t="shared" si="271"/>
        <v>8.2446625458096842E-84</v>
      </c>
      <c r="H1598" s="1">
        <f t="shared" si="264"/>
        <v>8.0927367069722699E-85</v>
      </c>
      <c r="I1598">
        <f t="shared" si="265"/>
        <v>60</v>
      </c>
      <c r="J1598">
        <f t="shared" si="266"/>
        <v>1511</v>
      </c>
      <c r="K1598" s="5">
        <f t="shared" si="267"/>
        <v>0</v>
      </c>
      <c r="L1598">
        <f t="shared" si="268"/>
        <v>85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-189.42724591044762</v>
      </c>
      <c r="F1599" s="1">
        <f t="shared" si="274"/>
        <v>-191.42927871964667</v>
      </c>
      <c r="G1599" s="1">
        <f t="shared" si="271"/>
        <v>7.2999616291022103E-84</v>
      </c>
      <c r="H1599" s="1">
        <f t="shared" si="264"/>
        <v>7.1654439592982514E-85</v>
      </c>
      <c r="I1599">
        <f t="shared" si="265"/>
        <v>60</v>
      </c>
      <c r="J1599">
        <f t="shared" si="266"/>
        <v>1512</v>
      </c>
      <c r="K1599" s="5">
        <f t="shared" si="267"/>
        <v>0</v>
      </c>
      <c r="L1599">
        <f t="shared" si="268"/>
        <v>85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-189.54894284542516</v>
      </c>
      <c r="F1600" s="1">
        <f t="shared" si="274"/>
        <v>-191.55097565462421</v>
      </c>
      <c r="G1600" s="1">
        <f t="shared" si="271"/>
        <v>6.4635076924341484E-84</v>
      </c>
      <c r="H1600" s="1">
        <f t="shared" si="264"/>
        <v>6.3444035056285614E-85</v>
      </c>
      <c r="I1600">
        <f t="shared" si="265"/>
        <v>60</v>
      </c>
      <c r="J1600">
        <f t="shared" si="266"/>
        <v>1513</v>
      </c>
      <c r="K1600" s="5">
        <f t="shared" si="267"/>
        <v>0</v>
      </c>
      <c r="L1600">
        <f t="shared" si="268"/>
        <v>85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-189.67063978040269</v>
      </c>
      <c r="F1601" s="1">
        <f t="shared" si="274"/>
        <v>-191.67267258960175</v>
      </c>
      <c r="G1601" s="1">
        <f t="shared" si="271"/>
        <v>5.7228974360093119E-84</v>
      </c>
      <c r="H1601" s="1">
        <f t="shared" si="264"/>
        <v>5.6174406039418664E-85</v>
      </c>
      <c r="I1601">
        <f t="shared" si="265"/>
        <v>60</v>
      </c>
      <c r="J1601">
        <f t="shared" si="266"/>
        <v>1514</v>
      </c>
      <c r="K1601" s="5">
        <f t="shared" si="267"/>
        <v>0</v>
      </c>
      <c r="L1601">
        <f t="shared" si="268"/>
        <v>85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-189.79233671538023</v>
      </c>
      <c r="F1602" s="1">
        <f t="shared" si="274"/>
        <v>-191.79436952457928</v>
      </c>
      <c r="G1602" s="1">
        <f t="shared" si="271"/>
        <v>5.0671487714664997E-84</v>
      </c>
      <c r="H1602" s="1">
        <f t="shared" si="264"/>
        <v>4.9737755347401176E-85</v>
      </c>
      <c r="I1602">
        <f t="shared" si="265"/>
        <v>60</v>
      </c>
      <c r="J1602">
        <f t="shared" si="266"/>
        <v>1515</v>
      </c>
      <c r="K1602" s="5">
        <f t="shared" si="267"/>
        <v>0</v>
      </c>
      <c r="L1602">
        <f t="shared" si="268"/>
        <v>85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-189.91403365035777</v>
      </c>
      <c r="F1603" s="1">
        <f t="shared" si="274"/>
        <v>-191.91606645955682</v>
      </c>
      <c r="G1603" s="1">
        <f t="shared" si="271"/>
        <v>4.4865379747358928E-84</v>
      </c>
      <c r="H1603" s="1">
        <f t="shared" si="264"/>
        <v>4.4038637547177432E-85</v>
      </c>
      <c r="I1603">
        <f t="shared" si="265"/>
        <v>60</v>
      </c>
      <c r="J1603">
        <f t="shared" si="266"/>
        <v>1516</v>
      </c>
      <c r="K1603" s="5">
        <f t="shared" si="267"/>
        <v>0</v>
      </c>
      <c r="L1603">
        <f t="shared" si="268"/>
        <v>85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-190.0357305853353</v>
      </c>
      <c r="F1604" s="1">
        <f t="shared" si="274"/>
        <v>-192.03776339453435</v>
      </c>
      <c r="G1604" s="1">
        <f t="shared" si="271"/>
        <v>3.9724554984640096E-84</v>
      </c>
      <c r="H1604" s="1">
        <f t="shared" si="264"/>
        <v>3.8992543661562744E-85</v>
      </c>
      <c r="I1604">
        <f t="shared" si="265"/>
        <v>60</v>
      </c>
      <c r="J1604">
        <f t="shared" si="266"/>
        <v>1517</v>
      </c>
      <c r="K1604" s="5">
        <f t="shared" si="267"/>
        <v>0</v>
      </c>
      <c r="L1604">
        <f t="shared" si="268"/>
        <v>85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-190.15742752031284</v>
      </c>
      <c r="F1605" s="1">
        <f t="shared" si="274"/>
        <v>-192.15946032951189</v>
      </c>
      <c r="G1605" s="1">
        <f t="shared" si="271"/>
        <v>3.5172783059316204E-84</v>
      </c>
      <c r="H1605" s="1">
        <f t="shared" si="264"/>
        <v>3.4524648033674809E-85</v>
      </c>
      <c r="I1605">
        <f t="shared" si="265"/>
        <v>60</v>
      </c>
      <c r="J1605">
        <f t="shared" si="266"/>
        <v>1518</v>
      </c>
      <c r="K1605" s="5">
        <f t="shared" si="267"/>
        <v>0</v>
      </c>
      <c r="L1605">
        <f t="shared" si="268"/>
        <v>85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-190.27912445529037</v>
      </c>
      <c r="F1606" s="1">
        <f t="shared" si="274"/>
        <v>-192.28115726448942</v>
      </c>
      <c r="G1606" s="1">
        <f t="shared" si="271"/>
        <v>3.1142568333769068E-84</v>
      </c>
      <c r="H1606" s="1">
        <f t="shared" si="264"/>
        <v>3.0568698779815757E-85</v>
      </c>
      <c r="I1606">
        <f t="shared" si="265"/>
        <v>60</v>
      </c>
      <c r="J1606">
        <f t="shared" si="266"/>
        <v>1519</v>
      </c>
      <c r="K1606" s="5">
        <f t="shared" si="267"/>
        <v>0</v>
      </c>
      <c r="L1606">
        <f t="shared" si="268"/>
        <v>85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-190.40082139026791</v>
      </c>
      <c r="F1607" s="1">
        <f t="shared" si="274"/>
        <v>-192.40285419946696</v>
      </c>
      <c r="G1607" s="1">
        <f t="shared" si="271"/>
        <v>2.7574149045524263E-84</v>
      </c>
      <c r="H1607" s="1">
        <f t="shared" si="264"/>
        <v>2.7066035377961445E-85</v>
      </c>
      <c r="I1607">
        <f t="shared" si="265"/>
        <v>60</v>
      </c>
      <c r="J1607">
        <f t="shared" si="266"/>
        <v>1520</v>
      </c>
      <c r="K1607" s="5">
        <f t="shared" si="267"/>
        <v>0</v>
      </c>
      <c r="L1607">
        <f t="shared" si="268"/>
        <v>85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-190.52251832524544</v>
      </c>
      <c r="F1608" s="1">
        <f t="shared" si="274"/>
        <v>-192.52455113444449</v>
      </c>
      <c r="G1608" s="1">
        <f t="shared" si="271"/>
        <v>2.441461113405756E-84</v>
      </c>
      <c r="H1608" s="1">
        <f t="shared" si="264"/>
        <v>2.396471882423632E-85</v>
      </c>
      <c r="I1608">
        <f t="shared" si="265"/>
        <v>60</v>
      </c>
      <c r="J1608">
        <f t="shared" si="266"/>
        <v>1521</v>
      </c>
      <c r="K1608" s="5">
        <f t="shared" si="267"/>
        <v>0</v>
      </c>
      <c r="L1608">
        <f t="shared" si="268"/>
        <v>85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-190.64421526022298</v>
      </c>
      <c r="F1609" s="1">
        <f t="shared" si="274"/>
        <v>-192.64624806942203</v>
      </c>
      <c r="G1609" s="1">
        <f t="shared" si="271"/>
        <v>2.1617103608279793E-84</v>
      </c>
      <c r="H1609" s="1">
        <f t="shared" si="264"/>
        <v>2.1218761458958909E-85</v>
      </c>
      <c r="I1609">
        <f t="shared" si="265"/>
        <v>60</v>
      </c>
      <c r="J1609">
        <f t="shared" si="266"/>
        <v>1522</v>
      </c>
      <c r="K1609" s="5">
        <f t="shared" si="267"/>
        <v>0</v>
      </c>
      <c r="L1609">
        <f t="shared" si="268"/>
        <v>85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-190.76591219520051</v>
      </c>
      <c r="F1610" s="1">
        <f t="shared" si="274"/>
        <v>-192.76794500439956</v>
      </c>
      <c r="G1610" s="1">
        <f t="shared" si="271"/>
        <v>1.9140143819830769E-84</v>
      </c>
      <c r="H1610" s="1">
        <f t="shared" si="264"/>
        <v>1.8787445041786242E-85</v>
      </c>
      <c r="I1610">
        <f t="shared" si="265"/>
        <v>60</v>
      </c>
      <c r="J1610">
        <f t="shared" si="266"/>
        <v>1523</v>
      </c>
      <c r="K1610" s="5">
        <f t="shared" si="267"/>
        <v>0</v>
      </c>
      <c r="L1610">
        <f t="shared" si="268"/>
        <v>85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-190.88760913017805</v>
      </c>
      <c r="F1611" s="1">
        <f t="shared" si="274"/>
        <v>-192.8896419393771</v>
      </c>
      <c r="G1611" s="1">
        <f t="shared" si="271"/>
        <v>1.6947002340474893E-84</v>
      </c>
      <c r="H1611" s="1">
        <f t="shared" si="264"/>
        <v>1.6634716964081306E-85</v>
      </c>
      <c r="I1611">
        <f t="shared" si="265"/>
        <v>60</v>
      </c>
      <c r="J1611">
        <f t="shared" si="266"/>
        <v>1524</v>
      </c>
      <c r="K1611" s="5">
        <f t="shared" si="267"/>
        <v>0</v>
      </c>
      <c r="L1611">
        <f t="shared" si="268"/>
        <v>85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-191.00930606515558</v>
      </c>
      <c r="F1612" s="1">
        <f t="shared" si="274"/>
        <v>-193.01133887435464</v>
      </c>
      <c r="G1612" s="1">
        <f t="shared" si="271"/>
        <v>1.5005158322295244E-84</v>
      </c>
      <c r="H1612" s="1">
        <f t="shared" si="264"/>
        <v>1.4728655645280095E-85</v>
      </c>
      <c r="I1612">
        <f t="shared" si="265"/>
        <v>60</v>
      </c>
      <c r="J1612">
        <f t="shared" si="266"/>
        <v>1525</v>
      </c>
      <c r="K1612" s="5">
        <f t="shared" si="267"/>
        <v>0</v>
      </c>
      <c r="L1612">
        <f t="shared" si="268"/>
        <v>85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-191.13100300013312</v>
      </c>
      <c r="F1613" s="1">
        <f t="shared" si="274"/>
        <v>-193.13303580933217</v>
      </c>
      <c r="G1613" s="1">
        <f t="shared" si="271"/>
        <v>1.3285817264532039E-84</v>
      </c>
      <c r="H1613" s="1">
        <f t="shared" si="264"/>
        <v>1.304099718592488E-85</v>
      </c>
      <c r="I1613">
        <f t="shared" si="265"/>
        <v>60</v>
      </c>
      <c r="J1613">
        <f t="shared" si="266"/>
        <v>1526</v>
      </c>
      <c r="K1613" s="5">
        <f t="shared" si="267"/>
        <v>0</v>
      </c>
      <c r="L1613">
        <f t="shared" si="268"/>
        <v>85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-191.25269993511066</v>
      </c>
      <c r="F1614" s="1">
        <f t="shared" si="274"/>
        <v>-193.25473274430971</v>
      </c>
      <c r="G1614" s="1">
        <f t="shared" si="271"/>
        <v>1.1763484036304227E-84</v>
      </c>
      <c r="H1614" s="1">
        <f t="shared" si="264"/>
        <v>1.1546716258370807E-85</v>
      </c>
      <c r="I1614">
        <f t="shared" si="265"/>
        <v>60</v>
      </c>
      <c r="J1614">
        <f t="shared" si="266"/>
        <v>1527</v>
      </c>
      <c r="K1614" s="5">
        <f t="shared" si="267"/>
        <v>0</v>
      </c>
      <c r="L1614">
        <f t="shared" si="268"/>
        <v>85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-191.37439687008819</v>
      </c>
      <c r="F1615" s="1">
        <f t="shared" si="274"/>
        <v>-193.37642967928724</v>
      </c>
      <c r="G1615" s="1">
        <f t="shared" si="271"/>
        <v>1.041558482381087E-84</v>
      </c>
      <c r="H1615" s="1">
        <f t="shared" si="264"/>
        <v>1.0223655020432323E-85</v>
      </c>
      <c r="I1615">
        <f t="shared" si="265"/>
        <v>60</v>
      </c>
      <c r="J1615">
        <f t="shared" si="266"/>
        <v>1528</v>
      </c>
      <c r="K1615" s="5">
        <f t="shared" si="267"/>
        <v>0</v>
      </c>
      <c r="L1615">
        <f t="shared" si="268"/>
        <v>85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-191.49609380506573</v>
      </c>
      <c r="F1616" s="1">
        <f t="shared" si="274"/>
        <v>-193.49812661426478</v>
      </c>
      <c r="G1616" s="1">
        <f t="shared" si="271"/>
        <v>9.2221323960823971E-85</v>
      </c>
      <c r="H1616" s="1">
        <f t="shared" si="264"/>
        <v>9.0521945493409795E-86</v>
      </c>
      <c r="I1616">
        <f t="shared" si="265"/>
        <v>60</v>
      </c>
      <c r="J1616">
        <f t="shared" si="266"/>
        <v>1529</v>
      </c>
      <c r="K1616" s="5">
        <f t="shared" si="267"/>
        <v>0</v>
      </c>
      <c r="L1616">
        <f t="shared" si="268"/>
        <v>85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-191.61779074004326</v>
      </c>
      <c r="F1617" s="1">
        <f t="shared" si="274"/>
        <v>-193.61982354924231</v>
      </c>
      <c r="G1617" s="1">
        <f t="shared" si="271"/>
        <v>8.1654297256978282E-85</v>
      </c>
      <c r="H1617" s="1">
        <f t="shared" si="264"/>
        <v>8.0149639238955326E-86</v>
      </c>
      <c r="I1617">
        <f t="shared" si="265"/>
        <v>60</v>
      </c>
      <c r="J1617">
        <f t="shared" si="266"/>
        <v>1530</v>
      </c>
      <c r="K1617" s="5">
        <f t="shared" si="267"/>
        <v>0</v>
      </c>
      <c r="L1617">
        <f t="shared" si="268"/>
        <v>85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-191.7394876750208</v>
      </c>
      <c r="F1618" s="1">
        <f t="shared" si="274"/>
        <v>-193.74152048421985</v>
      </c>
      <c r="G1618" s="1">
        <f t="shared" si="271"/>
        <v>7.2298075696281731E-85</v>
      </c>
      <c r="H1618" s="1">
        <f t="shared" si="264"/>
        <v>7.0965826409490598E-86</v>
      </c>
      <c r="I1618">
        <f t="shared" si="265"/>
        <v>60</v>
      </c>
      <c r="J1618">
        <f t="shared" si="266"/>
        <v>1531</v>
      </c>
      <c r="K1618" s="5">
        <f t="shared" si="267"/>
        <v>0</v>
      </c>
      <c r="L1618">
        <f t="shared" si="268"/>
        <v>85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-191.86118460999833</v>
      </c>
      <c r="F1619" s="1">
        <f t="shared" si="274"/>
        <v>-193.86321741919738</v>
      </c>
      <c r="G1619" s="1">
        <f t="shared" si="271"/>
        <v>6.4013921189415108E-85</v>
      </c>
      <c r="H1619" s="1">
        <f t="shared" si="264"/>
        <v>6.2834325466735481E-86</v>
      </c>
      <c r="I1619">
        <f t="shared" si="265"/>
        <v>60</v>
      </c>
      <c r="J1619">
        <f t="shared" si="266"/>
        <v>1532</v>
      </c>
      <c r="K1619" s="5">
        <f t="shared" si="267"/>
        <v>0</v>
      </c>
      <c r="L1619">
        <f t="shared" si="268"/>
        <v>85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-191.98288154497587</v>
      </c>
      <c r="F1620" s="1">
        <f t="shared" si="274"/>
        <v>-193.98491435417492</v>
      </c>
      <c r="G1620" s="1">
        <f t="shared" si="271"/>
        <v>5.6678992719793745E-85</v>
      </c>
      <c r="H1620" s="1">
        <f t="shared" si="264"/>
        <v>5.5634559007004503E-86</v>
      </c>
      <c r="I1620">
        <f t="shared" si="265"/>
        <v>60</v>
      </c>
      <c r="J1620">
        <f t="shared" si="266"/>
        <v>1533</v>
      </c>
      <c r="K1620" s="5">
        <f t="shared" si="267"/>
        <v>0</v>
      </c>
      <c r="L1620">
        <f t="shared" si="268"/>
        <v>85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-192.1045784799534</v>
      </c>
      <c r="F1621" s="1">
        <f t="shared" si="274"/>
        <v>-194.10661128915245</v>
      </c>
      <c r="G1621" s="1">
        <f t="shared" si="271"/>
        <v>5.018452480398326E-85</v>
      </c>
      <c r="H1621" s="1">
        <f t="shared" si="264"/>
        <v>4.9259765787451134E-86</v>
      </c>
      <c r="I1621">
        <f t="shared" si="265"/>
        <v>60</v>
      </c>
      <c r="J1621">
        <f t="shared" si="266"/>
        <v>1534</v>
      </c>
      <c r="K1621" s="5">
        <f t="shared" si="267"/>
        <v>0</v>
      </c>
      <c r="L1621">
        <f t="shared" si="268"/>
        <v>85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-192.22627541493094</v>
      </c>
      <c r="F1622" s="1">
        <f t="shared" si="274"/>
        <v>-194.22830822412999</v>
      </c>
      <c r="G1622" s="1">
        <f t="shared" si="271"/>
        <v>4.4434214670192815E-85</v>
      </c>
      <c r="H1622" s="1">
        <f t="shared" si="264"/>
        <v>4.3615417624305005E-86</v>
      </c>
      <c r="I1622">
        <f t="shared" si="265"/>
        <v>60</v>
      </c>
      <c r="J1622">
        <f t="shared" si="266"/>
        <v>1535</v>
      </c>
      <c r="K1622" s="5">
        <f t="shared" si="267"/>
        <v>0</v>
      </c>
      <c r="L1622">
        <f t="shared" si="268"/>
        <v>85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-192.34797234990847</v>
      </c>
      <c r="F1623" s="1">
        <f t="shared" si="274"/>
        <v>-194.35000515910752</v>
      </c>
      <c r="G1623" s="1">
        <f t="shared" si="271"/>
        <v>3.9342794239232607E-85</v>
      </c>
      <c r="H1623" s="1">
        <f t="shared" ref="H1623:H1686" si="275">G1623/$G$21</f>
        <v>3.8617817688186122E-86</v>
      </c>
      <c r="I1623">
        <f t="shared" ref="I1623:I1686" si="276">IF($F$11&lt;=D1623, IF(D1623&lt;=$A$15,D1623-$F$11,$C$11),0)</f>
        <v>60</v>
      </c>
      <c r="J1623">
        <f t="shared" ref="J1623:J1686" si="277">IF(D1623&lt;=$A$15,0,D1623-$A$15)</f>
        <v>1536</v>
      </c>
      <c r="K1623" s="5">
        <f t="shared" ref="K1623:K1686" si="278">IF(D1623&lt;$F$11,H1623,0)</f>
        <v>0</v>
      </c>
      <c r="L1623">
        <f t="shared" ref="L1623:L1686" si="279">IF(D1623&lt;$A$15,$D$11,$D$11*(1-$H$11))</f>
        <v>85</v>
      </c>
      <c r="M1623">
        <f t="shared" ref="M1623:M1686" si="280">IF(D1623&lt;$A$15,0,1)</f>
        <v>1</v>
      </c>
      <c r="N1623">
        <f t="shared" ref="N1623:N1686" si="281">IF(SUM(I1623:J1623)&lt;=($G$11/60*$F$11/($E$11/60)),1,0)</f>
        <v>0</v>
      </c>
    </row>
    <row r="1624" spans="4:14" x14ac:dyDescent="0.2">
      <c r="D1624">
        <f t="shared" si="272"/>
        <v>1601</v>
      </c>
      <c r="E1624" s="1">
        <f t="shared" si="273"/>
        <v>-192.46966928488601</v>
      </c>
      <c r="F1624" s="1">
        <f t="shared" si="274"/>
        <v>-194.47170209408506</v>
      </c>
      <c r="G1624" s="1">
        <f t="shared" ref="G1624:G1687" si="282">EXP(F1624)</f>
        <v>3.4834765732653325E-85</v>
      </c>
      <c r="H1624" s="1">
        <f t="shared" si="275"/>
        <v>3.4192859411414259E-86</v>
      </c>
      <c r="I1624">
        <f t="shared" si="276"/>
        <v>60</v>
      </c>
      <c r="J1624">
        <f t="shared" si="277"/>
        <v>1537</v>
      </c>
      <c r="K1624" s="5">
        <f t="shared" si="278"/>
        <v>0</v>
      </c>
      <c r="L1624">
        <f t="shared" si="279"/>
        <v>85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IF($H$11=1,IF(D1625&lt;=$A$15, E1624+LN($D$11)-LN(60/$E$11)-LN(MIN(D1625,$F$11)), E1624-LN(60/$E$11)-LN(MIN(D1625,$F$11))), IF(D1625&lt;=$A$15, E1624+LN($D$11)-LN(60/$E$11)-LN(MIN(D1625,$F$11)), E1624+LN($D$11)+LN(1-$H$11)-LN(60/$E$11)-LN(MIN(D1625,$F$11))))</f>
        <v>-192.59136621986354</v>
      </c>
      <c r="F1625" s="1">
        <f t="shared" ref="F1625:F1688" si="285">E1625-$E$21</f>
        <v>-194.5933990290626</v>
      </c>
      <c r="G1625" s="1">
        <f t="shared" si="282"/>
        <v>3.0843282159119652E-85</v>
      </c>
      <c r="H1625" s="1">
        <f t="shared" si="275"/>
        <v>3.0274927603855907E-86</v>
      </c>
      <c r="I1625">
        <f t="shared" si="276"/>
        <v>60</v>
      </c>
      <c r="J1625">
        <f t="shared" si="277"/>
        <v>1538</v>
      </c>
      <c r="K1625" s="5">
        <f t="shared" si="278"/>
        <v>0</v>
      </c>
      <c r="L1625">
        <f t="shared" si="279"/>
        <v>85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-192.71306315484108</v>
      </c>
      <c r="F1626" s="1">
        <f t="shared" si="285"/>
        <v>-194.71509596404013</v>
      </c>
      <c r="G1626" s="1">
        <f t="shared" si="282"/>
        <v>2.730915607838676E-85</v>
      </c>
      <c r="H1626" s="1">
        <f t="shared" si="275"/>
        <v>2.6805925482580326E-86</v>
      </c>
      <c r="I1626">
        <f t="shared" si="276"/>
        <v>60</v>
      </c>
      <c r="J1626">
        <f t="shared" si="277"/>
        <v>1539</v>
      </c>
      <c r="K1626" s="5">
        <f t="shared" si="278"/>
        <v>0</v>
      </c>
      <c r="L1626">
        <f t="shared" si="279"/>
        <v>85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-192.83476008981862</v>
      </c>
      <c r="F1627" s="1">
        <f t="shared" si="285"/>
        <v>-194.83679289901767</v>
      </c>
      <c r="G1627" s="1">
        <f t="shared" si="282"/>
        <v>2.417998194440457E-85</v>
      </c>
      <c r="H1627" s="1">
        <f t="shared" si="275"/>
        <v>2.3734413187700962E-86</v>
      </c>
      <c r="I1627">
        <f t="shared" si="276"/>
        <v>60</v>
      </c>
      <c r="J1627">
        <f t="shared" si="277"/>
        <v>1540</v>
      </c>
      <c r="K1627" s="5">
        <f t="shared" si="278"/>
        <v>0</v>
      </c>
      <c r="L1627">
        <f t="shared" si="279"/>
        <v>85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-192.95645702479615</v>
      </c>
      <c r="F1628" s="1">
        <f t="shared" si="285"/>
        <v>-194.9584898339952</v>
      </c>
      <c r="G1628" s="1">
        <f t="shared" si="282"/>
        <v>2.1409359013274544E-85</v>
      </c>
      <c r="H1628" s="1">
        <f t="shared" si="275"/>
        <v>2.1014845009943234E-86</v>
      </c>
      <c r="I1628">
        <f t="shared" si="276"/>
        <v>60</v>
      </c>
      <c r="J1628">
        <f t="shared" si="277"/>
        <v>1541</v>
      </c>
      <c r="K1628" s="5">
        <f t="shared" si="278"/>
        <v>0</v>
      </c>
      <c r="L1628">
        <f t="shared" si="279"/>
        <v>85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-193.07815395977369</v>
      </c>
      <c r="F1629" s="1">
        <f t="shared" si="285"/>
        <v>-195.08018676897274</v>
      </c>
      <c r="G1629" s="1">
        <f t="shared" si="282"/>
        <v>1.8956203293003207E-85</v>
      </c>
      <c r="H1629" s="1">
        <f t="shared" si="275"/>
        <v>1.8606894019220281E-86</v>
      </c>
      <c r="I1629">
        <f t="shared" si="276"/>
        <v>60</v>
      </c>
      <c r="J1629">
        <f t="shared" si="277"/>
        <v>1542</v>
      </c>
      <c r="K1629" s="5">
        <f t="shared" si="278"/>
        <v>0</v>
      </c>
      <c r="L1629">
        <f t="shared" si="279"/>
        <v>85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-193.19985089475122</v>
      </c>
      <c r="F1630" s="1">
        <f t="shared" si="285"/>
        <v>-195.20188370395027</v>
      </c>
      <c r="G1630" s="1">
        <f t="shared" si="282"/>
        <v>1.6784138332346327E-85</v>
      </c>
      <c r="H1630" s="1">
        <f t="shared" si="275"/>
        <v>1.6474854079517698E-86</v>
      </c>
      <c r="I1630">
        <f t="shared" si="276"/>
        <v>60</v>
      </c>
      <c r="J1630">
        <f t="shared" si="277"/>
        <v>1543</v>
      </c>
      <c r="K1630" s="5">
        <f t="shared" si="278"/>
        <v>0</v>
      </c>
      <c r="L1630">
        <f t="shared" si="279"/>
        <v>85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-193.32154782972876</v>
      </c>
      <c r="F1631" s="1">
        <f t="shared" si="285"/>
        <v>-195.32358063892781</v>
      </c>
      <c r="G1631" s="1">
        <f t="shared" si="282"/>
        <v>1.4860955815098078E-85</v>
      </c>
      <c r="H1631" s="1">
        <f t="shared" si="275"/>
        <v>1.4587110382906067E-86</v>
      </c>
      <c r="I1631">
        <f t="shared" si="276"/>
        <v>60</v>
      </c>
      <c r="J1631">
        <f t="shared" si="277"/>
        <v>1544</v>
      </c>
      <c r="K1631" s="5">
        <f t="shared" si="278"/>
        <v>0</v>
      </c>
      <c r="L1631">
        <f t="shared" si="279"/>
        <v>85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-193.44324476470629</v>
      </c>
      <c r="F1632" s="1">
        <f t="shared" si="285"/>
        <v>-195.44527757390534</v>
      </c>
      <c r="G1632" s="1">
        <f t="shared" si="282"/>
        <v>1.3158137961284549E-85</v>
      </c>
      <c r="H1632" s="1">
        <f t="shared" si="275"/>
        <v>1.2915670651531211E-86</v>
      </c>
      <c r="I1632">
        <f t="shared" si="276"/>
        <v>60</v>
      </c>
      <c r="J1632">
        <f t="shared" si="277"/>
        <v>1545</v>
      </c>
      <c r="K1632" s="5">
        <f t="shared" si="278"/>
        <v>0</v>
      </c>
      <c r="L1632">
        <f t="shared" si="279"/>
        <v>85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-193.56494169968383</v>
      </c>
      <c r="F1633" s="1">
        <f t="shared" si="285"/>
        <v>-195.56697450888288</v>
      </c>
      <c r="G1633" s="1">
        <f t="shared" si="282"/>
        <v>1.1650434653220513E-85</v>
      </c>
      <c r="H1633" s="1">
        <f t="shared" si="275"/>
        <v>1.1435750056043081E-86</v>
      </c>
      <c r="I1633">
        <f t="shared" si="276"/>
        <v>60</v>
      </c>
      <c r="J1633">
        <f t="shared" si="277"/>
        <v>1546</v>
      </c>
      <c r="K1633" s="5">
        <f t="shared" si="278"/>
        <v>0</v>
      </c>
      <c r="L1633">
        <f t="shared" si="279"/>
        <v>85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-193.68663863466136</v>
      </c>
      <c r="F1634" s="1">
        <f t="shared" si="285"/>
        <v>-195.68867144386041</v>
      </c>
      <c r="G1634" s="1">
        <f t="shared" si="282"/>
        <v>1.0315489015872168E-85</v>
      </c>
      <c r="H1634" s="1">
        <f t="shared" si="275"/>
        <v>1.0125403695454653E-86</v>
      </c>
      <c r="I1634">
        <f t="shared" si="276"/>
        <v>60</v>
      </c>
      <c r="J1634">
        <f t="shared" si="277"/>
        <v>1547</v>
      </c>
      <c r="K1634" s="5">
        <f t="shared" si="278"/>
        <v>0</v>
      </c>
      <c r="L1634">
        <f t="shared" si="279"/>
        <v>85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-193.8083355696389</v>
      </c>
      <c r="F1635" s="1">
        <f t="shared" si="285"/>
        <v>-195.81036837883795</v>
      </c>
      <c r="G1635" s="1">
        <f t="shared" si="282"/>
        <v>9.1335058994700053E-86</v>
      </c>
      <c r="H1635" s="1">
        <f t="shared" si="275"/>
        <v>8.9652011886836672E-87</v>
      </c>
      <c r="I1635">
        <f t="shared" si="276"/>
        <v>60</v>
      </c>
      <c r="J1635">
        <f t="shared" si="277"/>
        <v>1548</v>
      </c>
      <c r="K1635" s="5">
        <f t="shared" si="278"/>
        <v>0</v>
      </c>
      <c r="L1635">
        <f t="shared" si="279"/>
        <v>85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-193.93003250461643</v>
      </c>
      <c r="F1636" s="1">
        <f t="shared" si="285"/>
        <v>-195.93206531381549</v>
      </c>
      <c r="G1636" s="1">
        <f t="shared" si="282"/>
        <v>8.0869583484889411E-86</v>
      </c>
      <c r="H1636" s="1">
        <f t="shared" si="275"/>
        <v>7.9379385524802063E-87</v>
      </c>
      <c r="I1636">
        <f t="shared" si="276"/>
        <v>60</v>
      </c>
      <c r="J1636">
        <f t="shared" si="277"/>
        <v>1549</v>
      </c>
      <c r="K1636" s="5">
        <f t="shared" si="278"/>
        <v>0</v>
      </c>
      <c r="L1636">
        <f t="shared" si="279"/>
        <v>85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-194.05172943959397</v>
      </c>
      <c r="F1637" s="1">
        <f t="shared" si="285"/>
        <v>-196.05376224879302</v>
      </c>
      <c r="G1637" s="1">
        <f t="shared" si="282"/>
        <v>7.1603277043911382E-86</v>
      </c>
      <c r="H1637" s="1">
        <f t="shared" si="275"/>
        <v>7.0283830933417393E-87</v>
      </c>
      <c r="I1637">
        <f t="shared" si="276"/>
        <v>60</v>
      </c>
      <c r="J1637">
        <f t="shared" si="277"/>
        <v>1550</v>
      </c>
      <c r="K1637" s="5">
        <f t="shared" si="278"/>
        <v>0</v>
      </c>
      <c r="L1637">
        <f t="shared" si="279"/>
        <v>85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-194.17342637457151</v>
      </c>
      <c r="F1638" s="1">
        <f t="shared" si="285"/>
        <v>-196.17545918377056</v>
      </c>
      <c r="G1638" s="1">
        <f t="shared" si="282"/>
        <v>6.3398734882628877E-86</v>
      </c>
      <c r="H1638" s="1">
        <f t="shared" si="275"/>
        <v>6.2230475305629011E-87</v>
      </c>
      <c r="I1638">
        <f t="shared" si="276"/>
        <v>60</v>
      </c>
      <c r="J1638">
        <f t="shared" si="277"/>
        <v>1551</v>
      </c>
      <c r="K1638" s="5">
        <f t="shared" si="278"/>
        <v>0</v>
      </c>
      <c r="L1638">
        <f t="shared" si="279"/>
        <v>85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-194.29512330954904</v>
      </c>
      <c r="F1639" s="1">
        <f t="shared" si="285"/>
        <v>-196.29715611874809</v>
      </c>
      <c r="G1639" s="1">
        <f t="shared" si="282"/>
        <v>5.6134296510660105E-86</v>
      </c>
      <c r="H1639" s="1">
        <f t="shared" si="275"/>
        <v>5.5099900010191485E-87</v>
      </c>
      <c r="I1639">
        <f t="shared" si="276"/>
        <v>60</v>
      </c>
      <c r="J1639">
        <f t="shared" si="277"/>
        <v>1552</v>
      </c>
      <c r="K1639" s="5">
        <f t="shared" si="278"/>
        <v>0</v>
      </c>
      <c r="L1639">
        <f t="shared" si="279"/>
        <v>85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-194.41682024452658</v>
      </c>
      <c r="F1640" s="1">
        <f t="shared" si="285"/>
        <v>-196.41885305372563</v>
      </c>
      <c r="G1640" s="1">
        <f t="shared" si="282"/>
        <v>4.9702241702146194E-86</v>
      </c>
      <c r="H1640" s="1">
        <f t="shared" si="275"/>
        <v>4.8786369800689617E-87</v>
      </c>
      <c r="I1640">
        <f t="shared" si="276"/>
        <v>60</v>
      </c>
      <c r="J1640">
        <f t="shared" si="277"/>
        <v>1553</v>
      </c>
      <c r="K1640" s="5">
        <f t="shared" si="278"/>
        <v>0</v>
      </c>
      <c r="L1640">
        <f t="shared" si="279"/>
        <v>85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-194.53851717950411</v>
      </c>
      <c r="F1641" s="1">
        <f t="shared" si="285"/>
        <v>-196.54054998870316</v>
      </c>
      <c r="G1641" s="1">
        <f t="shared" si="282"/>
        <v>4.4007193173774589E-86</v>
      </c>
      <c r="H1641" s="1">
        <f t="shared" si="275"/>
        <v>4.3196264927693257E-87</v>
      </c>
      <c r="I1641">
        <f t="shared" si="276"/>
        <v>60</v>
      </c>
      <c r="J1641">
        <f t="shared" si="277"/>
        <v>1554</v>
      </c>
      <c r="K1641" s="5">
        <f t="shared" si="278"/>
        <v>0</v>
      </c>
      <c r="L1641">
        <f t="shared" si="279"/>
        <v>85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-194.66021411448165</v>
      </c>
      <c r="F1642" s="1">
        <f t="shared" si="285"/>
        <v>-196.6622469236807</v>
      </c>
      <c r="G1642" s="1">
        <f t="shared" si="282"/>
        <v>3.8964702289278974E-86</v>
      </c>
      <c r="H1642" s="1">
        <f t="shared" si="275"/>
        <v>3.8246692904727809E-87</v>
      </c>
      <c r="I1642">
        <f t="shared" si="276"/>
        <v>60</v>
      </c>
      <c r="J1642">
        <f t="shared" si="277"/>
        <v>1555</v>
      </c>
      <c r="K1642" s="5">
        <f t="shared" si="278"/>
        <v>0</v>
      </c>
      <c r="L1642">
        <f t="shared" si="279"/>
        <v>85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-194.78191104945918</v>
      </c>
      <c r="F1643" s="1">
        <f t="shared" si="285"/>
        <v>-196.78394385865823</v>
      </c>
      <c r="G1643" s="1">
        <f t="shared" si="282"/>
        <v>3.4499996818631881E-86</v>
      </c>
      <c r="H1643" s="1">
        <f t="shared" si="275"/>
        <v>3.3864259342727213E-87</v>
      </c>
      <c r="I1643">
        <f t="shared" si="276"/>
        <v>60</v>
      </c>
      <c r="J1643">
        <f t="shared" si="277"/>
        <v>1556</v>
      </c>
      <c r="K1643" s="5">
        <f t="shared" si="278"/>
        <v>0</v>
      </c>
      <c r="L1643">
        <f t="shared" si="279"/>
        <v>85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-194.90360798443672</v>
      </c>
      <c r="F1644" s="1">
        <f t="shared" si="285"/>
        <v>-196.90564079363577</v>
      </c>
      <c r="G1644" s="1">
        <f t="shared" si="282"/>
        <v>3.0546872183163171E-86</v>
      </c>
      <c r="H1644" s="1">
        <f t="shared" si="275"/>
        <v>2.998397962637259E-87</v>
      </c>
      <c r="I1644">
        <f t="shared" si="276"/>
        <v>60</v>
      </c>
      <c r="J1644">
        <f t="shared" si="277"/>
        <v>1557</v>
      </c>
      <c r="K1644" s="5">
        <f t="shared" si="278"/>
        <v>0</v>
      </c>
      <c r="L1644">
        <f t="shared" si="279"/>
        <v>85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-195.02530491941425</v>
      </c>
      <c r="F1645" s="1">
        <f t="shared" si="285"/>
        <v>-197.0273377286133</v>
      </c>
      <c r="G1645" s="1">
        <f t="shared" si="282"/>
        <v>2.7046709745508636E-86</v>
      </c>
      <c r="H1645" s="1">
        <f t="shared" si="275"/>
        <v>2.6548315294183648E-87</v>
      </c>
      <c r="I1645">
        <f t="shared" si="276"/>
        <v>60</v>
      </c>
      <c r="J1645">
        <f t="shared" si="277"/>
        <v>1558</v>
      </c>
      <c r="K1645" s="5">
        <f t="shared" si="278"/>
        <v>0</v>
      </c>
      <c r="L1645">
        <f t="shared" si="279"/>
        <v>85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-195.14700185439179</v>
      </c>
      <c r="F1646" s="1">
        <f t="shared" si="285"/>
        <v>-197.14903466359084</v>
      </c>
      <c r="G1646" s="1">
        <f t="shared" si="282"/>
        <v>2.3947607587168727E-86</v>
      </c>
      <c r="H1646" s="1">
        <f t="shared" si="275"/>
        <v>2.35063208333914E-87</v>
      </c>
      <c r="I1646">
        <f t="shared" si="276"/>
        <v>60</v>
      </c>
      <c r="J1646">
        <f t="shared" si="277"/>
        <v>1559</v>
      </c>
      <c r="K1646" s="5">
        <f t="shared" si="278"/>
        <v>0</v>
      </c>
      <c r="L1646">
        <f t="shared" si="279"/>
        <v>85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-195.26869878936932</v>
      </c>
      <c r="F1647" s="1">
        <f t="shared" si="285"/>
        <v>-197.27073159856837</v>
      </c>
      <c r="G1647" s="1">
        <f t="shared" si="282"/>
        <v>2.1203610884471979E-86</v>
      </c>
      <c r="H1647" s="1">
        <f t="shared" si="275"/>
        <v>2.0812888237898313E-87</v>
      </c>
      <c r="I1647">
        <f t="shared" si="276"/>
        <v>60</v>
      </c>
      <c r="J1647">
        <f t="shared" si="277"/>
        <v>1560</v>
      </c>
      <c r="K1647" s="5">
        <f t="shared" si="278"/>
        <v>0</v>
      </c>
      <c r="L1647">
        <f t="shared" si="279"/>
        <v>85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-195.39039572434686</v>
      </c>
      <c r="F1648" s="1">
        <f t="shared" si="285"/>
        <v>-197.39242853354591</v>
      </c>
      <c r="G1648" s="1">
        <f t="shared" si="282"/>
        <v>1.877403047062594E-86</v>
      </c>
      <c r="H1648" s="1">
        <f t="shared" si="275"/>
        <v>1.8428078127305511E-87</v>
      </c>
      <c r="I1648">
        <f t="shared" si="276"/>
        <v>60</v>
      </c>
      <c r="J1648">
        <f t="shared" si="277"/>
        <v>1561</v>
      </c>
      <c r="K1648" s="5">
        <f t="shared" si="278"/>
        <v>0</v>
      </c>
      <c r="L1648">
        <f t="shared" si="279"/>
        <v>85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-195.5120926593244</v>
      </c>
      <c r="F1649" s="1">
        <f t="shared" si="285"/>
        <v>-197.51412546852345</v>
      </c>
      <c r="G1649" s="1">
        <f t="shared" si="282"/>
        <v>1.6622839479199791E-86</v>
      </c>
      <c r="H1649" s="1">
        <f t="shared" si="275"/>
        <v>1.6316527508551498E-87</v>
      </c>
      <c r="I1649">
        <f t="shared" si="276"/>
        <v>60</v>
      </c>
      <c r="J1649">
        <f t="shared" si="277"/>
        <v>1562</v>
      </c>
      <c r="K1649" s="5">
        <f t="shared" si="278"/>
        <v>0</v>
      </c>
      <c r="L1649">
        <f t="shared" si="279"/>
        <v>85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-195.63378959430193</v>
      </c>
      <c r="F1650" s="1">
        <f t="shared" si="285"/>
        <v>-197.63582240350098</v>
      </c>
      <c r="G1650" s="1">
        <f t="shared" si="282"/>
        <v>1.4718139122207917E-86</v>
      </c>
      <c r="H1650" s="1">
        <f t="shared" si="275"/>
        <v>1.4446925398196412E-87</v>
      </c>
      <c r="I1650">
        <f t="shared" si="276"/>
        <v>60</v>
      </c>
      <c r="J1650">
        <f t="shared" si="277"/>
        <v>1563</v>
      </c>
      <c r="K1650" s="5">
        <f t="shared" si="278"/>
        <v>0</v>
      </c>
      <c r="L1650">
        <f t="shared" si="279"/>
        <v>85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-195.75548652927947</v>
      </c>
      <c r="F1651" s="1">
        <f t="shared" si="285"/>
        <v>-197.75751933847852</v>
      </c>
      <c r="G1651" s="1">
        <f t="shared" si="282"/>
        <v>1.3031685681121391E-86</v>
      </c>
      <c r="H1651" s="1">
        <f t="shared" si="275"/>
        <v>1.2791548529652875E-87</v>
      </c>
      <c r="I1651">
        <f t="shared" si="276"/>
        <v>60</v>
      </c>
      <c r="J1651">
        <f t="shared" si="277"/>
        <v>1564</v>
      </c>
      <c r="K1651" s="5">
        <f t="shared" si="278"/>
        <v>0</v>
      </c>
      <c r="L1651">
        <f t="shared" si="279"/>
        <v>85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-195.877183464257</v>
      </c>
      <c r="F1652" s="1">
        <f t="shared" si="285"/>
        <v>-197.87921627345605</v>
      </c>
      <c r="G1652" s="1">
        <f t="shared" si="282"/>
        <v>1.153847169682605E-86</v>
      </c>
      <c r="H1652" s="1">
        <f t="shared" si="275"/>
        <v>1.1325850260629973E-87</v>
      </c>
      <c r="I1652">
        <f t="shared" si="276"/>
        <v>60</v>
      </c>
      <c r="J1652">
        <f t="shared" si="277"/>
        <v>1565</v>
      </c>
      <c r="K1652" s="5">
        <f t="shared" si="278"/>
        <v>0</v>
      </c>
      <c r="L1652">
        <f t="shared" si="279"/>
        <v>85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-195.99888039923454</v>
      </c>
      <c r="F1653" s="1">
        <f t="shared" si="285"/>
        <v>-198.00091320843359</v>
      </c>
      <c r="G1653" s="1">
        <f t="shared" si="282"/>
        <v>1.0216355148231239E-86</v>
      </c>
      <c r="H1653" s="1">
        <f t="shared" si="275"/>
        <v>1.0028096584932631E-87</v>
      </c>
      <c r="I1653">
        <f t="shared" si="276"/>
        <v>60</v>
      </c>
      <c r="J1653">
        <f t="shared" si="277"/>
        <v>1566</v>
      </c>
      <c r="K1653" s="5">
        <f t="shared" si="278"/>
        <v>0</v>
      </c>
      <c r="L1653">
        <f t="shared" si="279"/>
        <v>85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-196.12057733421207</v>
      </c>
      <c r="F1654" s="1">
        <f t="shared" si="285"/>
        <v>-198.12261014341112</v>
      </c>
      <c r="G1654" s="1">
        <f t="shared" si="282"/>
        <v>9.0457311208296016E-87</v>
      </c>
      <c r="H1654" s="1">
        <f t="shared" si="275"/>
        <v>8.8790438512422953E-88</v>
      </c>
      <c r="I1654">
        <f t="shared" si="276"/>
        <v>60</v>
      </c>
      <c r="J1654">
        <f t="shared" si="277"/>
        <v>1567</v>
      </c>
      <c r="K1654" s="5">
        <f t="shared" si="278"/>
        <v>0</v>
      </c>
      <c r="L1654">
        <f t="shared" si="279"/>
        <v>85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-196.24227426918961</v>
      </c>
      <c r="F1655" s="1">
        <f t="shared" si="285"/>
        <v>-198.24430707838866</v>
      </c>
      <c r="G1655" s="1">
        <f t="shared" si="282"/>
        <v>8.0092410965677513E-87</v>
      </c>
      <c r="H1655" s="1">
        <f t="shared" si="275"/>
        <v>7.8616534099539924E-88</v>
      </c>
      <c r="I1655">
        <f t="shared" si="276"/>
        <v>60</v>
      </c>
      <c r="J1655">
        <f t="shared" si="277"/>
        <v>1568</v>
      </c>
      <c r="K1655" s="5">
        <f t="shared" si="278"/>
        <v>0</v>
      </c>
      <c r="L1655">
        <f t="shared" si="279"/>
        <v>85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-196.36397120416714</v>
      </c>
      <c r="F1656" s="1">
        <f t="shared" si="285"/>
        <v>-198.36600401336619</v>
      </c>
      <c r="G1656" s="1">
        <f t="shared" si="282"/>
        <v>7.0915155542525849E-87</v>
      </c>
      <c r="H1656" s="1">
        <f t="shared" si="275"/>
        <v>6.9608389567299879E-88</v>
      </c>
      <c r="I1656">
        <f t="shared" si="276"/>
        <v>60</v>
      </c>
      <c r="J1656">
        <f t="shared" si="277"/>
        <v>1569</v>
      </c>
      <c r="K1656" s="5">
        <f t="shared" si="278"/>
        <v>0</v>
      </c>
      <c r="L1656">
        <f t="shared" si="279"/>
        <v>85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-196.48566813914468</v>
      </c>
      <c r="F1657" s="1">
        <f t="shared" si="285"/>
        <v>-198.48770094834373</v>
      </c>
      <c r="G1657" s="1">
        <f t="shared" si="282"/>
        <v>6.2789460636610451E-87</v>
      </c>
      <c r="H1657" s="1">
        <f t="shared" si="275"/>
        <v>6.1632428262712479E-88</v>
      </c>
      <c r="I1657">
        <f t="shared" si="276"/>
        <v>60</v>
      </c>
      <c r="J1657">
        <f t="shared" si="277"/>
        <v>1570</v>
      </c>
      <c r="K1657" s="5">
        <f t="shared" si="278"/>
        <v>0</v>
      </c>
      <c r="L1657">
        <f t="shared" si="279"/>
        <v>85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-196.60736507412221</v>
      </c>
      <c r="F1658" s="1">
        <f t="shared" si="285"/>
        <v>-198.60939788332126</v>
      </c>
      <c r="G1658" s="1">
        <f t="shared" si="282"/>
        <v>5.5594834938664633E-87</v>
      </c>
      <c r="H1658" s="1">
        <f t="shared" si="275"/>
        <v>5.457037919094249E-88</v>
      </c>
      <c r="I1658">
        <f t="shared" si="276"/>
        <v>60</v>
      </c>
      <c r="J1658">
        <f t="shared" si="277"/>
        <v>1571</v>
      </c>
      <c r="K1658" s="5">
        <f t="shared" si="278"/>
        <v>0</v>
      </c>
      <c r="L1658">
        <f t="shared" si="279"/>
        <v>85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-196.72906200909975</v>
      </c>
      <c r="F1659" s="1">
        <f t="shared" si="285"/>
        <v>-198.7310948182988</v>
      </c>
      <c r="G1659" s="1">
        <f t="shared" si="282"/>
        <v>4.9224593435275206E-87</v>
      </c>
      <c r="H1659" s="1">
        <f t="shared" si="275"/>
        <v>4.8317523241979567E-88</v>
      </c>
      <c r="I1659">
        <f t="shared" si="276"/>
        <v>60</v>
      </c>
      <c r="J1659">
        <f t="shared" si="277"/>
        <v>1572</v>
      </c>
      <c r="K1659" s="5">
        <f t="shared" si="278"/>
        <v>0</v>
      </c>
      <c r="L1659">
        <f t="shared" si="279"/>
        <v>85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-196.85075894407728</v>
      </c>
      <c r="F1660" s="1">
        <f t="shared" si="285"/>
        <v>-198.85279175327634</v>
      </c>
      <c r="G1660" s="1">
        <f t="shared" si="282"/>
        <v>4.3584275437482577E-87</v>
      </c>
      <c r="H1660" s="1">
        <f t="shared" si="275"/>
        <v>4.2781140370502077E-88</v>
      </c>
      <c r="I1660">
        <f t="shared" si="276"/>
        <v>60</v>
      </c>
      <c r="J1660">
        <f t="shared" si="277"/>
        <v>1573</v>
      </c>
      <c r="K1660" s="5">
        <f t="shared" si="278"/>
        <v>0</v>
      </c>
      <c r="L1660">
        <f t="shared" si="279"/>
        <v>85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-196.97245587905482</v>
      </c>
      <c r="F1661" s="1">
        <f t="shared" si="285"/>
        <v>-198.97448868825387</v>
      </c>
      <c r="G1661" s="1">
        <f t="shared" si="282"/>
        <v>3.8590243876937094E-87</v>
      </c>
      <c r="H1661" s="1">
        <f t="shared" si="275"/>
        <v>3.7879134703048119E-88</v>
      </c>
      <c r="I1661">
        <f t="shared" si="276"/>
        <v>60</v>
      </c>
      <c r="J1661">
        <f t="shared" si="277"/>
        <v>1574</v>
      </c>
      <c r="K1661" s="5">
        <f t="shared" si="278"/>
        <v>0</v>
      </c>
      <c r="L1661">
        <f t="shared" si="279"/>
        <v>85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-197.09415281403236</v>
      </c>
      <c r="F1662" s="1">
        <f t="shared" si="285"/>
        <v>-199.09618562323141</v>
      </c>
      <c r="G1662" s="1">
        <f t="shared" si="282"/>
        <v>3.4168445099370849E-87</v>
      </c>
      <c r="H1662" s="1">
        <f t="shared" si="275"/>
        <v>3.3538817184989995E-88</v>
      </c>
      <c r="I1662">
        <f t="shared" si="276"/>
        <v>60</v>
      </c>
      <c r="J1662">
        <f t="shared" si="277"/>
        <v>1575</v>
      </c>
      <c r="K1662" s="5">
        <f t="shared" si="278"/>
        <v>0</v>
      </c>
      <c r="L1662">
        <f t="shared" si="279"/>
        <v>85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-197.21584974900989</v>
      </c>
      <c r="F1663" s="1">
        <f t="shared" si="285"/>
        <v>-199.21788255820894</v>
      </c>
      <c r="G1663" s="1">
        <f t="shared" si="282"/>
        <v>3.0253310765067466E-87</v>
      </c>
      <c r="H1663" s="1">
        <f t="shared" si="275"/>
        <v>2.9695827715876096E-88</v>
      </c>
      <c r="I1663">
        <f t="shared" si="276"/>
        <v>60</v>
      </c>
      <c r="J1663">
        <f t="shared" si="277"/>
        <v>1576</v>
      </c>
      <c r="K1663" s="5">
        <f t="shared" si="278"/>
        <v>0</v>
      </c>
      <c r="L1663">
        <f t="shared" si="279"/>
        <v>85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-197.33754668398743</v>
      </c>
      <c r="F1664" s="1">
        <f t="shared" si="285"/>
        <v>-199.33957949318648</v>
      </c>
      <c r="G1664" s="1">
        <f t="shared" si="282"/>
        <v>2.6786785573236402E-87</v>
      </c>
      <c r="H1664" s="1">
        <f t="shared" si="275"/>
        <v>2.6293180790098217E-88</v>
      </c>
      <c r="I1664">
        <f t="shared" si="276"/>
        <v>60</v>
      </c>
      <c r="J1664">
        <f t="shared" si="277"/>
        <v>1577</v>
      </c>
      <c r="K1664" s="5">
        <f t="shared" si="278"/>
        <v>0</v>
      </c>
      <c r="L1664">
        <f t="shared" si="279"/>
        <v>85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-197.45924361896496</v>
      </c>
      <c r="F1665" s="1">
        <f t="shared" si="285"/>
        <v>-199.46127642816401</v>
      </c>
      <c r="G1665" s="1">
        <f t="shared" si="282"/>
        <v>2.3717466392969358E-87</v>
      </c>
      <c r="H1665" s="1">
        <f t="shared" si="275"/>
        <v>2.328042049123243E-88</v>
      </c>
      <c r="I1665">
        <f t="shared" si="276"/>
        <v>60</v>
      </c>
      <c r="J1665">
        <f t="shared" si="277"/>
        <v>1578</v>
      </c>
      <c r="K1665" s="5">
        <f t="shared" si="278"/>
        <v>0</v>
      </c>
      <c r="L1665">
        <f t="shared" si="279"/>
        <v>85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-197.5809405539425</v>
      </c>
      <c r="F1666" s="1">
        <f t="shared" si="285"/>
        <v>-199.58297336314155</v>
      </c>
      <c r="G1666" s="1">
        <f t="shared" si="282"/>
        <v>2.0999840035441293E-87</v>
      </c>
      <c r="H1666" s="1">
        <f t="shared" si="275"/>
        <v>2.0612872309945061E-88</v>
      </c>
      <c r="I1666">
        <f t="shared" si="276"/>
        <v>60</v>
      </c>
      <c r="J1666">
        <f t="shared" si="277"/>
        <v>1579</v>
      </c>
      <c r="K1666" s="5">
        <f t="shared" si="278"/>
        <v>0</v>
      </c>
      <c r="L1666">
        <f t="shared" si="279"/>
        <v>85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-197.70263748892003</v>
      </c>
      <c r="F1667" s="1">
        <f t="shared" si="285"/>
        <v>-199.70467029811908</v>
      </c>
      <c r="G1667" s="1">
        <f t="shared" si="282"/>
        <v>1.8593608364713354E-87</v>
      </c>
      <c r="H1667" s="1">
        <f t="shared" si="275"/>
        <v>1.8250980691096904E-88</v>
      </c>
      <c r="I1667">
        <f t="shared" si="276"/>
        <v>60</v>
      </c>
      <c r="J1667">
        <f t="shared" si="277"/>
        <v>1580</v>
      </c>
      <c r="K1667" s="5">
        <f t="shared" si="278"/>
        <v>0</v>
      </c>
      <c r="L1667">
        <f t="shared" si="279"/>
        <v>85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-197.82433442389757</v>
      </c>
      <c r="F1668" s="1">
        <f t="shared" si="285"/>
        <v>-199.82636723309662</v>
      </c>
      <c r="G1668" s="1">
        <f t="shared" si="282"/>
        <v>1.6463090739589692E-87</v>
      </c>
      <c r="H1668" s="1">
        <f t="shared" si="275"/>
        <v>1.6159722486908464E-88</v>
      </c>
      <c r="I1668">
        <f t="shared" si="276"/>
        <v>60</v>
      </c>
      <c r="J1668">
        <f t="shared" si="277"/>
        <v>1581</v>
      </c>
      <c r="K1668" s="5">
        <f t="shared" si="278"/>
        <v>0</v>
      </c>
      <c r="L1668">
        <f t="shared" si="279"/>
        <v>85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-197.9460313588751</v>
      </c>
      <c r="F1669" s="1">
        <f t="shared" si="285"/>
        <v>-199.94806416807415</v>
      </c>
      <c r="G1669" s="1">
        <f t="shared" si="282"/>
        <v>1.4576694925678143E-87</v>
      </c>
      <c r="H1669" s="1">
        <f t="shared" si="275"/>
        <v>1.4308087618616644E-88</v>
      </c>
      <c r="I1669">
        <f t="shared" si="276"/>
        <v>60</v>
      </c>
      <c r="J1669">
        <f t="shared" si="277"/>
        <v>1582</v>
      </c>
      <c r="K1669" s="5">
        <f t="shared" si="278"/>
        <v>0</v>
      </c>
      <c r="L1669">
        <f t="shared" si="279"/>
        <v>85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-198.06772829385264</v>
      </c>
      <c r="F1670" s="1">
        <f t="shared" si="285"/>
        <v>-200.06976110305169</v>
      </c>
      <c r="G1670" s="1">
        <f t="shared" si="282"/>
        <v>1.2906448632110656E-87</v>
      </c>
      <c r="H1670" s="1">
        <f t="shared" si="275"/>
        <v>1.2668619245649957E-88</v>
      </c>
      <c r="I1670">
        <f t="shared" si="276"/>
        <v>60</v>
      </c>
      <c r="J1670">
        <f t="shared" si="277"/>
        <v>1583</v>
      </c>
      <c r="K1670" s="5">
        <f t="shared" si="278"/>
        <v>0</v>
      </c>
      <c r="L1670">
        <f t="shared" si="279"/>
        <v>85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-198.18942522883017</v>
      </c>
      <c r="F1671" s="1">
        <f t="shared" si="285"/>
        <v>-200.19145803802923</v>
      </c>
      <c r="G1671" s="1">
        <f t="shared" si="282"/>
        <v>1.1427584726347797E-87</v>
      </c>
      <c r="H1671" s="1">
        <f t="shared" si="275"/>
        <v>1.121700662375239E-88</v>
      </c>
      <c r="I1671">
        <f t="shared" si="276"/>
        <v>60</v>
      </c>
      <c r="J1671">
        <f t="shared" si="277"/>
        <v>1584</v>
      </c>
      <c r="K1671" s="5">
        <f t="shared" si="278"/>
        <v>0</v>
      </c>
      <c r="L1671">
        <f t="shared" si="279"/>
        <v>85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-198.31112216380771</v>
      </c>
      <c r="F1672" s="1">
        <f t="shared" si="285"/>
        <v>-200.31315497300676</v>
      </c>
      <c r="G1672" s="1">
        <f t="shared" si="282"/>
        <v>1.0118173976453619E-87</v>
      </c>
      <c r="H1672" s="1">
        <f t="shared" si="275"/>
        <v>9.9317246147806062E-89</v>
      </c>
      <c r="I1672">
        <f t="shared" si="276"/>
        <v>60</v>
      </c>
      <c r="J1672">
        <f t="shared" si="277"/>
        <v>1585</v>
      </c>
      <c r="K1672" s="5">
        <f t="shared" si="278"/>
        <v>0</v>
      </c>
      <c r="L1672">
        <f t="shared" si="279"/>
        <v>85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-198.43281909878525</v>
      </c>
      <c r="F1673" s="1">
        <f t="shared" si="285"/>
        <v>-200.4348519079843</v>
      </c>
      <c r="G1673" s="1">
        <f t="shared" si="282"/>
        <v>8.9587998749848366E-88</v>
      </c>
      <c r="H1673" s="1">
        <f t="shared" si="275"/>
        <v>8.7937145026701914E-89</v>
      </c>
      <c r="I1673">
        <f t="shared" si="276"/>
        <v>60</v>
      </c>
      <c r="J1673">
        <f t="shared" si="277"/>
        <v>1586</v>
      </c>
      <c r="K1673" s="5">
        <f t="shared" si="278"/>
        <v>0</v>
      </c>
      <c r="L1673">
        <f t="shared" si="279"/>
        <v>85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-198.55451603376278</v>
      </c>
      <c r="F1674" s="1">
        <f t="shared" si="285"/>
        <v>-200.55654884296183</v>
      </c>
      <c r="G1674" s="1">
        <f t="shared" si="282"/>
        <v>7.9322707226426994E-88</v>
      </c>
      <c r="H1674" s="1">
        <f t="shared" si="275"/>
        <v>7.7861013825724436E-89</v>
      </c>
      <c r="I1674">
        <f t="shared" si="276"/>
        <v>60</v>
      </c>
      <c r="J1674">
        <f t="shared" si="277"/>
        <v>1587</v>
      </c>
      <c r="K1674" s="5">
        <f t="shared" si="278"/>
        <v>0</v>
      </c>
      <c r="L1674">
        <f t="shared" si="279"/>
        <v>85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-198.67621296874032</v>
      </c>
      <c r="F1675" s="1">
        <f t="shared" si="285"/>
        <v>-200.67824577793937</v>
      </c>
      <c r="G1675" s="1">
        <f t="shared" si="282"/>
        <v>7.0233647023397806E-88</v>
      </c>
      <c r="H1675" s="1">
        <f t="shared" si="275"/>
        <v>6.8939439324859107E-89</v>
      </c>
      <c r="I1675">
        <f t="shared" si="276"/>
        <v>60</v>
      </c>
      <c r="J1675">
        <f t="shared" si="277"/>
        <v>1588</v>
      </c>
      <c r="K1675" s="5">
        <f t="shared" si="278"/>
        <v>0</v>
      </c>
      <c r="L1675">
        <f t="shared" si="279"/>
        <v>85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-198.79790990371785</v>
      </c>
      <c r="F1676" s="1">
        <f t="shared" si="285"/>
        <v>-200.7999427129169</v>
      </c>
      <c r="G1676" s="1">
        <f t="shared" si="282"/>
        <v>6.2186041635299164E-88</v>
      </c>
      <c r="H1676" s="1">
        <f t="shared" si="275"/>
        <v>6.1040128568884702E-89</v>
      </c>
      <c r="I1676">
        <f t="shared" si="276"/>
        <v>60</v>
      </c>
      <c r="J1676">
        <f t="shared" si="277"/>
        <v>1589</v>
      </c>
      <c r="K1676" s="5">
        <f t="shared" si="278"/>
        <v>0</v>
      </c>
      <c r="L1676">
        <f t="shared" si="279"/>
        <v>85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-198.91960683869539</v>
      </c>
      <c r="F1677" s="1">
        <f t="shared" si="285"/>
        <v>-200.92163964789444</v>
      </c>
      <c r="G1677" s="1">
        <f t="shared" si="282"/>
        <v>5.5060557697920282E-88</v>
      </c>
      <c r="H1677" s="1">
        <f t="shared" si="275"/>
        <v>5.4045947170365826E-89</v>
      </c>
      <c r="I1677">
        <f t="shared" si="276"/>
        <v>60</v>
      </c>
      <c r="J1677">
        <f t="shared" si="277"/>
        <v>1590</v>
      </c>
      <c r="K1677" s="5">
        <f t="shared" si="278"/>
        <v>0</v>
      </c>
      <c r="L1677">
        <f t="shared" si="279"/>
        <v>85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-199.04130377367292</v>
      </c>
      <c r="F1678" s="1">
        <f t="shared" si="285"/>
        <v>-201.04333658287197</v>
      </c>
      <c r="G1678" s="1">
        <f t="shared" si="282"/>
        <v>4.8751535461699483E-88</v>
      </c>
      <c r="H1678" s="1">
        <f t="shared" si="275"/>
        <v>4.7853182390427327E-89</v>
      </c>
      <c r="I1678">
        <f t="shared" si="276"/>
        <v>60</v>
      </c>
      <c r="J1678">
        <f t="shared" si="277"/>
        <v>1591</v>
      </c>
      <c r="K1678" s="5">
        <f t="shared" si="278"/>
        <v>0</v>
      </c>
      <c r="L1678">
        <f t="shared" si="279"/>
        <v>85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-199.16300070865046</v>
      </c>
      <c r="F1679" s="1">
        <f t="shared" si="285"/>
        <v>-201.16503351784951</v>
      </c>
      <c r="G1679" s="1">
        <f t="shared" si="282"/>
        <v>4.3165422023379074E-88</v>
      </c>
      <c r="H1679" s="1">
        <f t="shared" si="275"/>
        <v>4.2370005241523528E-89</v>
      </c>
      <c r="I1679">
        <f t="shared" si="276"/>
        <v>60</v>
      </c>
      <c r="J1679">
        <f t="shared" si="277"/>
        <v>1592</v>
      </c>
      <c r="K1679" s="5">
        <f t="shared" si="278"/>
        <v>0</v>
      </c>
      <c r="L1679">
        <f t="shared" si="279"/>
        <v>85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-199.28469764362799</v>
      </c>
      <c r="F1680" s="1">
        <f t="shared" si="285"/>
        <v>-201.28673045282704</v>
      </c>
      <c r="G1680" s="1">
        <f t="shared" si="282"/>
        <v>3.8219384083199628E-88</v>
      </c>
      <c r="H1680" s="1">
        <f t="shared" si="275"/>
        <v>3.7515108807598372E-89</v>
      </c>
      <c r="I1680">
        <f t="shared" si="276"/>
        <v>60</v>
      </c>
      <c r="J1680">
        <f t="shared" si="277"/>
        <v>1593</v>
      </c>
      <c r="K1680" s="5">
        <f t="shared" si="278"/>
        <v>0</v>
      </c>
      <c r="L1680">
        <f t="shared" si="279"/>
        <v>85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-199.40639457860553</v>
      </c>
      <c r="F1681" s="1">
        <f t="shared" si="285"/>
        <v>-201.40842738780458</v>
      </c>
      <c r="G1681" s="1">
        <f t="shared" si="282"/>
        <v>3.3840079656999142E-88</v>
      </c>
      <c r="H1681" s="1">
        <f t="shared" si="275"/>
        <v>3.3216502590060543E-89</v>
      </c>
      <c r="I1681">
        <f t="shared" si="276"/>
        <v>60</v>
      </c>
      <c r="J1681">
        <f t="shared" si="277"/>
        <v>1594</v>
      </c>
      <c r="K1681" s="5">
        <f t="shared" si="278"/>
        <v>0</v>
      </c>
      <c r="L1681">
        <f t="shared" si="279"/>
        <v>85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-199.52809151358306</v>
      </c>
      <c r="F1682" s="1">
        <f t="shared" si="285"/>
        <v>-201.53012432278211</v>
      </c>
      <c r="G1682" s="1">
        <f t="shared" si="282"/>
        <v>2.9962570529634188E-88</v>
      </c>
      <c r="H1682" s="1">
        <f t="shared" si="275"/>
        <v>2.9410445001615646E-89</v>
      </c>
      <c r="I1682">
        <f t="shared" si="276"/>
        <v>60</v>
      </c>
      <c r="J1682">
        <f t="shared" si="277"/>
        <v>1595</v>
      </c>
      <c r="K1682" s="5">
        <f t="shared" si="278"/>
        <v>0</v>
      </c>
      <c r="L1682">
        <f t="shared" si="279"/>
        <v>85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-199.6497884485606</v>
      </c>
      <c r="F1683" s="1">
        <f t="shared" si="285"/>
        <v>-201.65182125775965</v>
      </c>
      <c r="G1683" s="1">
        <f t="shared" si="282"/>
        <v>2.6529359323113189E-88</v>
      </c>
      <c r="H1683" s="1">
        <f t="shared" si="275"/>
        <v>2.6040498178513443E-89</v>
      </c>
      <c r="I1683">
        <f t="shared" si="276"/>
        <v>60</v>
      </c>
      <c r="J1683">
        <f t="shared" si="277"/>
        <v>1596</v>
      </c>
      <c r="K1683" s="5">
        <f t="shared" si="278"/>
        <v>0</v>
      </c>
      <c r="L1683">
        <f t="shared" si="279"/>
        <v>85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-199.77148538353813</v>
      </c>
      <c r="F1684" s="1">
        <f t="shared" si="285"/>
        <v>-201.77351819273719</v>
      </c>
      <c r="G1684" s="1">
        <f t="shared" si="282"/>
        <v>2.3489536900672767E-88</v>
      </c>
      <c r="H1684" s="1">
        <f t="shared" si="275"/>
        <v>2.3056691095558416E-89</v>
      </c>
      <c r="I1684">
        <f t="shared" si="276"/>
        <v>60</v>
      </c>
      <c r="J1684">
        <f t="shared" si="277"/>
        <v>1597</v>
      </c>
      <c r="K1684" s="5">
        <f t="shared" si="278"/>
        <v>0</v>
      </c>
      <c r="L1684">
        <f t="shared" si="279"/>
        <v>85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-199.89318231851567</v>
      </c>
      <c r="F1685" s="1">
        <f t="shared" si="285"/>
        <v>-201.89521512771472</v>
      </c>
      <c r="G1685" s="1">
        <f t="shared" si="282"/>
        <v>2.0798027464137021E-88</v>
      </c>
      <c r="H1685" s="1">
        <f t="shared" si="275"/>
        <v>2.0414778574192029E-89</v>
      </c>
      <c r="I1685">
        <f t="shared" si="276"/>
        <v>60</v>
      </c>
      <c r="J1685">
        <f t="shared" si="277"/>
        <v>1598</v>
      </c>
      <c r="K1685" s="5">
        <f t="shared" si="278"/>
        <v>0</v>
      </c>
      <c r="L1685">
        <f t="shared" si="279"/>
        <v>85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-200.01487925349321</v>
      </c>
      <c r="F1686" s="1">
        <f t="shared" si="285"/>
        <v>-202.01691206269226</v>
      </c>
      <c r="G1686" s="1">
        <f t="shared" si="282"/>
        <v>1.84149201505377E-88</v>
      </c>
      <c r="H1686" s="1">
        <f t="shared" si="275"/>
        <v>1.807558519589891E-89</v>
      </c>
      <c r="I1686">
        <f t="shared" si="276"/>
        <v>60</v>
      </c>
      <c r="J1686">
        <f t="shared" si="277"/>
        <v>1599</v>
      </c>
      <c r="K1686" s="5">
        <f t="shared" si="278"/>
        <v>0</v>
      </c>
      <c r="L1686">
        <f t="shared" si="279"/>
        <v>85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-200.13657618847074</v>
      </c>
      <c r="F1687" s="1">
        <f t="shared" si="285"/>
        <v>-202.13860899766979</v>
      </c>
      <c r="G1687" s="1">
        <f t="shared" si="282"/>
        <v>1.6304877216621667E-88</v>
      </c>
      <c r="H1687" s="1">
        <f t="shared" ref="H1687:H1750" si="286">G1687/$G$21</f>
        <v>1.6004424392201911E-89</v>
      </c>
      <c r="I1687">
        <f t="shared" ref="I1687:I1750" si="287">IF($F$11&lt;=D1687, IF(D1687&lt;=$A$15,D1687-$F$11,$C$11),0)</f>
        <v>60</v>
      </c>
      <c r="J1687">
        <f t="shared" ref="J1687:J1750" si="288">IF(D1687&lt;=$A$15,0,D1687-$A$15)</f>
        <v>1600</v>
      </c>
      <c r="K1687" s="5">
        <f t="shared" ref="K1687:K1750" si="289">IF(D1687&lt;$F$11,H1687,0)</f>
        <v>0</v>
      </c>
      <c r="L1687">
        <f t="shared" ref="L1687:L1750" si="290">IF(D1687&lt;$A$15,$D$11,$D$11*(1-$H$11))</f>
        <v>85</v>
      </c>
      <c r="M1687">
        <f t="shared" ref="M1687:M1750" si="291">IF(D1687&lt;$A$15,0,1)</f>
        <v>1</v>
      </c>
      <c r="N1687">
        <f t="shared" ref="N1687:N1750" si="292">IF(SUM(I1687:J1687)&lt;=($G$11/60*$F$11/($E$11/60)),1,0)</f>
        <v>0</v>
      </c>
    </row>
    <row r="1688" spans="4:14" x14ac:dyDescent="0.2">
      <c r="D1688">
        <f t="shared" si="283"/>
        <v>1665</v>
      </c>
      <c r="E1688" s="1">
        <f t="shared" si="284"/>
        <v>-200.25827312344828</v>
      </c>
      <c r="F1688" s="1">
        <f t="shared" si="285"/>
        <v>-202.26030593264733</v>
      </c>
      <c r="G1688" s="1">
        <f t="shared" ref="G1688:G1751" si="293">EXP(F1688)</f>
        <v>1.4436610035550207E-88</v>
      </c>
      <c r="H1688" s="1">
        <f t="shared" si="286"/>
        <v>1.4170584097261886E-89</v>
      </c>
      <c r="I1688">
        <f t="shared" si="287"/>
        <v>60</v>
      </c>
      <c r="J1688">
        <f t="shared" si="288"/>
        <v>1601</v>
      </c>
      <c r="K1688" s="5">
        <f t="shared" si="289"/>
        <v>0</v>
      </c>
      <c r="L1688">
        <f t="shared" si="290"/>
        <v>85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IF($H$11=1,IF(D1689&lt;=$A$15, E1688+LN($D$11)-LN(60/$E$11)-LN(MIN(D1689,$F$11)), E1688-LN(60/$E$11)-LN(MIN(D1689,$F$11))), IF(D1689&lt;=$A$15, E1688+LN($D$11)-LN(60/$E$11)-LN(MIN(D1689,$F$11)), E1688+LN($D$11)+LN(1-$H$11)-LN(60/$E$11)-LN(MIN(D1689,$F$11))))</f>
        <v>-200.37997005842581</v>
      </c>
      <c r="F1689" s="1">
        <f t="shared" ref="F1689:F1752" si="296">E1689-$E$21</f>
        <v>-202.38200286762486</v>
      </c>
      <c r="G1689" s="1">
        <f t="shared" si="293"/>
        <v>1.2782415135643212E-88</v>
      </c>
      <c r="H1689" s="1">
        <f t="shared" si="286"/>
        <v>1.2546871336117098E-89</v>
      </c>
      <c r="I1689">
        <f t="shared" si="287"/>
        <v>60</v>
      </c>
      <c r="J1689">
        <f t="shared" si="288"/>
        <v>1602</v>
      </c>
      <c r="K1689" s="5">
        <f t="shared" si="289"/>
        <v>0</v>
      </c>
      <c r="L1689">
        <f t="shared" si="290"/>
        <v>85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-200.50166699340335</v>
      </c>
      <c r="F1690" s="1">
        <f t="shared" si="296"/>
        <v>-202.5036998026024</v>
      </c>
      <c r="G1690" s="1">
        <f t="shared" si="293"/>
        <v>1.1317763401350584E-88</v>
      </c>
      <c r="H1690" s="1">
        <f t="shared" si="286"/>
        <v>1.1109208995520174E-89</v>
      </c>
      <c r="I1690">
        <f t="shared" si="287"/>
        <v>60</v>
      </c>
      <c r="J1690">
        <f t="shared" si="288"/>
        <v>1603</v>
      </c>
      <c r="K1690" s="5">
        <f t="shared" si="289"/>
        <v>0</v>
      </c>
      <c r="L1690">
        <f t="shared" si="290"/>
        <v>85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-200.62336392838088</v>
      </c>
      <c r="F1691" s="1">
        <f t="shared" si="296"/>
        <v>-202.62539673757993</v>
      </c>
      <c r="G1691" s="1">
        <f t="shared" si="293"/>
        <v>1.0020936344945673E-88</v>
      </c>
      <c r="H1691" s="1">
        <f t="shared" si="286"/>
        <v>9.8362787981166671E-90</v>
      </c>
      <c r="I1691">
        <f t="shared" si="287"/>
        <v>60</v>
      </c>
      <c r="J1691">
        <f t="shared" si="288"/>
        <v>1604</v>
      </c>
      <c r="K1691" s="5">
        <f t="shared" si="289"/>
        <v>0</v>
      </c>
      <c r="L1691">
        <f t="shared" si="290"/>
        <v>85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-200.74506086335842</v>
      </c>
      <c r="F1692" s="1">
        <f t="shared" si="296"/>
        <v>-202.74709367255747</v>
      </c>
      <c r="G1692" s="1">
        <f t="shared" si="293"/>
        <v>8.8727040554205103E-89</v>
      </c>
      <c r="H1692" s="1">
        <f t="shared" si="286"/>
        <v>8.7092051858323307E-90</v>
      </c>
      <c r="I1692">
        <f t="shared" si="287"/>
        <v>60</v>
      </c>
      <c r="J1692">
        <f t="shared" si="288"/>
        <v>1605</v>
      </c>
      <c r="K1692" s="5">
        <f t="shared" si="289"/>
        <v>0</v>
      </c>
      <c r="L1692">
        <f t="shared" si="290"/>
        <v>85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-200.86675779833595</v>
      </c>
      <c r="F1693" s="1">
        <f t="shared" si="296"/>
        <v>-202.868790607535</v>
      </c>
      <c r="G1693" s="1">
        <f t="shared" si="293"/>
        <v>7.856040049070121E-89</v>
      </c>
      <c r="H1693" s="1">
        <f t="shared" si="286"/>
        <v>7.7112754249555882E-90</v>
      </c>
      <c r="I1693">
        <f t="shared" si="287"/>
        <v>60</v>
      </c>
      <c r="J1693">
        <f t="shared" si="288"/>
        <v>1606</v>
      </c>
      <c r="K1693" s="5">
        <f t="shared" si="289"/>
        <v>0</v>
      </c>
      <c r="L1693">
        <f t="shared" si="290"/>
        <v>85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-200.98845473331349</v>
      </c>
      <c r="F1694" s="1">
        <f t="shared" si="296"/>
        <v>-202.99048754251254</v>
      </c>
      <c r="G1694" s="1">
        <f t="shared" si="293"/>
        <v>6.9558687934473932E-89</v>
      </c>
      <c r="H1694" s="1">
        <f t="shared" si="286"/>
        <v>6.827691782512653E-90</v>
      </c>
      <c r="I1694">
        <f t="shared" si="287"/>
        <v>60</v>
      </c>
      <c r="J1694">
        <f t="shared" si="288"/>
        <v>1607</v>
      </c>
      <c r="K1694" s="5">
        <f t="shared" si="289"/>
        <v>0</v>
      </c>
      <c r="L1694">
        <f t="shared" si="290"/>
        <v>85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-201.11015166829102</v>
      </c>
      <c r="F1695" s="1">
        <f t="shared" si="296"/>
        <v>-203.11218447749008</v>
      </c>
      <c r="G1695" s="1">
        <f t="shared" si="293"/>
        <v>6.1588421608647832E-89</v>
      </c>
      <c r="H1695" s="1">
        <f t="shared" si="286"/>
        <v>6.0453520990996505E-90</v>
      </c>
      <c r="I1695">
        <f t="shared" si="287"/>
        <v>60</v>
      </c>
      <c r="J1695">
        <f t="shared" si="288"/>
        <v>1608</v>
      </c>
      <c r="K1695" s="5">
        <f t="shared" si="289"/>
        <v>0</v>
      </c>
      <c r="L1695">
        <f t="shared" si="290"/>
        <v>85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-201.23184860326856</v>
      </c>
      <c r="F1696" s="1">
        <f t="shared" si="296"/>
        <v>-203.23388141246761</v>
      </c>
      <c r="G1696" s="1">
        <f t="shared" si="293"/>
        <v>5.453141496598942E-89</v>
      </c>
      <c r="H1696" s="1">
        <f t="shared" si="286"/>
        <v>5.3526555044110651E-90</v>
      </c>
      <c r="I1696">
        <f t="shared" si="287"/>
        <v>60</v>
      </c>
      <c r="J1696">
        <f t="shared" si="288"/>
        <v>1609</v>
      </c>
      <c r="K1696" s="5">
        <f t="shared" si="289"/>
        <v>0</v>
      </c>
      <c r="L1696">
        <f t="shared" si="290"/>
        <v>85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-201.3535455382461</v>
      </c>
      <c r="F1697" s="1">
        <f t="shared" si="296"/>
        <v>-203.35557834744515</v>
      </c>
      <c r="G1697" s="1">
        <f t="shared" si="293"/>
        <v>4.8283023667802373E-89</v>
      </c>
      <c r="H1697" s="1">
        <f t="shared" si="286"/>
        <v>4.7393303945305561E-90</v>
      </c>
      <c r="I1697">
        <f t="shared" si="287"/>
        <v>60</v>
      </c>
      <c r="J1697">
        <f t="shared" si="288"/>
        <v>1610</v>
      </c>
      <c r="K1697" s="5">
        <f t="shared" si="289"/>
        <v>0</v>
      </c>
      <c r="L1697">
        <f t="shared" si="290"/>
        <v>85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-201.47524247322363</v>
      </c>
      <c r="F1698" s="1">
        <f t="shared" si="296"/>
        <v>-203.47727528242268</v>
      </c>
      <c r="G1698" s="1">
        <f t="shared" si="293"/>
        <v>4.2750593872532685E-89</v>
      </c>
      <c r="H1698" s="1">
        <f t="shared" si="286"/>
        <v>4.1962821201571977E-90</v>
      </c>
      <c r="I1698">
        <f t="shared" si="287"/>
        <v>60</v>
      </c>
      <c r="J1698">
        <f t="shared" si="288"/>
        <v>1611</v>
      </c>
      <c r="K1698" s="5">
        <f t="shared" si="289"/>
        <v>0</v>
      </c>
      <c r="L1698">
        <f t="shared" si="290"/>
        <v>85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-201.59693940820117</v>
      </c>
      <c r="F1699" s="1">
        <f t="shared" si="296"/>
        <v>-203.59897221740022</v>
      </c>
      <c r="G1699" s="1">
        <f t="shared" si="293"/>
        <v>3.7852088324637722E-89</v>
      </c>
      <c r="H1699" s="1">
        <f t="shared" si="286"/>
        <v>3.7154581272224608E-90</v>
      </c>
      <c r="I1699">
        <f t="shared" si="287"/>
        <v>60</v>
      </c>
      <c r="J1699">
        <f t="shared" si="288"/>
        <v>1612</v>
      </c>
      <c r="K1699" s="5">
        <f t="shared" si="289"/>
        <v>0</v>
      </c>
      <c r="L1699">
        <f t="shared" si="290"/>
        <v>85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-201.7186363431787</v>
      </c>
      <c r="F1700" s="1">
        <f t="shared" si="296"/>
        <v>-203.72066915237775</v>
      </c>
      <c r="G1700" s="1">
        <f t="shared" si="293"/>
        <v>3.351486987077246E-89</v>
      </c>
      <c r="H1700" s="1">
        <f t="shared" si="286"/>
        <v>3.289728550144836E-90</v>
      </c>
      <c r="I1700">
        <f t="shared" si="287"/>
        <v>60</v>
      </c>
      <c r="J1700">
        <f t="shared" si="288"/>
        <v>1613</v>
      </c>
      <c r="K1700" s="5">
        <f t="shared" si="289"/>
        <v>0</v>
      </c>
      <c r="L1700">
        <f t="shared" si="290"/>
        <v>85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-201.84033327815624</v>
      </c>
      <c r="F1701" s="1">
        <f t="shared" si="296"/>
        <v>-203.84236608735529</v>
      </c>
      <c r="G1701" s="1">
        <f t="shared" si="293"/>
        <v>2.9674624364745983E-89</v>
      </c>
      <c r="H1701" s="1">
        <f t="shared" si="286"/>
        <v>2.9127804871073611E-90</v>
      </c>
      <c r="I1701">
        <f t="shared" si="287"/>
        <v>60</v>
      </c>
      <c r="J1701">
        <f t="shared" si="288"/>
        <v>1614</v>
      </c>
      <c r="K1701" s="5">
        <f t="shared" si="289"/>
        <v>0</v>
      </c>
      <c r="L1701">
        <f t="shared" si="290"/>
        <v>85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-201.96203021313377</v>
      </c>
      <c r="F1702" s="1">
        <f t="shared" si="296"/>
        <v>-203.96406302233282</v>
      </c>
      <c r="G1702" s="1">
        <f t="shared" si="293"/>
        <v>2.6274406989618429E-89</v>
      </c>
      <c r="H1702" s="1">
        <f t="shared" si="286"/>
        <v>2.579024389626269E-90</v>
      </c>
      <c r="I1702">
        <f t="shared" si="287"/>
        <v>60</v>
      </c>
      <c r="J1702">
        <f t="shared" si="288"/>
        <v>1615</v>
      </c>
      <c r="K1702" s="5">
        <f t="shared" si="289"/>
        <v>0</v>
      </c>
      <c r="L1702">
        <f t="shared" si="290"/>
        <v>85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-202.08372714811131</v>
      </c>
      <c r="F1703" s="1">
        <f t="shared" si="296"/>
        <v>-204.08575995731036</v>
      </c>
      <c r="G1703" s="1">
        <f t="shared" si="293"/>
        <v>2.3263797855390953E-89</v>
      </c>
      <c r="H1703" s="1">
        <f t="shared" si="286"/>
        <v>2.2835111783148897E-90</v>
      </c>
      <c r="I1703">
        <f t="shared" si="287"/>
        <v>60</v>
      </c>
      <c r="J1703">
        <f t="shared" si="288"/>
        <v>1616</v>
      </c>
      <c r="K1703" s="5">
        <f t="shared" si="289"/>
        <v>0</v>
      </c>
      <c r="L1703">
        <f t="shared" si="290"/>
        <v>85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-202.20542408308884</v>
      </c>
      <c r="F1704" s="1">
        <f t="shared" si="296"/>
        <v>-204.20745689228789</v>
      </c>
      <c r="G1704" s="1">
        <f t="shared" si="293"/>
        <v>2.0598154351127085E-89</v>
      </c>
      <c r="H1704" s="1">
        <f t="shared" si="286"/>
        <v>2.0218588557996108E-90</v>
      </c>
      <c r="I1704">
        <f t="shared" si="287"/>
        <v>60</v>
      </c>
      <c r="J1704">
        <f t="shared" si="288"/>
        <v>1617</v>
      </c>
      <c r="K1704" s="5">
        <f t="shared" si="289"/>
        <v>0</v>
      </c>
      <c r="L1704">
        <f t="shared" si="290"/>
        <v>85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-202.32712101806638</v>
      </c>
      <c r="F1705" s="1">
        <f t="shared" si="296"/>
        <v>-204.32915382726543</v>
      </c>
      <c r="G1705" s="1">
        <f t="shared" si="293"/>
        <v>1.8237949165060154E-89</v>
      </c>
      <c r="H1705" s="1">
        <f t="shared" si="286"/>
        <v>1.7901875285725439E-90</v>
      </c>
      <c r="I1705">
        <f t="shared" si="287"/>
        <v>60</v>
      </c>
      <c r="J1705">
        <f t="shared" si="288"/>
        <v>1618</v>
      </c>
      <c r="K1705" s="5">
        <f t="shared" si="289"/>
        <v>0</v>
      </c>
      <c r="L1705">
        <f t="shared" si="290"/>
        <v>85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-202.44881795304391</v>
      </c>
      <c r="F1706" s="1">
        <f t="shared" si="296"/>
        <v>-204.45085076224296</v>
      </c>
      <c r="G1706" s="1">
        <f t="shared" si="293"/>
        <v>1.6148184156563425E-89</v>
      </c>
      <c r="H1706" s="1">
        <f t="shared" si="286"/>
        <v>1.5850618742569151E-90</v>
      </c>
      <c r="I1706">
        <f t="shared" si="287"/>
        <v>60</v>
      </c>
      <c r="J1706">
        <f t="shared" si="288"/>
        <v>1619</v>
      </c>
      <c r="K1706" s="5">
        <f t="shared" si="289"/>
        <v>0</v>
      </c>
      <c r="L1706">
        <f t="shared" si="290"/>
        <v>85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-202.57051488802145</v>
      </c>
      <c r="F1707" s="1">
        <f t="shared" si="296"/>
        <v>-204.5725476972205</v>
      </c>
      <c r="G1707" s="1">
        <f t="shared" si="293"/>
        <v>1.4297871388623643E-89</v>
      </c>
      <c r="H1707" s="1">
        <f t="shared" si="286"/>
        <v>1.4034402011649551E-90</v>
      </c>
      <c r="I1707">
        <f t="shared" si="287"/>
        <v>60</v>
      </c>
      <c r="J1707">
        <f t="shared" si="288"/>
        <v>1620</v>
      </c>
      <c r="K1707" s="5">
        <f t="shared" si="289"/>
        <v>0</v>
      </c>
      <c r="L1707">
        <f t="shared" si="290"/>
        <v>85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-202.69221182299898</v>
      </c>
      <c r="F1708" s="1">
        <f t="shared" si="296"/>
        <v>-204.69424463219804</v>
      </c>
      <c r="G1708" s="1">
        <f t="shared" si="293"/>
        <v>1.2659573625343653E-89</v>
      </c>
      <c r="H1708" s="1">
        <f t="shared" si="286"/>
        <v>1.2426293447814511E-90</v>
      </c>
      <c r="I1708">
        <f t="shared" si="287"/>
        <v>60</v>
      </c>
      <c r="J1708">
        <f t="shared" si="288"/>
        <v>1621</v>
      </c>
      <c r="K1708" s="5">
        <f t="shared" si="289"/>
        <v>0</v>
      </c>
      <c r="L1708">
        <f t="shared" si="290"/>
        <v>85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-202.81390875797652</v>
      </c>
      <c r="F1709" s="1">
        <f t="shared" si="296"/>
        <v>-204.81594156717557</v>
      </c>
      <c r="G1709" s="1">
        <f t="shared" si="293"/>
        <v>1.1208997480772851E-89</v>
      </c>
      <c r="H1709" s="1">
        <f t="shared" si="286"/>
        <v>1.1002447323585593E-90</v>
      </c>
      <c r="I1709">
        <f t="shared" si="287"/>
        <v>60</v>
      </c>
      <c r="J1709">
        <f t="shared" si="288"/>
        <v>1622</v>
      </c>
      <c r="K1709" s="5">
        <f t="shared" si="289"/>
        <v>0</v>
      </c>
      <c r="L1709">
        <f t="shared" si="290"/>
        <v>85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-202.93560569295406</v>
      </c>
      <c r="F1710" s="1">
        <f t="shared" si="296"/>
        <v>-204.93763850215311</v>
      </c>
      <c r="G1710" s="1">
        <f t="shared" si="293"/>
        <v>9.9246331861008058E-90</v>
      </c>
      <c r="H1710" s="1">
        <f t="shared" si="286"/>
        <v>9.7417502344245914E-91</v>
      </c>
      <c r="I1710">
        <f t="shared" si="287"/>
        <v>60</v>
      </c>
      <c r="J1710">
        <f t="shared" si="288"/>
        <v>1623</v>
      </c>
      <c r="K1710" s="5">
        <f t="shared" si="289"/>
        <v>0</v>
      </c>
      <c r="L1710">
        <f t="shared" si="290"/>
        <v>85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-203.05730262793159</v>
      </c>
      <c r="F1711" s="1">
        <f t="shared" si="296"/>
        <v>-205.05933543713064</v>
      </c>
      <c r="G1711" s="1">
        <f t="shared" si="293"/>
        <v>8.7874356335266182E-90</v>
      </c>
      <c r="H1711" s="1">
        <f t="shared" si="286"/>
        <v>8.6255080200633052E-91</v>
      </c>
      <c r="I1711">
        <f t="shared" si="287"/>
        <v>60</v>
      </c>
      <c r="J1711">
        <f t="shared" si="288"/>
        <v>1624</v>
      </c>
      <c r="K1711" s="5">
        <f t="shared" si="289"/>
        <v>0</v>
      </c>
      <c r="L1711">
        <f t="shared" si="290"/>
        <v>85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-203.17899956290913</v>
      </c>
      <c r="F1712" s="1">
        <f t="shared" si="296"/>
        <v>-205.18103237210818</v>
      </c>
      <c r="G1712" s="1">
        <f t="shared" si="293"/>
        <v>7.780541967184905E-90</v>
      </c>
      <c r="H1712" s="1">
        <f t="shared" si="286"/>
        <v>7.6371685594309328E-91</v>
      </c>
      <c r="I1712">
        <f t="shared" si="287"/>
        <v>60</v>
      </c>
      <c r="J1712">
        <f t="shared" si="288"/>
        <v>1625</v>
      </c>
      <c r="K1712" s="5">
        <f t="shared" si="289"/>
        <v>0</v>
      </c>
      <c r="L1712">
        <f t="shared" si="290"/>
        <v>85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-203.30069649788666</v>
      </c>
      <c r="F1713" s="1">
        <f t="shared" si="296"/>
        <v>-205.30272930708571</v>
      </c>
      <c r="G1713" s="1">
        <f t="shared" si="293"/>
        <v>6.8890215334448606E-90</v>
      </c>
      <c r="H1713" s="1">
        <f t="shared" si="286"/>
        <v>6.7620763286626994E-91</v>
      </c>
      <c r="I1713">
        <f t="shared" si="287"/>
        <v>60</v>
      </c>
      <c r="J1713">
        <f t="shared" si="288"/>
        <v>1626</v>
      </c>
      <c r="K1713" s="5">
        <f t="shared" si="289"/>
        <v>0</v>
      </c>
      <c r="L1713">
        <f t="shared" si="290"/>
        <v>85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-203.4223934328642</v>
      </c>
      <c r="F1714" s="1">
        <f t="shared" si="296"/>
        <v>-205.42442624206325</v>
      </c>
      <c r="G1714" s="1">
        <f t="shared" si="293"/>
        <v>6.0996544827375411E-90</v>
      </c>
      <c r="H1714" s="1">
        <f t="shared" si="286"/>
        <v>5.9872550826700038E-91</v>
      </c>
      <c r="I1714">
        <f t="shared" si="287"/>
        <v>60</v>
      </c>
      <c r="J1714">
        <f t="shared" si="288"/>
        <v>1627</v>
      </c>
      <c r="K1714" s="5">
        <f t="shared" si="289"/>
        <v>0</v>
      </c>
      <c r="L1714">
        <f t="shared" si="290"/>
        <v>85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-203.54409036784173</v>
      </c>
      <c r="F1715" s="1">
        <f t="shared" si="296"/>
        <v>-205.54612317704078</v>
      </c>
      <c r="G1715" s="1">
        <f t="shared" si="293"/>
        <v>5.4007357399237799E-90</v>
      </c>
      <c r="H1715" s="1">
        <f t="shared" si="286"/>
        <v>5.3012154377806503E-91</v>
      </c>
      <c r="I1715">
        <f t="shared" si="287"/>
        <v>60</v>
      </c>
      <c r="J1715">
        <f t="shared" si="288"/>
        <v>1628</v>
      </c>
      <c r="K1715" s="5">
        <f t="shared" si="289"/>
        <v>0</v>
      </c>
      <c r="L1715">
        <f t="shared" si="290"/>
        <v>85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-203.66578730281927</v>
      </c>
      <c r="F1716" s="1">
        <f t="shared" si="296"/>
        <v>-205.66782011201832</v>
      </c>
      <c r="G1716" s="1">
        <f t="shared" si="293"/>
        <v>4.7819014363907726E-90</v>
      </c>
      <c r="H1716" s="1">
        <f t="shared" si="286"/>
        <v>4.6937845022015444E-91</v>
      </c>
      <c r="I1716">
        <f t="shared" si="287"/>
        <v>60</v>
      </c>
      <c r="J1716">
        <f t="shared" si="288"/>
        <v>1629</v>
      </c>
      <c r="K1716" s="5">
        <f t="shared" si="289"/>
        <v>0</v>
      </c>
      <c r="L1716">
        <f t="shared" si="290"/>
        <v>85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-203.7874842377968</v>
      </c>
      <c r="F1717" s="1">
        <f t="shared" si="296"/>
        <v>-205.78951704699585</v>
      </c>
      <c r="G1717" s="1">
        <f t="shared" si="293"/>
        <v>4.2339752301375965E-90</v>
      </c>
      <c r="H1717" s="1">
        <f t="shared" si="286"/>
        <v>4.155955027990885E-91</v>
      </c>
      <c r="I1717">
        <f t="shared" si="287"/>
        <v>60</v>
      </c>
      <c r="J1717">
        <f t="shared" si="288"/>
        <v>1630</v>
      </c>
      <c r="K1717" s="5">
        <f t="shared" si="289"/>
        <v>0</v>
      </c>
      <c r="L1717">
        <f t="shared" si="290"/>
        <v>85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-203.90918117277434</v>
      </c>
      <c r="F1718" s="1">
        <f t="shared" si="296"/>
        <v>-205.91121398197339</v>
      </c>
      <c r="G1718" s="1">
        <f t="shared" si="293"/>
        <v>3.7488322350176052E-90</v>
      </c>
      <c r="H1718" s="1">
        <f t="shared" si="286"/>
        <v>3.6797518477002056E-91</v>
      </c>
      <c r="I1718">
        <f t="shared" si="287"/>
        <v>60</v>
      </c>
      <c r="J1718">
        <f t="shared" si="288"/>
        <v>1631</v>
      </c>
      <c r="K1718" s="5">
        <f t="shared" si="289"/>
        <v>0</v>
      </c>
      <c r="L1718">
        <f t="shared" si="290"/>
        <v>85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-204.03087810775187</v>
      </c>
      <c r="F1719" s="1">
        <f t="shared" si="296"/>
        <v>-206.03291091695093</v>
      </c>
      <c r="G1719" s="1">
        <f t="shared" si="293"/>
        <v>3.3192785414217858E-90</v>
      </c>
      <c r="H1719" s="1">
        <f t="shared" si="286"/>
        <v>3.2581136151511724E-91</v>
      </c>
      <c r="I1719">
        <f t="shared" si="287"/>
        <v>60</v>
      </c>
      <c r="J1719">
        <f t="shared" si="288"/>
        <v>1632</v>
      </c>
      <c r="K1719" s="5">
        <f t="shared" si="289"/>
        <v>0</v>
      </c>
      <c r="L1719">
        <f t="shared" si="290"/>
        <v>85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-204.15257504272941</v>
      </c>
      <c r="F1720" s="1">
        <f t="shared" si="296"/>
        <v>-206.15460785192846</v>
      </c>
      <c r="G1720" s="1">
        <f t="shared" si="293"/>
        <v>2.938944541883827E-90</v>
      </c>
      <c r="H1720" s="1">
        <f t="shared" si="286"/>
        <v>2.8847880967483889E-91</v>
      </c>
      <c r="I1720">
        <f t="shared" si="287"/>
        <v>60</v>
      </c>
      <c r="J1720">
        <f t="shared" si="288"/>
        <v>1633</v>
      </c>
      <c r="K1720" s="5">
        <f t="shared" si="289"/>
        <v>0</v>
      </c>
      <c r="L1720">
        <f t="shared" si="290"/>
        <v>85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-204.27427197770695</v>
      </c>
      <c r="F1721" s="1">
        <f t="shared" si="296"/>
        <v>-206.276304786906</v>
      </c>
      <c r="G1721" s="1">
        <f t="shared" si="293"/>
        <v>2.6021904797929313E-90</v>
      </c>
      <c r="H1721" s="1">
        <f t="shared" si="286"/>
        <v>2.5542394606625963E-91</v>
      </c>
      <c r="I1721">
        <f t="shared" si="287"/>
        <v>60</v>
      </c>
      <c r="J1721">
        <f t="shared" si="288"/>
        <v>1634</v>
      </c>
      <c r="K1721" s="5">
        <f t="shared" si="289"/>
        <v>0</v>
      </c>
      <c r="L1721">
        <f t="shared" si="290"/>
        <v>85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-204.39596891268448</v>
      </c>
      <c r="F1722" s="1">
        <f t="shared" si="296"/>
        <v>-206.39800172188353</v>
      </c>
      <c r="G1722" s="1">
        <f t="shared" si="293"/>
        <v>2.3040228206499552E-90</v>
      </c>
      <c r="H1722" s="1">
        <f t="shared" si="286"/>
        <v>2.2615661891283051E-91</v>
      </c>
      <c r="I1722">
        <f t="shared" si="287"/>
        <v>60</v>
      </c>
      <c r="J1722">
        <f t="shared" si="288"/>
        <v>1635</v>
      </c>
      <c r="K1722" s="5">
        <f t="shared" si="289"/>
        <v>0</v>
      </c>
      <c r="L1722">
        <f t="shared" si="290"/>
        <v>85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-204.51766584766202</v>
      </c>
      <c r="F1723" s="1">
        <f t="shared" si="296"/>
        <v>-206.51969865686107</v>
      </c>
      <c r="G1723" s="1">
        <f t="shared" si="293"/>
        <v>2.0400202057837825E-90</v>
      </c>
      <c r="H1723" s="1">
        <f t="shared" si="286"/>
        <v>2.0024283966239888E-91</v>
      </c>
      <c r="I1723">
        <f t="shared" si="287"/>
        <v>60</v>
      </c>
      <c r="J1723">
        <f t="shared" si="288"/>
        <v>1636</v>
      </c>
      <c r="K1723" s="5">
        <f t="shared" si="289"/>
        <v>0</v>
      </c>
      <c r="L1723">
        <f t="shared" si="290"/>
        <v>85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-204.63936278263955</v>
      </c>
      <c r="F1724" s="1">
        <f t="shared" si="296"/>
        <v>-206.6413955918386</v>
      </c>
      <c r="G1724" s="1">
        <f t="shared" si="293"/>
        <v>1.8062678905376959E-90</v>
      </c>
      <c r="H1724" s="1">
        <f t="shared" si="286"/>
        <v>1.7729834761774623E-91</v>
      </c>
      <c r="I1724">
        <f t="shared" si="287"/>
        <v>60</v>
      </c>
      <c r="J1724">
        <f t="shared" si="288"/>
        <v>1637</v>
      </c>
      <c r="K1724" s="5">
        <f t="shared" si="289"/>
        <v>0</v>
      </c>
      <c r="L1724">
        <f t="shared" si="290"/>
        <v>85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-204.76105971761709</v>
      </c>
      <c r="F1725" s="1">
        <f t="shared" si="296"/>
        <v>-206.76309252681614</v>
      </c>
      <c r="G1725" s="1">
        <f t="shared" si="293"/>
        <v>1.5992996947468932E-90</v>
      </c>
      <c r="H1725" s="1">
        <f t="shared" si="286"/>
        <v>1.5698291195321035E-91</v>
      </c>
      <c r="I1725">
        <f t="shared" si="287"/>
        <v>60</v>
      </c>
      <c r="J1725">
        <f t="shared" si="288"/>
        <v>1638</v>
      </c>
      <c r="K1725" s="5">
        <f t="shared" si="289"/>
        <v>0</v>
      </c>
      <c r="L1725">
        <f t="shared" si="290"/>
        <v>85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-204.88275665259462</v>
      </c>
      <c r="F1726" s="1">
        <f t="shared" si="296"/>
        <v>-206.88478946179367</v>
      </c>
      <c r="G1726" s="1">
        <f t="shared" si="293"/>
        <v>1.4160466047237895E-90</v>
      </c>
      <c r="H1726" s="1">
        <f t="shared" si="286"/>
        <v>1.3899528662523616E-91</v>
      </c>
      <c r="I1726">
        <f t="shared" si="287"/>
        <v>60</v>
      </c>
      <c r="J1726">
        <f t="shared" si="288"/>
        <v>1639</v>
      </c>
      <c r="K1726" s="5">
        <f t="shared" si="289"/>
        <v>0</v>
      </c>
      <c r="L1726">
        <f t="shared" si="290"/>
        <v>85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-205.00445358757216</v>
      </c>
      <c r="F1727" s="1">
        <f t="shared" si="296"/>
        <v>-207.00648639677121</v>
      </c>
      <c r="G1727" s="1">
        <f t="shared" si="293"/>
        <v>1.2537912645991692E-90</v>
      </c>
      <c r="H1727" s="1">
        <f t="shared" si="286"/>
        <v>1.2306874336609261E-91</v>
      </c>
      <c r="I1727">
        <f t="shared" si="287"/>
        <v>60</v>
      </c>
      <c r="J1727">
        <f t="shared" si="288"/>
        <v>1640</v>
      </c>
      <c r="K1727" s="5">
        <f t="shared" si="289"/>
        <v>0</v>
      </c>
      <c r="L1727">
        <f t="shared" si="290"/>
        <v>85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-205.12615052254969</v>
      </c>
      <c r="F1728" s="1">
        <f t="shared" si="296"/>
        <v>-207.12818333174874</v>
      </c>
      <c r="G1728" s="1">
        <f t="shared" si="293"/>
        <v>1.1101276821971635E-90</v>
      </c>
      <c r="H1728" s="1">
        <f t="shared" si="286"/>
        <v>1.0896711652205944E-91</v>
      </c>
      <c r="I1728">
        <f t="shared" si="287"/>
        <v>60</v>
      </c>
      <c r="J1728">
        <f t="shared" si="288"/>
        <v>1641</v>
      </c>
      <c r="K1728" s="5">
        <f t="shared" si="289"/>
        <v>0</v>
      </c>
      <c r="L1728">
        <f t="shared" si="290"/>
        <v>85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-205.24784745752723</v>
      </c>
      <c r="F1729" s="1">
        <f t="shared" si="296"/>
        <v>-207.24988026672628</v>
      </c>
      <c r="G1729" s="1">
        <f t="shared" si="293"/>
        <v>9.8292555194538995E-91</v>
      </c>
      <c r="H1729" s="1">
        <f t="shared" si="286"/>
        <v>9.6481301087238633E-92</v>
      </c>
      <c r="I1729">
        <f t="shared" si="287"/>
        <v>60</v>
      </c>
      <c r="J1729">
        <f t="shared" si="288"/>
        <v>1642</v>
      </c>
      <c r="K1729" s="5">
        <f t="shared" si="289"/>
        <v>0</v>
      </c>
      <c r="L1729">
        <f t="shared" si="290"/>
        <v>85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-205.36954439250476</v>
      </c>
      <c r="F1730" s="1">
        <f t="shared" si="296"/>
        <v>-207.37157720170381</v>
      </c>
      <c r="G1730" s="1">
        <f t="shared" si="293"/>
        <v>8.7029866578496706E-91</v>
      </c>
      <c r="H1730" s="1">
        <f t="shared" si="286"/>
        <v>8.5426152004324543E-92</v>
      </c>
      <c r="I1730">
        <f t="shared" si="287"/>
        <v>60</v>
      </c>
      <c r="J1730">
        <f t="shared" si="288"/>
        <v>1643</v>
      </c>
      <c r="K1730" s="5">
        <f t="shared" si="289"/>
        <v>0</v>
      </c>
      <c r="L1730">
        <f t="shared" si="290"/>
        <v>85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-205.4912413274823</v>
      </c>
      <c r="F1731" s="1">
        <f t="shared" si="296"/>
        <v>-207.49327413668135</v>
      </c>
      <c r="G1731" s="1">
        <f t="shared" si="293"/>
        <v>7.7057694366376082E-91</v>
      </c>
      <c r="H1731" s="1">
        <f t="shared" si="286"/>
        <v>7.5637738753827828E-92</v>
      </c>
      <c r="I1731">
        <f t="shared" si="287"/>
        <v>60</v>
      </c>
      <c r="J1731">
        <f t="shared" si="288"/>
        <v>1644</v>
      </c>
      <c r="K1731" s="5">
        <f t="shared" si="289"/>
        <v>0</v>
      </c>
      <c r="L1731">
        <f t="shared" si="290"/>
        <v>85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-205.61293826245983</v>
      </c>
      <c r="F1732" s="1">
        <f t="shared" si="296"/>
        <v>-207.61497107165889</v>
      </c>
      <c r="G1732" s="1">
        <f t="shared" si="293"/>
        <v>6.8228166886894429E-91</v>
      </c>
      <c r="H1732" s="1">
        <f t="shared" si="286"/>
        <v>6.6970914521617353E-92</v>
      </c>
      <c r="I1732">
        <f t="shared" si="287"/>
        <v>60</v>
      </c>
      <c r="J1732">
        <f t="shared" si="288"/>
        <v>1645</v>
      </c>
      <c r="K1732" s="5">
        <f t="shared" si="289"/>
        <v>0</v>
      </c>
      <c r="L1732">
        <f t="shared" si="290"/>
        <v>85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-205.73463519743737</v>
      </c>
      <c r="F1733" s="1">
        <f t="shared" si="296"/>
        <v>-207.73666800663642</v>
      </c>
      <c r="G1733" s="1">
        <f t="shared" si="293"/>
        <v>6.0410356097770165E-91</v>
      </c>
      <c r="H1733" s="1">
        <f t="shared" si="286"/>
        <v>5.9297163899347772E-92</v>
      </c>
      <c r="I1733">
        <f t="shared" si="287"/>
        <v>60</v>
      </c>
      <c r="J1733">
        <f t="shared" si="288"/>
        <v>1646</v>
      </c>
      <c r="K1733" s="5">
        <f t="shared" si="289"/>
        <v>0</v>
      </c>
      <c r="L1733">
        <f t="shared" si="290"/>
        <v>85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-205.85633213241491</v>
      </c>
      <c r="F1734" s="1">
        <f t="shared" si="296"/>
        <v>-207.85836494161396</v>
      </c>
      <c r="G1734" s="1">
        <f t="shared" si="293"/>
        <v>5.3488336128233163E-91</v>
      </c>
      <c r="H1734" s="1">
        <f t="shared" si="286"/>
        <v>5.250269720254668E-92</v>
      </c>
      <c r="I1734">
        <f t="shared" si="287"/>
        <v>60</v>
      </c>
      <c r="J1734">
        <f t="shared" si="288"/>
        <v>1647</v>
      </c>
      <c r="K1734" s="5">
        <f t="shared" si="289"/>
        <v>0</v>
      </c>
      <c r="L1734">
        <f t="shared" si="290"/>
        <v>85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-205.97802906739244</v>
      </c>
      <c r="F1735" s="1">
        <f t="shared" si="296"/>
        <v>-207.98006187659149</v>
      </c>
      <c r="G1735" s="1">
        <f t="shared" si="293"/>
        <v>4.7359464280205705E-91</v>
      </c>
      <c r="H1735" s="1">
        <f t="shared" si="286"/>
        <v>4.6486763148087478E-92</v>
      </c>
      <c r="I1735">
        <f t="shared" si="287"/>
        <v>60</v>
      </c>
      <c r="J1735">
        <f t="shared" si="288"/>
        <v>1648</v>
      </c>
      <c r="K1735" s="5">
        <f t="shared" si="289"/>
        <v>0</v>
      </c>
      <c r="L1735">
        <f t="shared" si="290"/>
        <v>85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-206.09972600236998</v>
      </c>
      <c r="F1736" s="1">
        <f t="shared" si="296"/>
        <v>-208.10175881156903</v>
      </c>
      <c r="G1736" s="1">
        <f t="shared" si="293"/>
        <v>4.1932858998098145E-91</v>
      </c>
      <c r="H1736" s="1">
        <f t="shared" si="286"/>
        <v>4.1160154870701813E-92</v>
      </c>
      <c r="I1736">
        <f t="shared" si="287"/>
        <v>60</v>
      </c>
      <c r="J1736">
        <f t="shared" si="288"/>
        <v>1649</v>
      </c>
      <c r="K1736" s="5">
        <f t="shared" si="289"/>
        <v>0</v>
      </c>
      <c r="L1736">
        <f t="shared" si="290"/>
        <v>85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-206.22142293734751</v>
      </c>
      <c r="F1737" s="1">
        <f t="shared" si="296"/>
        <v>-208.22345574654656</v>
      </c>
      <c r="G1737" s="1">
        <f t="shared" si="293"/>
        <v>3.7128052237898816E-91</v>
      </c>
      <c r="H1737" s="1">
        <f t="shared" si="286"/>
        <v>3.6443887125099992E-92</v>
      </c>
      <c r="I1737">
        <f t="shared" si="287"/>
        <v>60</v>
      </c>
      <c r="J1737">
        <f t="shared" si="288"/>
        <v>1650</v>
      </c>
      <c r="K1737" s="5">
        <f t="shared" si="289"/>
        <v>0</v>
      </c>
      <c r="L1737">
        <f t="shared" si="290"/>
        <v>85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-206.34311987232505</v>
      </c>
      <c r="F1738" s="1">
        <f t="shared" si="296"/>
        <v>-208.3451526815241</v>
      </c>
      <c r="G1738" s="1">
        <f t="shared" si="293"/>
        <v>3.2873796252305728E-91</v>
      </c>
      <c r="H1738" s="1">
        <f t="shared" si="286"/>
        <v>3.226802505868178E-92</v>
      </c>
      <c r="I1738">
        <f t="shared" si="287"/>
        <v>60</v>
      </c>
      <c r="J1738">
        <f t="shared" si="288"/>
        <v>1651</v>
      </c>
      <c r="K1738" s="5">
        <f t="shared" si="289"/>
        <v>0</v>
      </c>
      <c r="L1738">
        <f t="shared" si="290"/>
        <v>85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-206.46481680730258</v>
      </c>
      <c r="F1739" s="1">
        <f t="shared" si="296"/>
        <v>-208.46684961650163</v>
      </c>
      <c r="G1739" s="1">
        <f t="shared" si="293"/>
        <v>2.9107007098395242E-91</v>
      </c>
      <c r="H1739" s="1">
        <f t="shared" si="286"/>
        <v>2.8570647187374044E-92</v>
      </c>
      <c r="I1739">
        <f t="shared" si="287"/>
        <v>60</v>
      </c>
      <c r="J1739">
        <f t="shared" si="288"/>
        <v>1652</v>
      </c>
      <c r="K1739" s="5">
        <f t="shared" si="289"/>
        <v>0</v>
      </c>
      <c r="L1739">
        <f t="shared" si="290"/>
        <v>85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-206.58651374228012</v>
      </c>
      <c r="F1740" s="1">
        <f t="shared" si="296"/>
        <v>-208.58854655147917</v>
      </c>
      <c r="G1740" s="1">
        <f t="shared" si="293"/>
        <v>2.5771829201703718E-91</v>
      </c>
      <c r="H1740" s="1">
        <f t="shared" si="286"/>
        <v>2.5296927197153707E-92</v>
      </c>
      <c r="I1740">
        <f t="shared" si="287"/>
        <v>60</v>
      </c>
      <c r="J1740">
        <f t="shared" si="288"/>
        <v>1653</v>
      </c>
      <c r="K1740" s="5">
        <f t="shared" si="289"/>
        <v>0</v>
      </c>
      <c r="L1740">
        <f t="shared" si="290"/>
        <v>85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-206.70821067725765</v>
      </c>
      <c r="F1741" s="1">
        <f t="shared" si="296"/>
        <v>-208.7102434864567</v>
      </c>
      <c r="G1741" s="1">
        <f t="shared" si="293"/>
        <v>2.2818807105674811E-91</v>
      </c>
      <c r="H1741" s="1">
        <f t="shared" si="286"/>
        <v>2.2398320955812826E-92</v>
      </c>
      <c r="I1741">
        <f t="shared" si="287"/>
        <v>60</v>
      </c>
      <c r="J1741">
        <f t="shared" si="288"/>
        <v>1654</v>
      </c>
      <c r="K1741" s="5">
        <f t="shared" si="289"/>
        <v>0</v>
      </c>
      <c r="L1741">
        <f t="shared" si="290"/>
        <v>85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-206.82990761223519</v>
      </c>
      <c r="F1742" s="1">
        <f t="shared" si="296"/>
        <v>-208.83194042143424</v>
      </c>
      <c r="G1742" s="1">
        <f t="shared" si="293"/>
        <v>2.0204152124815923E-91</v>
      </c>
      <c r="H1742" s="1">
        <f t="shared" si="286"/>
        <v>1.9831846679625631E-92</v>
      </c>
      <c r="I1742">
        <f t="shared" si="287"/>
        <v>60</v>
      </c>
      <c r="J1742">
        <f t="shared" si="288"/>
        <v>1655</v>
      </c>
      <c r="K1742" s="5">
        <f t="shared" si="289"/>
        <v>0</v>
      </c>
      <c r="L1742">
        <f t="shared" si="290"/>
        <v>85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-206.95160454721272</v>
      </c>
      <c r="F1743" s="1">
        <f t="shared" si="296"/>
        <v>-208.95363735641178</v>
      </c>
      <c r="G1743" s="1">
        <f t="shared" si="293"/>
        <v>1.7889093027180485E-91</v>
      </c>
      <c r="H1743" s="1">
        <f t="shared" si="286"/>
        <v>1.7559447580918251E-92</v>
      </c>
      <c r="I1743">
        <f t="shared" si="287"/>
        <v>60</v>
      </c>
      <c r="J1743">
        <f t="shared" si="288"/>
        <v>1656</v>
      </c>
      <c r="K1743" s="5">
        <f t="shared" si="289"/>
        <v>0</v>
      </c>
      <c r="L1743">
        <f t="shared" si="290"/>
        <v>85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-207.07330148219026</v>
      </c>
      <c r="F1744" s="1">
        <f t="shared" si="296"/>
        <v>-209.07533429138931</v>
      </c>
      <c r="G1744" s="1">
        <f t="shared" si="293"/>
        <v>1.5839301117815806E-91</v>
      </c>
      <c r="H1744" s="1">
        <f t="shared" si="286"/>
        <v>1.5547427545604459E-92</v>
      </c>
      <c r="I1744">
        <f t="shared" si="287"/>
        <v>60</v>
      </c>
      <c r="J1744">
        <f t="shared" si="288"/>
        <v>1657</v>
      </c>
      <c r="K1744" s="5">
        <f t="shared" si="289"/>
        <v>0</v>
      </c>
      <c r="L1744">
        <f t="shared" si="290"/>
        <v>85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-207.1949984171678</v>
      </c>
      <c r="F1745" s="1">
        <f t="shared" si="296"/>
        <v>-209.19703122636685</v>
      </c>
      <c r="G1745" s="1">
        <f t="shared" si="293"/>
        <v>1.402438119806586E-91</v>
      </c>
      <c r="H1745" s="1">
        <f t="shared" si="286"/>
        <v>1.3765951472670401E-92</v>
      </c>
      <c r="I1745">
        <f t="shared" si="287"/>
        <v>60</v>
      </c>
      <c r="J1745">
        <f t="shared" si="288"/>
        <v>1658</v>
      </c>
      <c r="K1745" s="5">
        <f t="shared" si="289"/>
        <v>0</v>
      </c>
      <c r="L1745">
        <f t="shared" si="290"/>
        <v>85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-207.31669535214533</v>
      </c>
      <c r="F1746" s="1">
        <f t="shared" si="296"/>
        <v>-209.31872816134438</v>
      </c>
      <c r="G1746" s="1">
        <f t="shared" si="293"/>
        <v>1.2417420852453952E-91</v>
      </c>
      <c r="H1746" s="1">
        <f t="shared" si="286"/>
        <v>1.2188602866426727E-92</v>
      </c>
      <c r="I1746">
        <f t="shared" si="287"/>
        <v>60</v>
      </c>
      <c r="J1746">
        <f t="shared" si="288"/>
        <v>1659</v>
      </c>
      <c r="K1746" s="5">
        <f t="shared" si="289"/>
        <v>0</v>
      </c>
      <c r="L1746">
        <f t="shared" si="290"/>
        <v>85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-207.43839228712287</v>
      </c>
      <c r="F1747" s="1">
        <f t="shared" si="296"/>
        <v>-209.44042509632192</v>
      </c>
      <c r="G1747" s="1">
        <f t="shared" si="293"/>
        <v>1.0994591379776765E-91</v>
      </c>
      <c r="H1747" s="1">
        <f t="shared" si="286"/>
        <v>1.0791992121315161E-92</v>
      </c>
      <c r="I1747">
        <f t="shared" si="287"/>
        <v>60</v>
      </c>
      <c r="J1747">
        <f t="shared" si="288"/>
        <v>1660</v>
      </c>
      <c r="K1747" s="5">
        <f t="shared" si="289"/>
        <v>0</v>
      </c>
      <c r="L1747">
        <f t="shared" si="290"/>
        <v>85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-207.5600892221004</v>
      </c>
      <c r="F1748" s="1">
        <f t="shared" si="296"/>
        <v>-209.56212203129945</v>
      </c>
      <c r="G1748" s="1">
        <f t="shared" si="293"/>
        <v>9.734794450843859E-92</v>
      </c>
      <c r="H1748" s="1">
        <f t="shared" si="286"/>
        <v>9.5554096907476513E-93</v>
      </c>
      <c r="I1748">
        <f t="shared" si="287"/>
        <v>60</v>
      </c>
      <c r="J1748">
        <f t="shared" si="288"/>
        <v>1661</v>
      </c>
      <c r="K1748" s="5">
        <f t="shared" si="289"/>
        <v>0</v>
      </c>
      <c r="L1748">
        <f t="shared" si="290"/>
        <v>85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-207.68178615707794</v>
      </c>
      <c r="F1749" s="1">
        <f t="shared" si="296"/>
        <v>-209.68381896627699</v>
      </c>
      <c r="G1749" s="1">
        <f t="shared" si="293"/>
        <v>8.619349253351199E-92</v>
      </c>
      <c r="H1749" s="1">
        <f t="shared" si="286"/>
        <v>8.4605189970160163E-93</v>
      </c>
      <c r="I1749">
        <f t="shared" si="287"/>
        <v>60</v>
      </c>
      <c r="J1749">
        <f t="shared" si="288"/>
        <v>1662</v>
      </c>
      <c r="K1749" s="5">
        <f t="shared" si="289"/>
        <v>0</v>
      </c>
      <c r="L1749">
        <f t="shared" si="290"/>
        <v>85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-207.80348309205547</v>
      </c>
      <c r="F1750" s="1">
        <f t="shared" si="296"/>
        <v>-209.80551590125452</v>
      </c>
      <c r="G1750" s="1">
        <f t="shared" si="293"/>
        <v>7.6317154847379207E-92</v>
      </c>
      <c r="H1750" s="1">
        <f t="shared" si="286"/>
        <v>7.4910845286078138E-93</v>
      </c>
      <c r="I1750">
        <f t="shared" si="287"/>
        <v>60</v>
      </c>
      <c r="J1750">
        <f t="shared" si="288"/>
        <v>1663</v>
      </c>
      <c r="K1750" s="5">
        <f t="shared" si="289"/>
        <v>0</v>
      </c>
      <c r="L1750">
        <f t="shared" si="290"/>
        <v>85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-207.92518002703301</v>
      </c>
      <c r="F1751" s="1">
        <f t="shared" si="296"/>
        <v>-209.92721283623206</v>
      </c>
      <c r="G1751" s="1">
        <f t="shared" si="293"/>
        <v>6.7572480854449281E-92</v>
      </c>
      <c r="H1751" s="1">
        <f t="shared" ref="H1751:H1814" si="297">G1751/$G$21</f>
        <v>6.6327310930380645E-93</v>
      </c>
      <c r="I1751">
        <f t="shared" ref="I1751:I1814" si="298">IF($F$11&lt;=D1751, IF(D1751&lt;=$A$15,D1751-$F$11,$C$11),0)</f>
        <v>60</v>
      </c>
      <c r="J1751">
        <f t="shared" ref="J1751:J1814" si="299">IF(D1751&lt;=$A$15,0,D1751-$A$15)</f>
        <v>1664</v>
      </c>
      <c r="K1751" s="5">
        <f t="shared" ref="K1751:K1814" si="300">IF(D1751&lt;$F$11,H1751,0)</f>
        <v>0</v>
      </c>
      <c r="L1751">
        <f t="shared" ref="L1751:L1814" si="301">IF(D1751&lt;$A$15,$D$11,$D$11*(1-$H$11))</f>
        <v>85</v>
      </c>
      <c r="M1751">
        <f t="shared" ref="M1751:M1814" si="302">IF(D1751&lt;$A$15,0,1)</f>
        <v>1</v>
      </c>
      <c r="N1751">
        <f t="shared" ref="N1751:N1814" si="303">IF(SUM(I1751:J1751)&lt;=($G$11/60*$F$11/($E$11/60)),1,0)</f>
        <v>0</v>
      </c>
    </row>
    <row r="1752" spans="4:14" x14ac:dyDescent="0.2">
      <c r="D1752">
        <f t="shared" si="294"/>
        <v>1729</v>
      </c>
      <c r="E1752" s="1">
        <f t="shared" si="295"/>
        <v>-208.04687696201054</v>
      </c>
      <c r="F1752" s="1">
        <f t="shared" si="296"/>
        <v>-210.04890977120959</v>
      </c>
      <c r="G1752" s="1">
        <f t="shared" ref="G1752:G1815" si="304">EXP(F1752)</f>
        <v>5.9829800756542703E-92</v>
      </c>
      <c r="H1752" s="1">
        <f t="shared" si="297"/>
        <v>5.8727306552940286E-93</v>
      </c>
      <c r="I1752">
        <f t="shared" si="298"/>
        <v>60</v>
      </c>
      <c r="J1752">
        <f t="shared" si="299"/>
        <v>1665</v>
      </c>
      <c r="K1752" s="5">
        <f t="shared" si="300"/>
        <v>0</v>
      </c>
      <c r="L1752">
        <f t="shared" si="301"/>
        <v>85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IF($H$11=1,IF(D1753&lt;=$A$15, E1752+LN($D$11)-LN(60/$E$11)-LN(MIN(D1753,$F$11)), E1752-LN(60/$E$11)-LN(MIN(D1753,$F$11))), IF(D1753&lt;=$A$15, E1752+LN($D$11)-LN(60/$E$11)-LN(MIN(D1753,$F$11)), E1752+LN($D$11)+LN(1-$H$11)-LN(60/$E$11)-LN(MIN(D1753,$F$11))))</f>
        <v>-208.16857389698808</v>
      </c>
      <c r="F1753" s="1">
        <f t="shared" ref="F1753:F1816" si="307">E1753-$E$21</f>
        <v>-210.17060670618713</v>
      </c>
      <c r="G1753" s="1">
        <f t="shared" si="304"/>
        <v>5.2974302753188023E-92</v>
      </c>
      <c r="H1753" s="1">
        <f t="shared" si="297"/>
        <v>5.1998136010415065E-93</v>
      </c>
      <c r="I1753">
        <f t="shared" si="298"/>
        <v>60</v>
      </c>
      <c r="J1753">
        <f t="shared" si="299"/>
        <v>1666</v>
      </c>
      <c r="K1753" s="5">
        <f t="shared" si="300"/>
        <v>0</v>
      </c>
      <c r="L1753">
        <f t="shared" si="301"/>
        <v>85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-208.29027083196561</v>
      </c>
      <c r="F1754" s="1">
        <f t="shared" si="307"/>
        <v>-210.29230364116466</v>
      </c>
      <c r="G1754" s="1">
        <f t="shared" si="304"/>
        <v>4.690433056271783E-92</v>
      </c>
      <c r="H1754" s="1">
        <f t="shared" si="297"/>
        <v>4.6040016259220948E-93</v>
      </c>
      <c r="I1754">
        <f t="shared" si="298"/>
        <v>60</v>
      </c>
      <c r="J1754">
        <f t="shared" si="299"/>
        <v>1667</v>
      </c>
      <c r="K1754" s="5">
        <f t="shared" si="300"/>
        <v>0</v>
      </c>
      <c r="L1754">
        <f t="shared" si="301"/>
        <v>85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-208.41196776694315</v>
      </c>
      <c r="F1755" s="1">
        <f t="shared" si="307"/>
        <v>-210.4140005761422</v>
      </c>
      <c r="G1755" s="1">
        <f t="shared" si="304"/>
        <v>4.1529876019072428E-92</v>
      </c>
      <c r="H1755" s="1">
        <f t="shared" si="297"/>
        <v>4.0764597729517914E-93</v>
      </c>
      <c r="I1755">
        <f t="shared" si="298"/>
        <v>60</v>
      </c>
      <c r="J1755">
        <f t="shared" si="299"/>
        <v>1668</v>
      </c>
      <c r="K1755" s="5">
        <f t="shared" si="300"/>
        <v>0</v>
      </c>
      <c r="L1755">
        <f t="shared" si="301"/>
        <v>85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-208.53366470192069</v>
      </c>
      <c r="F1756" s="1">
        <f t="shared" si="307"/>
        <v>-210.53569751111974</v>
      </c>
      <c r="G1756" s="1">
        <f t="shared" si="304"/>
        <v>3.677124439188647E-92</v>
      </c>
      <c r="H1756" s="1">
        <f t="shared" si="297"/>
        <v>3.6093654239676754E-93</v>
      </c>
      <c r="I1756">
        <f t="shared" si="298"/>
        <v>60</v>
      </c>
      <c r="J1756">
        <f t="shared" si="299"/>
        <v>1669</v>
      </c>
      <c r="K1756" s="5">
        <f t="shared" si="300"/>
        <v>0</v>
      </c>
      <c r="L1756">
        <f t="shared" si="301"/>
        <v>85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-208.65536163689822</v>
      </c>
      <c r="F1757" s="1">
        <f t="shared" si="307"/>
        <v>-210.65739444609727</v>
      </c>
      <c r="G1757" s="1">
        <f t="shared" si="304"/>
        <v>3.2557872638648973E-92</v>
      </c>
      <c r="H1757" s="1">
        <f t="shared" si="297"/>
        <v>3.1957923024713297E-93</v>
      </c>
      <c r="I1757">
        <f t="shared" si="298"/>
        <v>60</v>
      </c>
      <c r="J1757">
        <f t="shared" si="299"/>
        <v>1670</v>
      </c>
      <c r="K1757" s="5">
        <f t="shared" si="300"/>
        <v>0</v>
      </c>
      <c r="L1757">
        <f t="shared" si="301"/>
        <v>85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-208.77705857187576</v>
      </c>
      <c r="F1758" s="1">
        <f t="shared" si="307"/>
        <v>-210.77909138107481</v>
      </c>
      <c r="G1758" s="1">
        <f t="shared" si="304"/>
        <v>2.8827283065469992E-92</v>
      </c>
      <c r="H1758" s="1">
        <f t="shared" si="297"/>
        <v>2.829607767813112E-93</v>
      </c>
      <c r="I1758">
        <f t="shared" si="298"/>
        <v>60</v>
      </c>
      <c r="J1758">
        <f t="shared" si="299"/>
        <v>1671</v>
      </c>
      <c r="K1758" s="5">
        <f t="shared" si="300"/>
        <v>0</v>
      </c>
      <c r="L1758">
        <f t="shared" si="301"/>
        <v>85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-208.89875550685329</v>
      </c>
      <c r="F1759" s="1">
        <f t="shared" si="307"/>
        <v>-210.90078831605234</v>
      </c>
      <c r="G1759" s="1">
        <f t="shared" si="304"/>
        <v>2.552415688088449E-92</v>
      </c>
      <c r="H1759" s="1">
        <f t="shared" si="297"/>
        <v>2.5053818777511539E-93</v>
      </c>
      <c r="I1759">
        <f t="shared" si="298"/>
        <v>60</v>
      </c>
      <c r="J1759">
        <f t="shared" si="299"/>
        <v>1672</v>
      </c>
      <c r="K1759" s="5">
        <f t="shared" si="300"/>
        <v>0</v>
      </c>
      <c r="L1759">
        <f t="shared" si="301"/>
        <v>85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-209.02045244183083</v>
      </c>
      <c r="F1760" s="1">
        <f t="shared" si="307"/>
        <v>-211.02248525102988</v>
      </c>
      <c r="G1760" s="1">
        <f t="shared" si="304"/>
        <v>2.2599513904949456E-92</v>
      </c>
      <c r="H1760" s="1">
        <f t="shared" si="297"/>
        <v>2.2183068709254659E-93</v>
      </c>
      <c r="I1760">
        <f t="shared" si="298"/>
        <v>60</v>
      </c>
      <c r="J1760">
        <f t="shared" si="299"/>
        <v>1673</v>
      </c>
      <c r="K1760" s="5">
        <f t="shared" si="300"/>
        <v>0</v>
      </c>
      <c r="L1760">
        <f t="shared" si="301"/>
        <v>85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-209.14214937680836</v>
      </c>
      <c r="F1761" s="1">
        <f t="shared" si="307"/>
        <v>-211.14418218600741</v>
      </c>
      <c r="G1761" s="1">
        <f t="shared" si="304"/>
        <v>2.0009986270007018E-92</v>
      </c>
      <c r="H1761" s="1">
        <f t="shared" si="297"/>
        <v>1.9641258752985592E-93</v>
      </c>
      <c r="I1761">
        <f t="shared" si="298"/>
        <v>60</v>
      </c>
      <c r="J1761">
        <f t="shared" si="299"/>
        <v>1674</v>
      </c>
      <c r="K1761" s="5">
        <f t="shared" si="300"/>
        <v>0</v>
      </c>
      <c r="L1761">
        <f t="shared" si="301"/>
        <v>85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-209.2638463117859</v>
      </c>
      <c r="F1762" s="1">
        <f t="shared" si="307"/>
        <v>-211.26587912098495</v>
      </c>
      <c r="G1762" s="1">
        <f t="shared" si="304"/>
        <v>1.7717175343235101E-92</v>
      </c>
      <c r="H1762" s="1">
        <f t="shared" si="297"/>
        <v>1.7390697854205717E-93</v>
      </c>
      <c r="I1762">
        <f t="shared" si="298"/>
        <v>60</v>
      </c>
      <c r="J1762">
        <f t="shared" si="299"/>
        <v>1675</v>
      </c>
      <c r="K1762" s="5">
        <f t="shared" si="300"/>
        <v>0</v>
      </c>
      <c r="L1762">
        <f t="shared" si="301"/>
        <v>85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-209.38554324676343</v>
      </c>
      <c r="F1763" s="1">
        <f t="shared" si="307"/>
        <v>-211.38757605596248</v>
      </c>
      <c r="G1763" s="1">
        <f t="shared" si="304"/>
        <v>1.5687082335155837E-92</v>
      </c>
      <c r="H1763" s="1">
        <f t="shared" si="297"/>
        <v>1.5398013725077741E-93</v>
      </c>
      <c r="I1763">
        <f t="shared" si="298"/>
        <v>60</v>
      </c>
      <c r="J1763">
        <f t="shared" si="299"/>
        <v>1676</v>
      </c>
      <c r="K1763" s="5">
        <f t="shared" si="300"/>
        <v>0</v>
      </c>
      <c r="L1763">
        <f t="shared" si="301"/>
        <v>85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-209.50724018174097</v>
      </c>
      <c r="F1764" s="1">
        <f t="shared" si="307"/>
        <v>-211.50927299094002</v>
      </c>
      <c r="G1764" s="1">
        <f t="shared" si="304"/>
        <v>1.3889604150919012E-92</v>
      </c>
      <c r="H1764" s="1">
        <f t="shared" si="297"/>
        <v>1.3633657985745703E-93</v>
      </c>
      <c r="I1764">
        <f t="shared" si="298"/>
        <v>60</v>
      </c>
      <c r="J1764">
        <f t="shared" si="299"/>
        <v>1677</v>
      </c>
      <c r="K1764" s="5">
        <f t="shared" si="300"/>
        <v>0</v>
      </c>
      <c r="L1764">
        <f t="shared" si="301"/>
        <v>85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-209.6289371167185</v>
      </c>
      <c r="F1765" s="1">
        <f t="shared" si="307"/>
        <v>-211.63096992591755</v>
      </c>
      <c r="G1765" s="1">
        <f t="shared" si="304"/>
        <v>1.2298087008626016E-92</v>
      </c>
      <c r="H1765" s="1">
        <f t="shared" si="297"/>
        <v>1.2071468008212151E-93</v>
      </c>
      <c r="I1765">
        <f t="shared" si="298"/>
        <v>60</v>
      </c>
      <c r="J1765">
        <f t="shared" si="299"/>
        <v>1678</v>
      </c>
      <c r="K1765" s="5">
        <f t="shared" si="300"/>
        <v>0</v>
      </c>
      <c r="L1765">
        <f t="shared" si="301"/>
        <v>85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-209.75063405169604</v>
      </c>
      <c r="F1766" s="1">
        <f t="shared" si="307"/>
        <v>-211.75266686089509</v>
      </c>
      <c r="G1766" s="1">
        <f t="shared" si="304"/>
        <v>1.0888931205554116E-92</v>
      </c>
      <c r="H1766" s="1">
        <f t="shared" si="297"/>
        <v>1.0688278965604342E-93</v>
      </c>
      <c r="I1766">
        <f t="shared" si="298"/>
        <v>60</v>
      </c>
      <c r="J1766">
        <f t="shared" si="299"/>
        <v>1679</v>
      </c>
      <c r="K1766" s="5">
        <f t="shared" si="300"/>
        <v>0</v>
      </c>
      <c r="L1766">
        <f t="shared" si="301"/>
        <v>85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-209.87233098667357</v>
      </c>
      <c r="F1767" s="1">
        <f t="shared" si="307"/>
        <v>-211.87436379587263</v>
      </c>
      <c r="G1767" s="1">
        <f t="shared" si="304"/>
        <v>9.6412411715842209E-93</v>
      </c>
      <c r="H1767" s="1">
        <f t="shared" si="297"/>
        <v>9.4635803341286956E-94</v>
      </c>
      <c r="I1767">
        <f t="shared" si="298"/>
        <v>60</v>
      </c>
      <c r="J1767">
        <f t="shared" si="299"/>
        <v>1680</v>
      </c>
      <c r="K1767" s="5">
        <f t="shared" si="300"/>
        <v>0</v>
      </c>
      <c r="L1767">
        <f t="shared" si="301"/>
        <v>85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-209.99402792165111</v>
      </c>
      <c r="F1768" s="1">
        <f t="shared" si="307"/>
        <v>-211.99606073085016</v>
      </c>
      <c r="G1768" s="1">
        <f t="shared" si="304"/>
        <v>8.5365156206733954E-93</v>
      </c>
      <c r="H1768" s="1">
        <f t="shared" si="297"/>
        <v>8.3792117541763184E-94</v>
      </c>
      <c r="I1768">
        <f t="shared" si="298"/>
        <v>60</v>
      </c>
      <c r="J1768">
        <f t="shared" si="299"/>
        <v>1681</v>
      </c>
      <c r="K1768" s="5">
        <f t="shared" si="300"/>
        <v>0</v>
      </c>
      <c r="L1768">
        <f t="shared" si="301"/>
        <v>85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-210.11572485662865</v>
      </c>
      <c r="F1769" s="1">
        <f t="shared" si="307"/>
        <v>-212.1177576658277</v>
      </c>
      <c r="G1769" s="1">
        <f t="shared" si="304"/>
        <v>7.5583732058044514E-93</v>
      </c>
      <c r="H1769" s="1">
        <f t="shared" si="297"/>
        <v>7.4190937406768334E-94</v>
      </c>
      <c r="I1769">
        <f t="shared" si="298"/>
        <v>60</v>
      </c>
      <c r="J1769">
        <f t="shared" si="299"/>
        <v>1682</v>
      </c>
      <c r="K1769" s="5">
        <f t="shared" si="300"/>
        <v>0</v>
      </c>
      <c r="L1769">
        <f t="shared" si="301"/>
        <v>85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-210.23742179160618</v>
      </c>
      <c r="F1770" s="1">
        <f t="shared" si="307"/>
        <v>-212.23945460080523</v>
      </c>
      <c r="G1770" s="1">
        <f t="shared" si="304"/>
        <v>6.6923096093059199E-93</v>
      </c>
      <c r="H1770" s="1">
        <f t="shared" si="297"/>
        <v>6.5689892495575093E-94</v>
      </c>
      <c r="I1770">
        <f t="shared" si="298"/>
        <v>60</v>
      </c>
      <c r="J1770">
        <f t="shared" si="299"/>
        <v>1683</v>
      </c>
      <c r="K1770" s="5">
        <f t="shared" si="300"/>
        <v>0</v>
      </c>
      <c r="L1770">
        <f t="shared" si="301"/>
        <v>85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-210.35911872658372</v>
      </c>
      <c r="F1771" s="1">
        <f t="shared" si="307"/>
        <v>-212.36115153578277</v>
      </c>
      <c r="G1771" s="1">
        <f t="shared" si="304"/>
        <v>5.9254824665728572E-93</v>
      </c>
      <c r="H1771" s="1">
        <f t="shared" si="297"/>
        <v>5.8162925647122872E-94</v>
      </c>
      <c r="I1771">
        <f t="shared" si="298"/>
        <v>60</v>
      </c>
      <c r="J1771">
        <f t="shared" si="299"/>
        <v>1684</v>
      </c>
      <c r="K1771" s="5">
        <f t="shared" si="300"/>
        <v>0</v>
      </c>
      <c r="L1771">
        <f t="shared" si="301"/>
        <v>85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-210.48081566156125</v>
      </c>
      <c r="F1772" s="1">
        <f t="shared" si="307"/>
        <v>-212.4828484707603</v>
      </c>
      <c r="G1772" s="1">
        <f t="shared" si="304"/>
        <v>5.2465209339446355E-93</v>
      </c>
      <c r="H1772" s="1">
        <f t="shared" si="297"/>
        <v>5.1498423750055912E-94</v>
      </c>
      <c r="I1772">
        <f t="shared" si="298"/>
        <v>60</v>
      </c>
      <c r="J1772">
        <f t="shared" si="299"/>
        <v>1685</v>
      </c>
      <c r="K1772" s="5">
        <f t="shared" si="300"/>
        <v>0</v>
      </c>
      <c r="L1772">
        <f t="shared" si="301"/>
        <v>85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-210.60251259653879</v>
      </c>
      <c r="F1773" s="1">
        <f t="shared" si="307"/>
        <v>-212.60454540573784</v>
      </c>
      <c r="G1773" s="1">
        <f t="shared" si="304"/>
        <v>4.645357076930073E-93</v>
      </c>
      <c r="H1773" s="1">
        <f t="shared" si="297"/>
        <v>4.5597562695361288E-94</v>
      </c>
      <c r="I1773">
        <f t="shared" si="298"/>
        <v>60</v>
      </c>
      <c r="J1773">
        <f t="shared" si="299"/>
        <v>1686</v>
      </c>
      <c r="K1773" s="5">
        <f t="shared" si="300"/>
        <v>0</v>
      </c>
      <c r="L1773">
        <f t="shared" si="301"/>
        <v>85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-210.72420953151632</v>
      </c>
      <c r="F1774" s="1">
        <f t="shared" si="307"/>
        <v>-212.72624234071537</v>
      </c>
      <c r="G1774" s="1">
        <f t="shared" si="304"/>
        <v>4.1130765785317716E-93</v>
      </c>
      <c r="H1774" s="1">
        <f t="shared" si="297"/>
        <v>4.0372841969850513E-94</v>
      </c>
      <c r="I1774">
        <f t="shared" si="298"/>
        <v>60</v>
      </c>
      <c r="J1774">
        <f t="shared" si="299"/>
        <v>1687</v>
      </c>
      <c r="K1774" s="5">
        <f t="shared" si="300"/>
        <v>0</v>
      </c>
      <c r="L1774">
        <f t="shared" si="301"/>
        <v>85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-210.84590646649386</v>
      </c>
      <c r="F1775" s="1">
        <f t="shared" si="307"/>
        <v>-212.84793927569291</v>
      </c>
      <c r="G1775" s="1">
        <f t="shared" si="304"/>
        <v>3.6417865539082823E-93</v>
      </c>
      <c r="H1775" s="1">
        <f t="shared" si="297"/>
        <v>3.5746787160804579E-94</v>
      </c>
      <c r="I1775">
        <f t="shared" si="298"/>
        <v>60</v>
      </c>
      <c r="J1775">
        <f t="shared" si="299"/>
        <v>1688</v>
      </c>
      <c r="K1775" s="5">
        <f t="shared" si="300"/>
        <v>0</v>
      </c>
      <c r="L1775">
        <f t="shared" si="301"/>
        <v>85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-210.96760340147139</v>
      </c>
      <c r="F1776" s="1">
        <f t="shared" si="307"/>
        <v>-212.96963621067044</v>
      </c>
      <c r="G1776" s="1">
        <f t="shared" si="304"/>
        <v>3.2244985112729078E-93</v>
      </c>
      <c r="H1776" s="1">
        <f t="shared" si="297"/>
        <v>3.1650801131961894E-94</v>
      </c>
      <c r="I1776">
        <f t="shared" si="298"/>
        <v>60</v>
      </c>
      <c r="J1776">
        <f t="shared" si="299"/>
        <v>1689</v>
      </c>
      <c r="K1776" s="5">
        <f t="shared" si="300"/>
        <v>0</v>
      </c>
      <c r="L1776">
        <f t="shared" si="301"/>
        <v>85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-211.08930033644893</v>
      </c>
      <c r="F1777" s="1">
        <f t="shared" si="307"/>
        <v>-213.09133314564798</v>
      </c>
      <c r="G1777" s="1">
        <f t="shared" si="304"/>
        <v>2.8550247235228426E-93</v>
      </c>
      <c r="H1777" s="1">
        <f t="shared" si="297"/>
        <v>2.8024146835590821E-94</v>
      </c>
      <c r="I1777">
        <f t="shared" si="298"/>
        <v>60</v>
      </c>
      <c r="J1777">
        <f t="shared" si="299"/>
        <v>1690</v>
      </c>
      <c r="K1777" s="5">
        <f t="shared" si="300"/>
        <v>0</v>
      </c>
      <c r="L1777">
        <f t="shared" si="301"/>
        <v>85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-211.21099727142646</v>
      </c>
      <c r="F1778" s="1">
        <f t="shared" si="307"/>
        <v>-213.21303008062551</v>
      </c>
      <c r="G1778" s="1">
        <f t="shared" si="304"/>
        <v>2.5278864739524772E-93</v>
      </c>
      <c r="H1778" s="1">
        <f t="shared" si="297"/>
        <v>2.4813046677345652E-94</v>
      </c>
      <c r="I1778">
        <f t="shared" si="298"/>
        <v>60</v>
      </c>
      <c r="J1778">
        <f t="shared" si="299"/>
        <v>1691</v>
      </c>
      <c r="K1778" s="5">
        <f t="shared" si="300"/>
        <v>0</v>
      </c>
      <c r="L1778">
        <f t="shared" si="301"/>
        <v>85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-211.332694206404</v>
      </c>
      <c r="F1779" s="1">
        <f t="shared" si="307"/>
        <v>-213.33472701560305</v>
      </c>
      <c r="G1779" s="1">
        <f t="shared" si="304"/>
        <v>2.238232815478721E-93</v>
      </c>
      <c r="H1779" s="1">
        <f t="shared" si="297"/>
        <v>2.1969885078899454E-94</v>
      </c>
      <c r="I1779">
        <f t="shared" si="298"/>
        <v>60</v>
      </c>
      <c r="J1779">
        <f t="shared" si="299"/>
        <v>1692</v>
      </c>
      <c r="K1779" s="5">
        <f t="shared" si="300"/>
        <v>0</v>
      </c>
      <c r="L1779">
        <f t="shared" si="301"/>
        <v>85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-211.45439114138154</v>
      </c>
      <c r="F1780" s="1">
        <f t="shared" si="307"/>
        <v>-213.45642395058059</v>
      </c>
      <c r="G1780" s="1">
        <f t="shared" si="304"/>
        <v>1.9817686387050863E-93</v>
      </c>
      <c r="H1780" s="1">
        <f t="shared" si="297"/>
        <v>1.9452502413608585E-94</v>
      </c>
      <c r="I1780">
        <f t="shared" si="298"/>
        <v>60</v>
      </c>
      <c r="J1780">
        <f t="shared" si="299"/>
        <v>1693</v>
      </c>
      <c r="K1780" s="5">
        <f t="shared" si="300"/>
        <v>0</v>
      </c>
      <c r="L1780">
        <f t="shared" si="301"/>
        <v>85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-211.57608807635907</v>
      </c>
      <c r="F1781" s="1">
        <f t="shared" si="307"/>
        <v>-213.57812088555812</v>
      </c>
      <c r="G1781" s="1">
        <f t="shared" si="304"/>
        <v>1.7546909821867679E-93</v>
      </c>
      <c r="H1781" s="1">
        <f t="shared" si="297"/>
        <v>1.7223569845382331E-94</v>
      </c>
      <c r="I1781">
        <f t="shared" si="298"/>
        <v>60</v>
      </c>
      <c r="J1781">
        <f t="shared" si="299"/>
        <v>1694</v>
      </c>
      <c r="K1781" s="5">
        <f t="shared" si="300"/>
        <v>0</v>
      </c>
      <c r="L1781">
        <f t="shared" si="301"/>
        <v>85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-211.69778501133661</v>
      </c>
      <c r="F1782" s="1">
        <f t="shared" si="307"/>
        <v>-213.69981782053566</v>
      </c>
      <c r="G1782" s="1">
        <f t="shared" si="304"/>
        <v>1.5536326404778431E-93</v>
      </c>
      <c r="H1782" s="1">
        <f t="shared" si="297"/>
        <v>1.5250035800598703E-94</v>
      </c>
      <c r="I1782">
        <f t="shared" si="298"/>
        <v>60</v>
      </c>
      <c r="J1782">
        <f t="shared" si="299"/>
        <v>1695</v>
      </c>
      <c r="K1782" s="5">
        <f t="shared" si="300"/>
        <v>0</v>
      </c>
      <c r="L1782">
        <f t="shared" si="301"/>
        <v>85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-211.81948194631414</v>
      </c>
      <c r="F1783" s="1">
        <f t="shared" si="307"/>
        <v>-213.82151475551319</v>
      </c>
      <c r="G1783" s="1">
        <f t="shared" si="304"/>
        <v>1.3756122337564021E-93</v>
      </c>
      <c r="H1783" s="1">
        <f t="shared" si="297"/>
        <v>1.3502635865113223E-94</v>
      </c>
      <c r="I1783">
        <f t="shared" si="298"/>
        <v>60</v>
      </c>
      <c r="J1783">
        <f t="shared" si="299"/>
        <v>1696</v>
      </c>
      <c r="K1783" s="5">
        <f t="shared" si="300"/>
        <v>0</v>
      </c>
      <c r="L1783">
        <f t="shared" si="301"/>
        <v>85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-211.94117888129168</v>
      </c>
      <c r="F1784" s="1">
        <f t="shared" si="307"/>
        <v>-213.94321169049073</v>
      </c>
      <c r="G1784" s="1">
        <f t="shared" si="304"/>
        <v>1.2179899986384619E-93</v>
      </c>
      <c r="H1784" s="1">
        <f t="shared" si="297"/>
        <v>1.1955458838902145E-94</v>
      </c>
      <c r="I1784">
        <f t="shared" si="298"/>
        <v>60</v>
      </c>
      <c r="J1784">
        <f t="shared" si="299"/>
        <v>1697</v>
      </c>
      <c r="K1784" s="5">
        <f t="shared" si="300"/>
        <v>0</v>
      </c>
      <c r="L1784">
        <f t="shared" si="301"/>
        <v>85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-212.06287581626921</v>
      </c>
      <c r="F1785" s="1">
        <f t="shared" si="307"/>
        <v>-214.06490862546826</v>
      </c>
      <c r="G1785" s="1">
        <f t="shared" si="304"/>
        <v>1.078428644627788E-93</v>
      </c>
      <c r="H1785" s="1">
        <f t="shared" si="297"/>
        <v>1.0585562513611109E-94</v>
      </c>
      <c r="I1785">
        <f t="shared" si="298"/>
        <v>60</v>
      </c>
      <c r="J1785">
        <f t="shared" si="299"/>
        <v>1698</v>
      </c>
      <c r="K1785" s="5">
        <f t="shared" si="300"/>
        <v>0</v>
      </c>
      <c r="L1785">
        <f t="shared" si="301"/>
        <v>85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-212.18457275124675</v>
      </c>
      <c r="F1786" s="1">
        <f t="shared" si="307"/>
        <v>-214.1866055604458</v>
      </c>
      <c r="G1786" s="1">
        <f t="shared" si="304"/>
        <v>9.5485869576417238E-94</v>
      </c>
      <c r="H1786" s="1">
        <f t="shared" si="297"/>
        <v>9.3726334755930233E-95</v>
      </c>
      <c r="I1786">
        <f t="shared" si="298"/>
        <v>60</v>
      </c>
      <c r="J1786">
        <f t="shared" si="299"/>
        <v>1699</v>
      </c>
      <c r="K1786" s="5">
        <f t="shared" si="300"/>
        <v>0</v>
      </c>
      <c r="L1786">
        <f t="shared" si="301"/>
        <v>85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-212.30626968622428</v>
      </c>
      <c r="F1787" s="1">
        <f t="shared" si="307"/>
        <v>-214.30830249542333</v>
      </c>
      <c r="G1787" s="1">
        <f t="shared" si="304"/>
        <v>8.4544780354118108E-94</v>
      </c>
      <c r="H1787" s="1">
        <f t="shared" si="297"/>
        <v>8.2986858898478599E-95</v>
      </c>
      <c r="I1787">
        <f t="shared" si="298"/>
        <v>60</v>
      </c>
      <c r="J1787">
        <f t="shared" si="299"/>
        <v>1700</v>
      </c>
      <c r="K1787" s="5">
        <f t="shared" si="300"/>
        <v>0</v>
      </c>
      <c r="L1787">
        <f t="shared" si="301"/>
        <v>85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-212.42796662120182</v>
      </c>
      <c r="F1788" s="1">
        <f t="shared" si="307"/>
        <v>-214.42999943040087</v>
      </c>
      <c r="G1788" s="1">
        <f t="shared" si="304"/>
        <v>7.4857357605207566E-94</v>
      </c>
      <c r="H1788" s="1">
        <f t="shared" si="297"/>
        <v>7.3477947983026771E-95</v>
      </c>
      <c r="I1788">
        <f t="shared" si="298"/>
        <v>60</v>
      </c>
      <c r="J1788">
        <f t="shared" si="299"/>
        <v>1701</v>
      </c>
      <c r="K1788" s="5">
        <f t="shared" si="300"/>
        <v>0</v>
      </c>
      <c r="L1788">
        <f t="shared" si="301"/>
        <v>85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-212.54966355617935</v>
      </c>
      <c r="F1789" s="1">
        <f t="shared" si="307"/>
        <v>-214.5516963653784</v>
      </c>
      <c r="G1789" s="1">
        <f t="shared" si="304"/>
        <v>6.62799520462765E-94</v>
      </c>
      <c r="H1789" s="1">
        <f t="shared" si="297"/>
        <v>6.5058599776637279E-95</v>
      </c>
      <c r="I1789">
        <f t="shared" si="298"/>
        <v>60</v>
      </c>
      <c r="J1789">
        <f t="shared" si="299"/>
        <v>1702</v>
      </c>
      <c r="K1789" s="5">
        <f t="shared" si="300"/>
        <v>0</v>
      </c>
      <c r="L1789">
        <f t="shared" si="301"/>
        <v>85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-212.67136049115689</v>
      </c>
      <c r="F1790" s="1">
        <f t="shared" si="307"/>
        <v>-214.67339330035594</v>
      </c>
      <c r="G1790" s="1">
        <f t="shared" si="304"/>
        <v>5.8685374207639737E-94</v>
      </c>
      <c r="H1790" s="1">
        <f t="shared" si="297"/>
        <v>5.7603968552230025E-95</v>
      </c>
      <c r="I1790">
        <f t="shared" si="298"/>
        <v>60</v>
      </c>
      <c r="J1790">
        <f t="shared" si="299"/>
        <v>1703</v>
      </c>
      <c r="K1790" s="5">
        <f t="shared" si="300"/>
        <v>0</v>
      </c>
      <c r="L1790">
        <f t="shared" si="301"/>
        <v>85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-212.79305742613442</v>
      </c>
      <c r="F1791" s="1">
        <f t="shared" si="307"/>
        <v>-214.79509023533348</v>
      </c>
      <c r="G1791" s="1">
        <f t="shared" si="304"/>
        <v>5.1961008413013531E-94</v>
      </c>
      <c r="H1791" s="1">
        <f t="shared" si="297"/>
        <v>5.1003513822286194E-95</v>
      </c>
      <c r="I1791">
        <f t="shared" si="298"/>
        <v>60</v>
      </c>
      <c r="J1791">
        <f t="shared" si="299"/>
        <v>1704</v>
      </c>
      <c r="K1791" s="5">
        <f t="shared" si="300"/>
        <v>0</v>
      </c>
      <c r="L1791">
        <f t="shared" si="301"/>
        <v>85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-212.91475436111196</v>
      </c>
      <c r="F1792" s="1">
        <f t="shared" si="307"/>
        <v>-214.91678717031101</v>
      </c>
      <c r="G1792" s="1">
        <f t="shared" si="304"/>
        <v>4.6007142865688349E-94</v>
      </c>
      <c r="H1792" s="1">
        <f t="shared" si="297"/>
        <v>4.5159361196815201E-95</v>
      </c>
      <c r="I1792">
        <f t="shared" si="298"/>
        <v>60</v>
      </c>
      <c r="J1792">
        <f t="shared" si="299"/>
        <v>1705</v>
      </c>
      <c r="K1792" s="5">
        <f t="shared" si="300"/>
        <v>0</v>
      </c>
      <c r="L1792">
        <f t="shared" si="301"/>
        <v>85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-213.0364512960895</v>
      </c>
      <c r="F1793" s="1">
        <f t="shared" si="307"/>
        <v>-215.03848410528855</v>
      </c>
      <c r="G1793" s="1">
        <f t="shared" si="304"/>
        <v>4.0735491078994256E-94</v>
      </c>
      <c r="H1793" s="1">
        <f t="shared" si="297"/>
        <v>3.99848510596795E-95</v>
      </c>
      <c r="I1793">
        <f t="shared" si="298"/>
        <v>60</v>
      </c>
      <c r="J1793">
        <f t="shared" si="299"/>
        <v>1706</v>
      </c>
      <c r="K1793" s="5">
        <f t="shared" si="300"/>
        <v>0</v>
      </c>
      <c r="L1793">
        <f t="shared" si="301"/>
        <v>85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-213.15814823106703</v>
      </c>
      <c r="F1794" s="1">
        <f t="shared" si="307"/>
        <v>-215.16018104026608</v>
      </c>
      <c r="G1794" s="1">
        <f t="shared" si="304"/>
        <v>3.6067882726192267E-94</v>
      </c>
      <c r="H1794" s="1">
        <f t="shared" si="297"/>
        <v>3.5403253542424003E-95</v>
      </c>
      <c r="I1794">
        <f t="shared" si="298"/>
        <v>60</v>
      </c>
      <c r="J1794">
        <f t="shared" si="299"/>
        <v>1707</v>
      </c>
      <c r="K1794" s="5">
        <f t="shared" si="300"/>
        <v>0</v>
      </c>
      <c r="L1794">
        <f t="shared" si="301"/>
        <v>85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-213.27984516604457</v>
      </c>
      <c r="F1795" s="1">
        <f t="shared" si="307"/>
        <v>-215.28187797524362</v>
      </c>
      <c r="G1795" s="1">
        <f t="shared" si="304"/>
        <v>3.1935104497148901E-94</v>
      </c>
      <c r="H1795" s="1">
        <f t="shared" si="297"/>
        <v>3.1346630740687427E-95</v>
      </c>
      <c r="I1795">
        <f t="shared" si="298"/>
        <v>60</v>
      </c>
      <c r="J1795">
        <f t="shared" si="299"/>
        <v>1708</v>
      </c>
      <c r="K1795" s="5">
        <f t="shared" si="300"/>
        <v>0</v>
      </c>
      <c r="L1795">
        <f t="shared" si="301"/>
        <v>85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-213.4015421010221</v>
      </c>
      <c r="F1796" s="1">
        <f t="shared" si="307"/>
        <v>-215.40357491022115</v>
      </c>
      <c r="G1796" s="1">
        <f t="shared" si="304"/>
        <v>2.8275873773516815E-94</v>
      </c>
      <c r="H1796" s="1">
        <f t="shared" si="297"/>
        <v>2.7754829301649892E-95</v>
      </c>
      <c r="I1796">
        <f t="shared" si="298"/>
        <v>60</v>
      </c>
      <c r="J1796">
        <f t="shared" si="299"/>
        <v>1709</v>
      </c>
      <c r="K1796" s="5">
        <f t="shared" si="300"/>
        <v>0</v>
      </c>
      <c r="L1796">
        <f t="shared" si="301"/>
        <v>85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-213.52323903599964</v>
      </c>
      <c r="F1797" s="1">
        <f t="shared" si="307"/>
        <v>-215.52527184519869</v>
      </c>
      <c r="G1797" s="1">
        <f t="shared" si="304"/>
        <v>2.5035929903634286E-94</v>
      </c>
      <c r="H1797" s="1">
        <f t="shared" si="297"/>
        <v>2.4574588444168789E-95</v>
      </c>
      <c r="I1797">
        <f t="shared" si="298"/>
        <v>60</v>
      </c>
      <c r="J1797">
        <f t="shared" si="299"/>
        <v>1710</v>
      </c>
      <c r="K1797" s="5">
        <f t="shared" si="300"/>
        <v>0</v>
      </c>
      <c r="L1797">
        <f t="shared" si="301"/>
        <v>85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-213.64493597097717</v>
      </c>
      <c r="F1798" s="1">
        <f t="shared" si="307"/>
        <v>-215.64696878017622</v>
      </c>
      <c r="G1798" s="1">
        <f t="shared" si="304"/>
        <v>2.2167229602175845E-94</v>
      </c>
      <c r="H1798" s="1">
        <f t="shared" si="297"/>
        <v>2.1758750184940775E-95</v>
      </c>
      <c r="I1798">
        <f t="shared" si="298"/>
        <v>60</v>
      </c>
      <c r="J1798">
        <f t="shared" si="299"/>
        <v>1711</v>
      </c>
      <c r="K1798" s="5">
        <f t="shared" si="300"/>
        <v>0</v>
      </c>
      <c r="L1798">
        <f t="shared" si="301"/>
        <v>85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-213.76663290595471</v>
      </c>
      <c r="F1799" s="1">
        <f t="shared" si="307"/>
        <v>-215.76866571515376</v>
      </c>
      <c r="G1799" s="1">
        <f t="shared" si="304"/>
        <v>1.962723454359289E-94</v>
      </c>
      <c r="H1799" s="1">
        <f t="shared" si="297"/>
        <v>1.926556005958268E-95</v>
      </c>
      <c r="I1799">
        <f t="shared" si="298"/>
        <v>60</v>
      </c>
      <c r="J1799">
        <f t="shared" si="299"/>
        <v>1712</v>
      </c>
      <c r="K1799" s="5">
        <f t="shared" si="300"/>
        <v>0</v>
      </c>
      <c r="L1799">
        <f t="shared" si="301"/>
        <v>85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-213.88832984093224</v>
      </c>
      <c r="F1800" s="1">
        <f t="shared" si="307"/>
        <v>-215.89036265013129</v>
      </c>
      <c r="G1800" s="1">
        <f t="shared" si="304"/>
        <v>1.7378280585472599E-94</v>
      </c>
      <c r="H1800" s="1">
        <f t="shared" si="297"/>
        <v>1.7058047969421895E-95</v>
      </c>
      <c r="I1800">
        <f t="shared" si="298"/>
        <v>60</v>
      </c>
      <c r="J1800">
        <f t="shared" si="299"/>
        <v>1713</v>
      </c>
      <c r="K1800" s="5">
        <f t="shared" si="300"/>
        <v>0</v>
      </c>
      <c r="L1800">
        <f t="shared" si="301"/>
        <v>85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-214.01002677590978</v>
      </c>
      <c r="F1801" s="1">
        <f t="shared" si="307"/>
        <v>-216.01205958510883</v>
      </c>
      <c r="G1801" s="1">
        <f t="shared" si="304"/>
        <v>1.5387019268386958E-94</v>
      </c>
      <c r="H1801" s="1">
        <f t="shared" si="297"/>
        <v>1.5103479972925401E-95</v>
      </c>
      <c r="I1801">
        <f t="shared" si="298"/>
        <v>60</v>
      </c>
      <c r="J1801">
        <f t="shared" si="299"/>
        <v>1714</v>
      </c>
      <c r="K1801" s="5">
        <f t="shared" si="300"/>
        <v>0</v>
      </c>
      <c r="L1801">
        <f t="shared" si="301"/>
        <v>85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-214.13172371088731</v>
      </c>
      <c r="F1802" s="1">
        <f t="shared" si="307"/>
        <v>-216.13375652008637</v>
      </c>
      <c r="G1802" s="1">
        <f t="shared" si="304"/>
        <v>1.3623923310550738E-94</v>
      </c>
      <c r="H1802" s="1">
        <f t="shared" si="297"/>
        <v>1.3372872892694157E-95</v>
      </c>
      <c r="I1802">
        <f t="shared" si="298"/>
        <v>60</v>
      </c>
      <c r="J1802">
        <f t="shared" si="299"/>
        <v>1715</v>
      </c>
      <c r="K1802" s="5">
        <f t="shared" si="300"/>
        <v>0</v>
      </c>
      <c r="L1802">
        <f t="shared" si="301"/>
        <v>85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-214.25342064586485</v>
      </c>
      <c r="F1803" s="1">
        <f t="shared" si="307"/>
        <v>-216.2554534550639</v>
      </c>
      <c r="G1803" s="1">
        <f t="shared" si="304"/>
        <v>1.2062848764549944E-94</v>
      </c>
      <c r="H1803" s="1">
        <f t="shared" si="297"/>
        <v>1.1840564540406099E-95</v>
      </c>
      <c r="I1803">
        <f t="shared" si="298"/>
        <v>60</v>
      </c>
      <c r="J1803">
        <f t="shared" si="299"/>
        <v>1716</v>
      </c>
      <c r="K1803" s="5">
        <f t="shared" si="300"/>
        <v>0</v>
      </c>
      <c r="L1803">
        <f t="shared" si="301"/>
        <v>85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-214.37511758084239</v>
      </c>
      <c r="F1804" s="1">
        <f t="shared" si="307"/>
        <v>-216.37715039004144</v>
      </c>
      <c r="G1804" s="1">
        <f t="shared" si="304"/>
        <v>1.0680647343611763E-94</v>
      </c>
      <c r="H1804" s="1">
        <f t="shared" si="297"/>
        <v>1.0483833186817736E-95</v>
      </c>
      <c r="I1804">
        <f t="shared" si="298"/>
        <v>60</v>
      </c>
      <c r="J1804">
        <f t="shared" si="299"/>
        <v>1717</v>
      </c>
      <c r="K1804" s="5">
        <f t="shared" si="300"/>
        <v>0</v>
      </c>
      <c r="L1804">
        <f t="shared" si="301"/>
        <v>85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-214.49681451581992</v>
      </c>
      <c r="F1805" s="1">
        <f t="shared" si="307"/>
        <v>-216.49884732501897</v>
      </c>
      <c r="G1805" s="1">
        <f t="shared" si="304"/>
        <v>9.4568231688227669E-95</v>
      </c>
      <c r="H1805" s="1">
        <f t="shared" si="297"/>
        <v>9.2825606341613914E-96</v>
      </c>
      <c r="I1805">
        <f t="shared" si="298"/>
        <v>60</v>
      </c>
      <c r="J1805">
        <f t="shared" si="299"/>
        <v>1718</v>
      </c>
      <c r="K1805" s="5">
        <f t="shared" si="300"/>
        <v>0</v>
      </c>
      <c r="L1805">
        <f t="shared" si="301"/>
        <v>85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-214.61851145079746</v>
      </c>
      <c r="F1806" s="1">
        <f t="shared" si="307"/>
        <v>-216.62054425999651</v>
      </c>
      <c r="G1806" s="1">
        <f t="shared" si="304"/>
        <v>8.3732288473950274E-95</v>
      </c>
      <c r="H1806" s="1">
        <f t="shared" si="297"/>
        <v>8.2189338948302713E-96</v>
      </c>
      <c r="I1806">
        <f t="shared" si="298"/>
        <v>60</v>
      </c>
      <c r="J1806">
        <f t="shared" si="299"/>
        <v>1719</v>
      </c>
      <c r="K1806" s="5">
        <f t="shared" si="300"/>
        <v>0</v>
      </c>
      <c r="L1806">
        <f t="shared" si="301"/>
        <v>85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-214.74020838577499</v>
      </c>
      <c r="F1807" s="1">
        <f t="shared" si="307"/>
        <v>-216.74224119497404</v>
      </c>
      <c r="G1807" s="1">
        <f t="shared" si="304"/>
        <v>7.4137963752975644E-95</v>
      </c>
      <c r="H1807" s="1">
        <f t="shared" si="297"/>
        <v>7.2771810527141888E-96</v>
      </c>
      <c r="I1807">
        <f t="shared" si="298"/>
        <v>60</v>
      </c>
      <c r="J1807">
        <f t="shared" si="299"/>
        <v>1720</v>
      </c>
      <c r="K1807" s="5">
        <f t="shared" si="300"/>
        <v>0</v>
      </c>
      <c r="L1807">
        <f t="shared" si="301"/>
        <v>85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-214.86190532075253</v>
      </c>
      <c r="F1808" s="1">
        <f t="shared" si="307"/>
        <v>-216.86393812995158</v>
      </c>
      <c r="G1808" s="1">
        <f t="shared" si="304"/>
        <v>6.5642988739612831E-95</v>
      </c>
      <c r="H1808" s="1">
        <f t="shared" si="297"/>
        <v>6.4433373904239211E-96</v>
      </c>
      <c r="I1808">
        <f t="shared" si="298"/>
        <v>60</v>
      </c>
      <c r="J1808">
        <f t="shared" si="299"/>
        <v>1721</v>
      </c>
      <c r="K1808" s="5">
        <f t="shared" si="300"/>
        <v>0</v>
      </c>
      <c r="L1808">
        <f t="shared" si="301"/>
        <v>85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-214.98360225573006</v>
      </c>
      <c r="F1809" s="1">
        <f t="shared" si="307"/>
        <v>-216.98563506492911</v>
      </c>
      <c r="G1809" s="1">
        <f t="shared" si="304"/>
        <v>5.8121396279864614E-95</v>
      </c>
      <c r="H1809" s="1">
        <f t="shared" si="297"/>
        <v>5.7050383144377571E-96</v>
      </c>
      <c r="I1809">
        <f t="shared" si="298"/>
        <v>60</v>
      </c>
      <c r="J1809">
        <f t="shared" si="299"/>
        <v>1722</v>
      </c>
      <c r="K1809" s="5">
        <f t="shared" si="300"/>
        <v>0</v>
      </c>
      <c r="L1809">
        <f t="shared" si="301"/>
        <v>85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-215.1052991907076</v>
      </c>
      <c r="F1810" s="1">
        <f t="shared" si="307"/>
        <v>-217.10733199990665</v>
      </c>
      <c r="G1810" s="1">
        <f t="shared" si="304"/>
        <v>5.1461652956129328E-95</v>
      </c>
      <c r="H1810" s="1">
        <f t="shared" si="297"/>
        <v>5.0513360075750185E-96</v>
      </c>
      <c r="I1810">
        <f t="shared" si="298"/>
        <v>60</v>
      </c>
      <c r="J1810">
        <f t="shared" si="299"/>
        <v>1723</v>
      </c>
      <c r="K1810" s="5">
        <f t="shared" si="300"/>
        <v>0</v>
      </c>
      <c r="L1810">
        <f t="shared" si="301"/>
        <v>85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-215.22699612568513</v>
      </c>
      <c r="F1811" s="1">
        <f t="shared" si="307"/>
        <v>-217.22902893488418</v>
      </c>
      <c r="G1811" s="1">
        <f t="shared" si="304"/>
        <v>4.5565005221572128E-95</v>
      </c>
      <c r="H1811" s="1">
        <f t="shared" si="297"/>
        <v>4.4725370900403113E-96</v>
      </c>
      <c r="I1811">
        <f t="shared" si="298"/>
        <v>60</v>
      </c>
      <c r="J1811">
        <f t="shared" si="299"/>
        <v>1724</v>
      </c>
      <c r="K1811" s="5">
        <f t="shared" si="300"/>
        <v>0</v>
      </c>
      <c r="L1811">
        <f t="shared" si="301"/>
        <v>85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-215.34869306066267</v>
      </c>
      <c r="F1812" s="1">
        <f t="shared" si="307"/>
        <v>-217.35072586986172</v>
      </c>
      <c r="G1812" s="1">
        <f t="shared" si="304"/>
        <v>4.0344015039933022E-95</v>
      </c>
      <c r="H1812" s="1">
        <f t="shared" si="297"/>
        <v>3.9600588818064632E-96</v>
      </c>
      <c r="I1812">
        <f t="shared" si="298"/>
        <v>60</v>
      </c>
      <c r="J1812">
        <f t="shared" si="299"/>
        <v>1725</v>
      </c>
      <c r="K1812" s="5">
        <f t="shared" si="300"/>
        <v>0</v>
      </c>
      <c r="L1812">
        <f t="shared" si="301"/>
        <v>85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-215.4703899956402</v>
      </c>
      <c r="F1813" s="1">
        <f t="shared" si="307"/>
        <v>-217.47242280483925</v>
      </c>
      <c r="G1813" s="1">
        <f t="shared" si="304"/>
        <v>3.5721263316606808E-95</v>
      </c>
      <c r="H1813" s="1">
        <f t="shared" si="297"/>
        <v>3.5063021349327517E-96</v>
      </c>
      <c r="I1813">
        <f t="shared" si="298"/>
        <v>60</v>
      </c>
      <c r="J1813">
        <f t="shared" si="299"/>
        <v>1726</v>
      </c>
      <c r="K1813" s="5">
        <f t="shared" si="300"/>
        <v>0</v>
      </c>
      <c r="L1813">
        <f t="shared" si="301"/>
        <v>85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-215.59208693061774</v>
      </c>
      <c r="F1814" s="1">
        <f t="shared" si="307"/>
        <v>-217.59411973981679</v>
      </c>
      <c r="G1814" s="1">
        <f t="shared" si="304"/>
        <v>3.1628201894911781E-95</v>
      </c>
      <c r="H1814" s="1">
        <f t="shared" si="297"/>
        <v>3.104538348638325E-96</v>
      </c>
      <c r="I1814">
        <f t="shared" si="298"/>
        <v>60</v>
      </c>
      <c r="J1814">
        <f t="shared" si="299"/>
        <v>1727</v>
      </c>
      <c r="K1814" s="5">
        <f t="shared" si="300"/>
        <v>0</v>
      </c>
      <c r="L1814">
        <f t="shared" si="301"/>
        <v>85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-215.71378386559527</v>
      </c>
      <c r="F1815" s="1">
        <f t="shared" si="307"/>
        <v>-217.71581667479433</v>
      </c>
      <c r="G1815" s="1">
        <f t="shared" si="304"/>
        <v>2.8004137094452703E-95</v>
      </c>
      <c r="H1815" s="1">
        <f t="shared" ref="H1815:H1878" si="308">G1815/$G$21</f>
        <v>2.7488099961901407E-96</v>
      </c>
      <c r="I1815">
        <f t="shared" ref="I1815:I1878" si="309">IF($F$11&lt;=D1815, IF(D1815&lt;=$A$15,D1815-$F$11,$C$11),0)</f>
        <v>60</v>
      </c>
      <c r="J1815">
        <f t="shared" ref="J1815:J1878" si="310">IF(D1815&lt;=$A$15,0,D1815-$A$15)</f>
        <v>1728</v>
      </c>
      <c r="K1815" s="5">
        <f t="shared" ref="K1815:K1878" si="311">IF(D1815&lt;$F$11,H1815,0)</f>
        <v>0</v>
      </c>
      <c r="L1815">
        <f t="shared" ref="L1815:L1878" si="312">IF(D1815&lt;$A$15,$D$11,$D$11*(1-$H$11))</f>
        <v>85</v>
      </c>
      <c r="M1815">
        <f t="shared" ref="M1815:M1878" si="313">IF(D1815&lt;$A$15,0,1)</f>
        <v>1</v>
      </c>
      <c r="N1815">
        <f t="shared" ref="N1815:N1878" si="314">IF(SUM(I1815:J1815)&lt;=($G$11/60*$F$11/($E$11/60)),1,0)</f>
        <v>0</v>
      </c>
    </row>
    <row r="1816" spans="4:14" x14ac:dyDescent="0.2">
      <c r="D1816">
        <f t="shared" si="305"/>
        <v>1793</v>
      </c>
      <c r="E1816" s="1">
        <f t="shared" si="306"/>
        <v>-215.83548080057281</v>
      </c>
      <c r="F1816" s="1">
        <f t="shared" si="307"/>
        <v>-217.83751360977186</v>
      </c>
      <c r="G1816" s="1">
        <f t="shared" ref="G1816:G1879" si="315">EXP(F1816)</f>
        <v>2.4795329719046276E-95</v>
      </c>
      <c r="H1816" s="1">
        <f t="shared" si="308"/>
        <v>2.4338421841266492E-96</v>
      </c>
      <c r="I1816">
        <f t="shared" si="309"/>
        <v>60</v>
      </c>
      <c r="J1816">
        <f t="shared" si="310"/>
        <v>1729</v>
      </c>
      <c r="K1816" s="5">
        <f t="shared" si="311"/>
        <v>0</v>
      </c>
      <c r="L1816">
        <f t="shared" si="312"/>
        <v>85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IF($H$11=1,IF(D1817&lt;=$A$15, E1816+LN($D$11)-LN(60/$E$11)-LN(MIN(D1817,$F$11)), E1816-LN(60/$E$11)-LN(MIN(D1817,$F$11))), IF(D1817&lt;=$A$15, E1816+LN($D$11)-LN(60/$E$11)-LN(MIN(D1817,$F$11)), E1816+LN($D$11)+LN(1-$H$11)-LN(60/$E$11)-LN(MIN(D1817,$F$11))))</f>
        <v>-215.95717773555035</v>
      </c>
      <c r="F1817" s="1">
        <f t="shared" ref="F1817:F1880" si="318">E1817-$E$21</f>
        <v>-217.9592105447494</v>
      </c>
      <c r="G1817" s="1">
        <f t="shared" si="315"/>
        <v>2.1954198188738548E-95</v>
      </c>
      <c r="H1817" s="1">
        <f t="shared" si="308"/>
        <v>2.1549644338621035E-96</v>
      </c>
      <c r="I1817">
        <f t="shared" si="309"/>
        <v>60</v>
      </c>
      <c r="J1817">
        <f t="shared" si="310"/>
        <v>1730</v>
      </c>
      <c r="K1817" s="5">
        <f t="shared" si="311"/>
        <v>0</v>
      </c>
      <c r="L1817">
        <f t="shared" si="312"/>
        <v>85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-216.07887467052788</v>
      </c>
      <c r="F1818" s="1">
        <f t="shared" si="318"/>
        <v>-218.08090747972693</v>
      </c>
      <c r="G1818" s="1">
        <f t="shared" si="315"/>
        <v>1.9438612979611949E-95</v>
      </c>
      <c r="H1818" s="1">
        <f t="shared" si="308"/>
        <v>1.9080414258153742E-96</v>
      </c>
      <c r="I1818">
        <f t="shared" si="309"/>
        <v>60</v>
      </c>
      <c r="J1818">
        <f t="shared" si="310"/>
        <v>1731</v>
      </c>
      <c r="K1818" s="5">
        <f t="shared" si="311"/>
        <v>0</v>
      </c>
      <c r="L1818">
        <f t="shared" si="312"/>
        <v>85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-216.20057160550542</v>
      </c>
      <c r="F1819" s="1">
        <f t="shared" si="318"/>
        <v>-218.20260441470447</v>
      </c>
      <c r="G1819" s="1">
        <f t="shared" si="315"/>
        <v>1.7211271909031144E-95</v>
      </c>
      <c r="H1819" s="1">
        <f t="shared" si="308"/>
        <v>1.6894116791073361E-96</v>
      </c>
      <c r="I1819">
        <f t="shared" si="309"/>
        <v>60</v>
      </c>
      <c r="J1819">
        <f t="shared" si="310"/>
        <v>1732</v>
      </c>
      <c r="K1819" s="5">
        <f t="shared" si="311"/>
        <v>0</v>
      </c>
      <c r="L1819">
        <f t="shared" si="312"/>
        <v>85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-216.32226854048295</v>
      </c>
      <c r="F1820" s="1">
        <f t="shared" si="318"/>
        <v>-218.324301349682</v>
      </c>
      <c r="G1820" s="1">
        <f t="shared" si="315"/>
        <v>1.5239147002787755E-95</v>
      </c>
      <c r="H1820" s="1">
        <f t="shared" si="308"/>
        <v>1.4958332575429306E-96</v>
      </c>
      <c r="I1820">
        <f t="shared" si="309"/>
        <v>60</v>
      </c>
      <c r="J1820">
        <f t="shared" si="310"/>
        <v>1733</v>
      </c>
      <c r="K1820" s="5">
        <f t="shared" si="311"/>
        <v>0</v>
      </c>
      <c r="L1820">
        <f t="shared" si="312"/>
        <v>85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-216.44396547546049</v>
      </c>
      <c r="F1821" s="1">
        <f t="shared" si="318"/>
        <v>-218.44599828465954</v>
      </c>
      <c r="G1821" s="1">
        <f t="shared" si="315"/>
        <v>1.3492994742051447E-95</v>
      </c>
      <c r="H1821" s="1">
        <f t="shared" si="308"/>
        <v>1.3244356967827824E-96</v>
      </c>
      <c r="I1821">
        <f t="shared" si="309"/>
        <v>60</v>
      </c>
      <c r="J1821">
        <f t="shared" si="310"/>
        <v>1734</v>
      </c>
      <c r="K1821" s="5">
        <f t="shared" si="311"/>
        <v>0</v>
      </c>
      <c r="L1821">
        <f t="shared" si="312"/>
        <v>85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-216.56566241043802</v>
      </c>
      <c r="F1822" s="1">
        <f t="shared" si="318"/>
        <v>-218.56769521963707</v>
      </c>
      <c r="G1822" s="1">
        <f t="shared" si="315"/>
        <v>1.1946922427857865E-95</v>
      </c>
      <c r="H1822" s="1">
        <f t="shared" si="308"/>
        <v>1.1726774398597369E-96</v>
      </c>
      <c r="I1822">
        <f t="shared" si="309"/>
        <v>60</v>
      </c>
      <c r="J1822">
        <f t="shared" si="310"/>
        <v>1735</v>
      </c>
      <c r="K1822" s="5">
        <f t="shared" si="311"/>
        <v>0</v>
      </c>
      <c r="L1822">
        <f t="shared" si="312"/>
        <v>85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-216.68735934541556</v>
      </c>
      <c r="F1823" s="1">
        <f t="shared" si="318"/>
        <v>-218.68939215461461</v>
      </c>
      <c r="G1823" s="1">
        <f t="shared" si="315"/>
        <v>1.0578004232998986E-95</v>
      </c>
      <c r="H1823" s="1">
        <f t="shared" si="308"/>
        <v>1.0383081498757925E-96</v>
      </c>
      <c r="I1823">
        <f t="shared" si="309"/>
        <v>60</v>
      </c>
      <c r="J1823">
        <f t="shared" si="310"/>
        <v>1736</v>
      </c>
      <c r="K1823" s="5">
        <f t="shared" si="311"/>
        <v>0</v>
      </c>
      <c r="L1823">
        <f t="shared" si="312"/>
        <v>85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-216.80905628039309</v>
      </c>
      <c r="F1824" s="1">
        <f t="shared" si="318"/>
        <v>-218.81108908959214</v>
      </c>
      <c r="G1824" s="1">
        <f t="shared" si="315"/>
        <v>9.3659412479677058E-96</v>
      </c>
      <c r="H1824" s="1">
        <f t="shared" si="308"/>
        <v>9.1933534103584353E-97</v>
      </c>
      <c r="I1824">
        <f t="shared" si="309"/>
        <v>60</v>
      </c>
      <c r="J1824">
        <f t="shared" si="310"/>
        <v>1737</v>
      </c>
      <c r="K1824" s="5">
        <f t="shared" si="311"/>
        <v>0</v>
      </c>
      <c r="L1824">
        <f t="shared" si="312"/>
        <v>85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-216.93075321537063</v>
      </c>
      <c r="F1825" s="1">
        <f t="shared" si="318"/>
        <v>-218.93278602456968</v>
      </c>
      <c r="G1825" s="1">
        <f t="shared" si="315"/>
        <v>8.2927604799712769E-96</v>
      </c>
      <c r="H1825" s="1">
        <f t="shared" si="308"/>
        <v>8.1399483320880706E-97</v>
      </c>
      <c r="I1825">
        <f t="shared" si="309"/>
        <v>60</v>
      </c>
      <c r="J1825">
        <f t="shared" si="310"/>
        <v>1738</v>
      </c>
      <c r="K1825" s="5">
        <f t="shared" si="311"/>
        <v>0</v>
      </c>
      <c r="L1825">
        <f t="shared" si="312"/>
        <v>85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-217.05245015034816</v>
      </c>
      <c r="F1826" s="1">
        <f t="shared" si="318"/>
        <v>-219.05448295954722</v>
      </c>
      <c r="G1826" s="1">
        <f t="shared" si="315"/>
        <v>7.3425483416411194E-96</v>
      </c>
      <c r="H1826" s="1">
        <f t="shared" si="308"/>
        <v>7.2072459190361997E-97</v>
      </c>
      <c r="I1826">
        <f t="shared" si="309"/>
        <v>60</v>
      </c>
      <c r="J1826">
        <f t="shared" si="310"/>
        <v>1739</v>
      </c>
      <c r="K1826" s="5">
        <f t="shared" si="311"/>
        <v>0</v>
      </c>
      <c r="L1826">
        <f t="shared" si="312"/>
        <v>85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-217.1741470853257</v>
      </c>
      <c r="F1827" s="1">
        <f t="shared" si="318"/>
        <v>-219.17617989452475</v>
      </c>
      <c r="G1827" s="1">
        <f t="shared" si="315"/>
        <v>6.5012146774946396E-96</v>
      </c>
      <c r="H1827" s="1">
        <f t="shared" si="308"/>
        <v>6.3814156574798687E-97</v>
      </c>
      <c r="I1827">
        <f t="shared" si="309"/>
        <v>60</v>
      </c>
      <c r="J1827">
        <f t="shared" si="310"/>
        <v>1740</v>
      </c>
      <c r="K1827" s="5">
        <f t="shared" si="311"/>
        <v>0</v>
      </c>
      <c r="L1827">
        <f t="shared" si="312"/>
        <v>85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-217.29584402030324</v>
      </c>
      <c r="F1828" s="1">
        <f t="shared" si="318"/>
        <v>-219.29787682950229</v>
      </c>
      <c r="G1828" s="1">
        <f t="shared" si="315"/>
        <v>5.756283829031622E-96</v>
      </c>
      <c r="H1828" s="1">
        <f t="shared" si="308"/>
        <v>5.650211780060212E-97</v>
      </c>
      <c r="I1828">
        <f t="shared" si="309"/>
        <v>60</v>
      </c>
      <c r="J1828">
        <f t="shared" si="310"/>
        <v>1741</v>
      </c>
      <c r="K1828" s="5">
        <f t="shared" si="311"/>
        <v>0</v>
      </c>
      <c r="L1828">
        <f t="shared" si="312"/>
        <v>85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-217.41754095528077</v>
      </c>
      <c r="F1829" s="1">
        <f t="shared" si="318"/>
        <v>-219.41957376447982</v>
      </c>
      <c r="G1829" s="1">
        <f t="shared" si="315"/>
        <v>5.0967096402883357E-96</v>
      </c>
      <c r="H1829" s="1">
        <f t="shared" si="308"/>
        <v>5.0027916802615678E-97</v>
      </c>
      <c r="I1829">
        <f t="shared" si="309"/>
        <v>60</v>
      </c>
      <c r="J1829">
        <f t="shared" si="310"/>
        <v>1742</v>
      </c>
      <c r="K1829" s="5">
        <f t="shared" si="311"/>
        <v>0</v>
      </c>
      <c r="L1829">
        <f t="shared" si="312"/>
        <v>85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-217.53923789025831</v>
      </c>
      <c r="F1830" s="1">
        <f t="shared" si="318"/>
        <v>-219.54127069945736</v>
      </c>
      <c r="G1830" s="1">
        <f t="shared" si="315"/>
        <v>4.5127116606718935E-96</v>
      </c>
      <c r="H1830" s="1">
        <f t="shared" si="308"/>
        <v>4.4295551335648608E-97</v>
      </c>
      <c r="I1830">
        <f t="shared" si="309"/>
        <v>60</v>
      </c>
      <c r="J1830">
        <f t="shared" si="310"/>
        <v>1743</v>
      </c>
      <c r="K1830" s="5">
        <f t="shared" si="311"/>
        <v>0</v>
      </c>
      <c r="L1830">
        <f t="shared" si="312"/>
        <v>85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-217.66093482523584</v>
      </c>
      <c r="F1831" s="1">
        <f t="shared" si="318"/>
        <v>-219.66296763443489</v>
      </c>
      <c r="G1831" s="1">
        <f t="shared" si="315"/>
        <v>3.9956301162198429E-96</v>
      </c>
      <c r="H1831" s="1">
        <f t="shared" si="308"/>
        <v>3.922001941177159E-97</v>
      </c>
      <c r="I1831">
        <f t="shared" si="309"/>
        <v>60</v>
      </c>
      <c r="J1831">
        <f t="shared" si="310"/>
        <v>1744</v>
      </c>
      <c r="K1831" s="5">
        <f t="shared" si="311"/>
        <v>0</v>
      </c>
      <c r="L1831">
        <f t="shared" si="312"/>
        <v>85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-217.78263176021338</v>
      </c>
      <c r="F1832" s="1">
        <f t="shared" si="318"/>
        <v>-219.78466456941243</v>
      </c>
      <c r="G1832" s="1">
        <f t="shared" si="315"/>
        <v>3.5377974987362643E-96</v>
      </c>
      <c r="H1832" s="1">
        <f t="shared" si="308"/>
        <v>3.472605885417222E-97</v>
      </c>
      <c r="I1832">
        <f t="shared" si="309"/>
        <v>60</v>
      </c>
      <c r="J1832">
        <f t="shared" si="310"/>
        <v>1745</v>
      </c>
      <c r="K1832" s="5">
        <f t="shared" si="311"/>
        <v>0</v>
      </c>
      <c r="L1832">
        <f t="shared" si="312"/>
        <v>85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-217.90432869519091</v>
      </c>
      <c r="F1833" s="1">
        <f t="shared" si="318"/>
        <v>-219.90636150438996</v>
      </c>
      <c r="G1833" s="1">
        <f t="shared" si="315"/>
        <v>3.1324248686726851E-96</v>
      </c>
      <c r="H1833" s="1">
        <f t="shared" si="308"/>
        <v>3.0747031277131176E-97</v>
      </c>
      <c r="I1833">
        <f t="shared" si="309"/>
        <v>60</v>
      </c>
      <c r="J1833">
        <f t="shared" si="310"/>
        <v>1746</v>
      </c>
      <c r="K1833" s="5">
        <f t="shared" si="311"/>
        <v>0</v>
      </c>
      <c r="L1833">
        <f t="shared" si="312"/>
        <v>85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-218.02602563016845</v>
      </c>
      <c r="F1834" s="1">
        <f t="shared" si="318"/>
        <v>-220.0280584393675</v>
      </c>
      <c r="G1834" s="1">
        <f t="shared" si="315"/>
        <v>2.7735011858038964E-96</v>
      </c>
      <c r="H1834" s="1">
        <f t="shared" si="308"/>
        <v>2.7223933943292797E-97</v>
      </c>
      <c r="I1834">
        <f t="shared" si="309"/>
        <v>60</v>
      </c>
      <c r="J1834">
        <f t="shared" si="310"/>
        <v>1747</v>
      </c>
      <c r="K1834" s="5">
        <f t="shared" si="311"/>
        <v>0</v>
      </c>
      <c r="L1834">
        <f t="shared" si="312"/>
        <v>85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-218.14772256514598</v>
      </c>
      <c r="F1835" s="1">
        <f t="shared" si="318"/>
        <v>-220.14975537434503</v>
      </c>
      <c r="G1835" s="1">
        <f t="shared" si="315"/>
        <v>2.455704174930495E-96</v>
      </c>
      <c r="H1835" s="1">
        <f t="shared" si="308"/>
        <v>2.4104524845623458E-97</v>
      </c>
      <c r="I1835">
        <f t="shared" si="309"/>
        <v>60</v>
      </c>
      <c r="J1835">
        <f t="shared" si="310"/>
        <v>1748</v>
      </c>
      <c r="K1835" s="5">
        <f t="shared" si="311"/>
        <v>0</v>
      </c>
      <c r="L1835">
        <f t="shared" si="312"/>
        <v>85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-218.26941950012352</v>
      </c>
      <c r="F1836" s="1">
        <f t="shared" si="318"/>
        <v>-220.27145230932257</v>
      </c>
      <c r="G1836" s="1">
        <f t="shared" si="315"/>
        <v>2.1743214048863416E-96</v>
      </c>
      <c r="H1836" s="1">
        <f t="shared" si="308"/>
        <v>2.1342548040395434E-97</v>
      </c>
      <c r="I1836">
        <f t="shared" si="309"/>
        <v>60</v>
      </c>
      <c r="J1836">
        <f t="shared" si="310"/>
        <v>1749</v>
      </c>
      <c r="K1836" s="5">
        <f t="shared" si="311"/>
        <v>0</v>
      </c>
      <c r="L1836">
        <f t="shared" si="312"/>
        <v>85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-218.39111643510105</v>
      </c>
      <c r="F1837" s="1">
        <f t="shared" si="318"/>
        <v>-220.3931492443001</v>
      </c>
      <c r="G1837" s="1">
        <f t="shared" si="315"/>
        <v>1.9251804105764185E-96</v>
      </c>
      <c r="H1837" s="1">
        <f t="shared" si="308"/>
        <v>1.8897047744099831E-97</v>
      </c>
      <c r="I1837">
        <f t="shared" si="309"/>
        <v>60</v>
      </c>
      <c r="J1837">
        <f t="shared" si="310"/>
        <v>1750</v>
      </c>
      <c r="K1837" s="5">
        <f t="shared" si="311"/>
        <v>0</v>
      </c>
      <c r="L1837">
        <f t="shared" si="312"/>
        <v>85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-218.51281337007859</v>
      </c>
      <c r="F1838" s="1">
        <f t="shared" si="318"/>
        <v>-220.51484617927764</v>
      </c>
      <c r="G1838" s="1">
        <f t="shared" si="315"/>
        <v>1.7045868218645103E-96</v>
      </c>
      <c r="H1838" s="1">
        <f t="shared" si="308"/>
        <v>1.6731761023421461E-97</v>
      </c>
      <c r="I1838">
        <f t="shared" si="309"/>
        <v>60</v>
      </c>
      <c r="J1838">
        <f t="shared" si="310"/>
        <v>1751</v>
      </c>
      <c r="K1838" s="5">
        <f t="shared" si="311"/>
        <v>0</v>
      </c>
      <c r="L1838">
        <f t="shared" si="312"/>
        <v>85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-218.63451030505612</v>
      </c>
      <c r="F1839" s="1">
        <f t="shared" si="318"/>
        <v>-220.63654311425518</v>
      </c>
      <c r="G1839" s="1">
        <f t="shared" si="315"/>
        <v>1.5092695818591784E-96</v>
      </c>
      <c r="H1839" s="1">
        <f t="shared" si="308"/>
        <v>1.4814580072820855E-97</v>
      </c>
      <c r="I1839">
        <f t="shared" si="309"/>
        <v>60</v>
      </c>
      <c r="J1839">
        <f t="shared" si="310"/>
        <v>1752</v>
      </c>
      <c r="K1839" s="5">
        <f t="shared" si="311"/>
        <v>0</v>
      </c>
      <c r="L1839">
        <f t="shared" si="312"/>
        <v>85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-218.75620724003366</v>
      </c>
      <c r="F1840" s="1">
        <f t="shared" si="318"/>
        <v>-220.75824004923271</v>
      </c>
      <c r="G1840" s="1">
        <f t="shared" si="315"/>
        <v>1.3363324422711266E-96</v>
      </c>
      <c r="H1840" s="1">
        <f t="shared" si="308"/>
        <v>1.311707610614326E-97</v>
      </c>
      <c r="I1840">
        <f t="shared" si="309"/>
        <v>60</v>
      </c>
      <c r="J1840">
        <f t="shared" si="310"/>
        <v>1753</v>
      </c>
      <c r="K1840" s="5">
        <f t="shared" si="311"/>
        <v>0</v>
      </c>
      <c r="L1840">
        <f t="shared" si="312"/>
        <v>85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-218.8779041750112</v>
      </c>
      <c r="F1841" s="1">
        <f t="shared" si="318"/>
        <v>-220.87993698421025</v>
      </c>
      <c r="G1841" s="1">
        <f t="shared" si="315"/>
        <v>1.1832110165942081E-96</v>
      </c>
      <c r="H1841" s="1">
        <f t="shared" si="308"/>
        <v>1.1614077802314163E-97</v>
      </c>
      <c r="I1841">
        <f t="shared" si="309"/>
        <v>60</v>
      </c>
      <c r="J1841">
        <f t="shared" si="310"/>
        <v>1754</v>
      </c>
      <c r="K1841" s="5">
        <f t="shared" si="311"/>
        <v>0</v>
      </c>
      <c r="L1841">
        <f t="shared" si="312"/>
        <v>85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-218.99960110998873</v>
      </c>
      <c r="F1842" s="1">
        <f t="shared" si="318"/>
        <v>-221.00163391918778</v>
      </c>
      <c r="G1842" s="1">
        <f t="shared" si="315"/>
        <v>1.0476347542761055E-96</v>
      </c>
      <c r="H1842" s="1">
        <f t="shared" si="308"/>
        <v>1.0283298054132172E-97</v>
      </c>
      <c r="I1842">
        <f t="shared" si="309"/>
        <v>60</v>
      </c>
      <c r="J1842">
        <f t="shared" si="310"/>
        <v>1755</v>
      </c>
      <c r="K1842" s="5">
        <f t="shared" si="311"/>
        <v>0</v>
      </c>
      <c r="L1842">
        <f t="shared" si="312"/>
        <v>85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-219.12129804496627</v>
      </c>
      <c r="F1843" s="1">
        <f t="shared" si="318"/>
        <v>-221.12333085416532</v>
      </c>
      <c r="G1843" s="1">
        <f t="shared" si="315"/>
        <v>9.2759327201528715E-97</v>
      </c>
      <c r="H1843" s="1">
        <f t="shared" si="308"/>
        <v>9.1050034854293844E-98</v>
      </c>
      <c r="I1843">
        <f t="shared" si="309"/>
        <v>60</v>
      </c>
      <c r="J1843">
        <f t="shared" si="310"/>
        <v>1756</v>
      </c>
      <c r="K1843" s="5">
        <f t="shared" si="311"/>
        <v>0</v>
      </c>
      <c r="L1843">
        <f t="shared" si="312"/>
        <v>85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-219.2429949799438</v>
      </c>
      <c r="F1844" s="1">
        <f t="shared" si="318"/>
        <v>-221.24502778914285</v>
      </c>
      <c r="G1844" s="1">
        <f t="shared" si="315"/>
        <v>8.2130654293018931E-97</v>
      </c>
      <c r="H1844" s="1">
        <f t="shared" si="308"/>
        <v>8.0617218360571407E-98</v>
      </c>
      <c r="I1844">
        <f t="shared" si="309"/>
        <v>60</v>
      </c>
      <c r="J1844">
        <f t="shared" si="310"/>
        <v>1757</v>
      </c>
      <c r="K1844" s="5">
        <f t="shared" si="311"/>
        <v>0</v>
      </c>
      <c r="L1844">
        <f t="shared" si="312"/>
        <v>85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-219.36469191492134</v>
      </c>
      <c r="F1845" s="1">
        <f t="shared" si="318"/>
        <v>-221.36672472412039</v>
      </c>
      <c r="G1845" s="1">
        <f t="shared" si="315"/>
        <v>7.2719850155276047E-97</v>
      </c>
      <c r="H1845" s="1">
        <f t="shared" si="308"/>
        <v>7.1379828756754832E-98</v>
      </c>
      <c r="I1845">
        <f t="shared" si="309"/>
        <v>60</v>
      </c>
      <c r="J1845">
        <f t="shared" si="310"/>
        <v>1758</v>
      </c>
      <c r="K1845" s="5">
        <f t="shared" si="311"/>
        <v>0</v>
      </c>
      <c r="L1845">
        <f t="shared" si="312"/>
        <v>85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-219.48638884989887</v>
      </c>
      <c r="F1846" s="1">
        <f t="shared" si="318"/>
        <v>-221.48842165909792</v>
      </c>
      <c r="G1846" s="1">
        <f t="shared" si="315"/>
        <v>6.4387367324982991E-97</v>
      </c>
      <c r="H1846" s="1">
        <f t="shared" si="308"/>
        <v>6.3200890045042348E-98</v>
      </c>
      <c r="I1846">
        <f t="shared" si="309"/>
        <v>60</v>
      </c>
      <c r="J1846">
        <f t="shared" si="310"/>
        <v>1759</v>
      </c>
      <c r="K1846" s="5">
        <f t="shared" si="311"/>
        <v>0</v>
      </c>
      <c r="L1846">
        <f t="shared" si="312"/>
        <v>85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-219.60808578487641</v>
      </c>
      <c r="F1847" s="1">
        <f t="shared" si="318"/>
        <v>-221.61011859407546</v>
      </c>
      <c r="G1847" s="1">
        <f t="shared" si="315"/>
        <v>5.7009648152327795E-97</v>
      </c>
      <c r="H1847" s="1">
        <f t="shared" si="308"/>
        <v>5.595912139404703E-98</v>
      </c>
      <c r="I1847">
        <f t="shared" si="309"/>
        <v>60</v>
      </c>
      <c r="J1847">
        <f t="shared" si="310"/>
        <v>1760</v>
      </c>
      <c r="K1847" s="5">
        <f t="shared" si="311"/>
        <v>0</v>
      </c>
      <c r="L1847">
        <f t="shared" si="312"/>
        <v>85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-219.72978271985394</v>
      </c>
      <c r="F1848" s="1">
        <f t="shared" si="318"/>
        <v>-221.73181552905299</v>
      </c>
      <c r="G1848" s="1">
        <f t="shared" si="315"/>
        <v>5.0477292634872784E-97</v>
      </c>
      <c r="H1848" s="1">
        <f t="shared" si="308"/>
        <v>4.9547138734311707E-98</v>
      </c>
      <c r="I1848">
        <f t="shared" si="309"/>
        <v>60</v>
      </c>
      <c r="J1848">
        <f t="shared" si="310"/>
        <v>1761</v>
      </c>
      <c r="K1848" s="5">
        <f t="shared" si="311"/>
        <v>0</v>
      </c>
      <c r="L1848">
        <f t="shared" si="312"/>
        <v>85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-219.85147965483148</v>
      </c>
      <c r="F1849" s="1">
        <f t="shared" si="318"/>
        <v>-221.85351246403053</v>
      </c>
      <c r="G1849" s="1">
        <f t="shared" si="315"/>
        <v>4.4693436187126241E-97</v>
      </c>
      <c r="H1849" s="1">
        <f t="shared" si="308"/>
        <v>4.3869862421004465E-98</v>
      </c>
      <c r="I1849">
        <f t="shared" si="309"/>
        <v>60</v>
      </c>
      <c r="J1849">
        <f t="shared" si="310"/>
        <v>1762</v>
      </c>
      <c r="K1849" s="5">
        <f t="shared" si="311"/>
        <v>0</v>
      </c>
      <c r="L1849">
        <f t="shared" si="312"/>
        <v>85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-219.97317658980901</v>
      </c>
      <c r="F1850" s="1">
        <f t="shared" si="318"/>
        <v>-221.97520939900807</v>
      </c>
      <c r="G1850" s="1">
        <f t="shared" si="315"/>
        <v>3.9572313290684075E-97</v>
      </c>
      <c r="H1850" s="1">
        <f t="shared" si="308"/>
        <v>3.884310735193043E-98</v>
      </c>
      <c r="I1850">
        <f t="shared" si="309"/>
        <v>60</v>
      </c>
      <c r="J1850">
        <f t="shared" si="310"/>
        <v>1763</v>
      </c>
      <c r="K1850" s="5">
        <f t="shared" si="311"/>
        <v>0</v>
      </c>
      <c r="L1850">
        <f t="shared" si="312"/>
        <v>85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-220.09487352478655</v>
      </c>
      <c r="F1851" s="1">
        <f t="shared" si="318"/>
        <v>-222.0969063339856</v>
      </c>
      <c r="G1851" s="1">
        <f t="shared" si="315"/>
        <v>3.5037985726125976E-97</v>
      </c>
      <c r="H1851" s="1">
        <f t="shared" si="308"/>
        <v>3.4392334634521199E-98</v>
      </c>
      <c r="I1851">
        <f t="shared" si="309"/>
        <v>60</v>
      </c>
      <c r="J1851">
        <f t="shared" si="310"/>
        <v>1764</v>
      </c>
      <c r="K1851" s="5">
        <f t="shared" si="311"/>
        <v>0</v>
      </c>
      <c r="L1851">
        <f t="shared" si="312"/>
        <v>85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-220.21657045976409</v>
      </c>
      <c r="F1852" s="1">
        <f t="shared" si="318"/>
        <v>-222.21860326896314</v>
      </c>
      <c r="G1852" s="1">
        <f t="shared" si="315"/>
        <v>3.1023216528340223E-97</v>
      </c>
      <c r="H1852" s="1">
        <f t="shared" si="308"/>
        <v>3.0451546290981832E-98</v>
      </c>
      <c r="I1852">
        <f t="shared" si="309"/>
        <v>60</v>
      </c>
      <c r="J1852">
        <f t="shared" si="310"/>
        <v>1765</v>
      </c>
      <c r="K1852" s="5">
        <f t="shared" si="311"/>
        <v>0</v>
      </c>
      <c r="L1852">
        <f t="shared" si="312"/>
        <v>85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-220.33826739474162</v>
      </c>
      <c r="F1853" s="1">
        <f t="shared" si="318"/>
        <v>-222.34030020394067</v>
      </c>
      <c r="G1853" s="1">
        <f t="shared" si="315"/>
        <v>2.7468472967800811E-97</v>
      </c>
      <c r="H1853" s="1">
        <f t="shared" si="308"/>
        <v>2.6962306611806411E-98</v>
      </c>
      <c r="I1853">
        <f t="shared" si="309"/>
        <v>60</v>
      </c>
      <c r="J1853">
        <f t="shared" si="310"/>
        <v>1766</v>
      </c>
      <c r="K1853" s="5">
        <f t="shared" si="311"/>
        <v>0</v>
      </c>
      <c r="L1853">
        <f t="shared" si="312"/>
        <v>85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-220.45996432971916</v>
      </c>
      <c r="F1854" s="1">
        <f t="shared" si="318"/>
        <v>-222.46199713891821</v>
      </c>
      <c r="G1854" s="1">
        <f t="shared" si="315"/>
        <v>2.4321043773573255E-97</v>
      </c>
      <c r="H1854" s="1">
        <f t="shared" si="308"/>
        <v>2.387287564586989E-98</v>
      </c>
      <c r="I1854">
        <f t="shared" si="309"/>
        <v>60</v>
      </c>
      <c r="J1854">
        <f t="shared" si="310"/>
        <v>1767</v>
      </c>
      <c r="K1854" s="5">
        <f t="shared" si="311"/>
        <v>0</v>
      </c>
      <c r="L1854">
        <f t="shared" si="312"/>
        <v>85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-220.58166126469669</v>
      </c>
      <c r="F1855" s="1">
        <f t="shared" si="318"/>
        <v>-222.58369407389574</v>
      </c>
      <c r="G1855" s="1">
        <f t="shared" si="315"/>
        <v>2.1534257507850981E-97</v>
      </c>
      <c r="H1855" s="1">
        <f t="shared" si="308"/>
        <v>2.1137441978113632E-98</v>
      </c>
      <c r="I1855">
        <f t="shared" si="309"/>
        <v>60</v>
      </c>
      <c r="J1855">
        <f t="shared" si="310"/>
        <v>1768</v>
      </c>
      <c r="K1855" s="5">
        <f t="shared" si="311"/>
        <v>0</v>
      </c>
      <c r="L1855">
        <f t="shared" si="312"/>
        <v>85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-220.70335819967423</v>
      </c>
      <c r="F1856" s="1">
        <f t="shared" si="318"/>
        <v>-222.70539100887328</v>
      </c>
      <c r="G1856" s="1">
        <f t="shared" si="315"/>
        <v>1.9066790501742757E-97</v>
      </c>
      <c r="H1856" s="1">
        <f t="shared" si="308"/>
        <v>1.871544341812115E-98</v>
      </c>
      <c r="I1856">
        <f t="shared" si="309"/>
        <v>60</v>
      </c>
      <c r="J1856">
        <f t="shared" si="310"/>
        <v>1769</v>
      </c>
      <c r="K1856" s="5">
        <f t="shared" si="311"/>
        <v>0</v>
      </c>
      <c r="L1856">
        <f t="shared" si="312"/>
        <v>85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-220.82505513465176</v>
      </c>
      <c r="F1857" s="1">
        <f t="shared" si="318"/>
        <v>-222.82708794385081</v>
      </c>
      <c r="G1857" s="1">
        <f t="shared" si="315"/>
        <v>1.6882054090084469E-97</v>
      </c>
      <c r="H1857" s="1">
        <f t="shared" si="308"/>
        <v>1.6570965526461178E-98</v>
      </c>
      <c r="I1857">
        <f t="shared" si="309"/>
        <v>60</v>
      </c>
      <c r="J1857">
        <f t="shared" si="310"/>
        <v>1770</v>
      </c>
      <c r="K1857" s="5">
        <f t="shared" si="311"/>
        <v>0</v>
      </c>
      <c r="L1857">
        <f t="shared" si="312"/>
        <v>85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-220.9467520696293</v>
      </c>
      <c r="F1858" s="1">
        <f t="shared" si="318"/>
        <v>-222.94878487882835</v>
      </c>
      <c r="G1858" s="1">
        <f t="shared" si="315"/>
        <v>1.4947652058928725E-97</v>
      </c>
      <c r="H1858" s="1">
        <f t="shared" si="308"/>
        <v>1.4672209059887271E-98</v>
      </c>
      <c r="I1858">
        <f t="shared" si="309"/>
        <v>60</v>
      </c>
      <c r="J1858">
        <f t="shared" si="310"/>
        <v>1771</v>
      </c>
      <c r="K1858" s="5">
        <f t="shared" si="311"/>
        <v>0</v>
      </c>
      <c r="L1858">
        <f t="shared" si="312"/>
        <v>85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-221.06844900460683</v>
      </c>
      <c r="F1859" s="1">
        <f t="shared" si="318"/>
        <v>-223.07048181380588</v>
      </c>
      <c r="G1859" s="1">
        <f t="shared" si="315"/>
        <v>1.32349002605096E-97</v>
      </c>
      <c r="H1859" s="1">
        <f t="shared" si="308"/>
        <v>1.2991018438441652E-98</v>
      </c>
      <c r="I1859">
        <f t="shared" si="309"/>
        <v>60</v>
      </c>
      <c r="J1859">
        <f t="shared" si="310"/>
        <v>1772</v>
      </c>
      <c r="K1859" s="5">
        <f t="shared" si="311"/>
        <v>0</v>
      </c>
      <c r="L1859">
        <f t="shared" si="312"/>
        <v>85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-221.19014593958437</v>
      </c>
      <c r="F1860" s="1">
        <f t="shared" si="318"/>
        <v>-223.19217874878342</v>
      </c>
      <c r="G1860" s="1">
        <f t="shared" si="315"/>
        <v>1.1718401272326026E-97</v>
      </c>
      <c r="H1860" s="1">
        <f t="shared" si="308"/>
        <v>1.1502464242370033E-98</v>
      </c>
      <c r="I1860">
        <f t="shared" si="309"/>
        <v>60</v>
      </c>
      <c r="J1860">
        <f t="shared" si="310"/>
        <v>1773</v>
      </c>
      <c r="K1860" s="5">
        <f t="shared" si="311"/>
        <v>0</v>
      </c>
      <c r="L1860">
        <f t="shared" si="312"/>
        <v>85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-221.3118428745619</v>
      </c>
      <c r="F1861" s="1">
        <f t="shared" si="318"/>
        <v>-223.31387568376095</v>
      </c>
      <c r="G1861" s="1">
        <f t="shared" si="315"/>
        <v>1.0375667793205173E-97</v>
      </c>
      <c r="H1861" s="1">
        <f t="shared" si="308"/>
        <v>1.0184473547931641E-98</v>
      </c>
      <c r="I1861">
        <f t="shared" si="309"/>
        <v>60</v>
      </c>
      <c r="J1861">
        <f t="shared" si="310"/>
        <v>1774</v>
      </c>
      <c r="K1861" s="5">
        <f t="shared" si="311"/>
        <v>0</v>
      </c>
      <c r="L1861">
        <f t="shared" si="312"/>
        <v>85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-221.43353980953944</v>
      </c>
      <c r="F1862" s="1">
        <f t="shared" si="318"/>
        <v>-223.43557261873849</v>
      </c>
      <c r="G1862" s="1">
        <f t="shared" si="315"/>
        <v>9.1867891919002697E-98</v>
      </c>
      <c r="H1862" s="1">
        <f t="shared" si="308"/>
        <v>9.0175026205643312E-99</v>
      </c>
      <c r="I1862">
        <f t="shared" si="309"/>
        <v>60</v>
      </c>
      <c r="J1862">
        <f t="shared" si="310"/>
        <v>1775</v>
      </c>
      <c r="K1862" s="5">
        <f t="shared" si="311"/>
        <v>0</v>
      </c>
      <c r="L1862">
        <f t="shared" si="312"/>
        <v>85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-221.55523674451698</v>
      </c>
      <c r="F1863" s="1">
        <f t="shared" si="318"/>
        <v>-223.55726955371603</v>
      </c>
      <c r="G1863" s="1">
        <f t="shared" si="315"/>
        <v>8.1341362636615707E-98</v>
      </c>
      <c r="H1863" s="1">
        <f t="shared" si="308"/>
        <v>7.9842471119578786E-99</v>
      </c>
      <c r="I1863">
        <f t="shared" si="309"/>
        <v>60</v>
      </c>
      <c r="J1863">
        <f t="shared" si="310"/>
        <v>1776</v>
      </c>
      <c r="K1863" s="5">
        <f t="shared" si="311"/>
        <v>0</v>
      </c>
      <c r="L1863">
        <f t="shared" si="312"/>
        <v>85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-221.67693367949451</v>
      </c>
      <c r="F1864" s="1">
        <f t="shared" si="318"/>
        <v>-223.67896648869356</v>
      </c>
      <c r="G1864" s="1">
        <f t="shared" si="315"/>
        <v>7.2020998167835698E-98</v>
      </c>
      <c r="H1864" s="1">
        <f t="shared" si="308"/>
        <v>7.0693854637125944E-99</v>
      </c>
      <c r="I1864">
        <f t="shared" si="309"/>
        <v>60</v>
      </c>
      <c r="J1864">
        <f t="shared" si="310"/>
        <v>1777</v>
      </c>
      <c r="K1864" s="5">
        <f t="shared" si="311"/>
        <v>0</v>
      </c>
      <c r="L1864">
        <f t="shared" si="312"/>
        <v>85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-221.79863061447205</v>
      </c>
      <c r="F1865" s="1">
        <f t="shared" si="318"/>
        <v>-223.8006634236711</v>
      </c>
      <c r="G1865" s="1">
        <f t="shared" si="315"/>
        <v>6.3768592127770186E-98</v>
      </c>
      <c r="H1865" s="1">
        <f t="shared" si="308"/>
        <v>6.259351712662094E-99</v>
      </c>
      <c r="I1865">
        <f t="shared" si="309"/>
        <v>60</v>
      </c>
      <c r="J1865">
        <f t="shared" si="310"/>
        <v>1778</v>
      </c>
      <c r="K1865" s="5">
        <f t="shared" si="311"/>
        <v>0</v>
      </c>
      <c r="L1865">
        <f t="shared" si="312"/>
        <v>85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-221.92032754944958</v>
      </c>
      <c r="F1866" s="1">
        <f t="shared" si="318"/>
        <v>-223.92236035864863</v>
      </c>
      <c r="G1866" s="1">
        <f t="shared" si="315"/>
        <v>5.6461774279795639E-98</v>
      </c>
      <c r="H1866" s="1">
        <f t="shared" si="308"/>
        <v>5.5421343289194758E-99</v>
      </c>
      <c r="I1866">
        <f t="shared" si="309"/>
        <v>60</v>
      </c>
      <c r="J1866">
        <f t="shared" si="310"/>
        <v>1779</v>
      </c>
      <c r="K1866" s="5">
        <f t="shared" si="311"/>
        <v>0</v>
      </c>
      <c r="L1866">
        <f t="shared" si="312"/>
        <v>85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-222.04202448442712</v>
      </c>
      <c r="F1867" s="1">
        <f t="shared" si="318"/>
        <v>-224.04405729362617</v>
      </c>
      <c r="G1867" s="1">
        <f t="shared" si="315"/>
        <v>4.9992195976901604E-98</v>
      </c>
      <c r="H1867" s="1">
        <f t="shared" si="308"/>
        <v>4.9070981037307089E-99</v>
      </c>
      <c r="I1867">
        <f t="shared" si="309"/>
        <v>60</v>
      </c>
      <c r="J1867">
        <f t="shared" si="310"/>
        <v>1780</v>
      </c>
      <c r="K1867" s="5">
        <f t="shared" si="311"/>
        <v>0</v>
      </c>
      <c r="L1867">
        <f t="shared" si="312"/>
        <v>85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-222.16372141940465</v>
      </c>
      <c r="F1868" s="1">
        <f t="shared" si="318"/>
        <v>-224.1657542286037</v>
      </c>
      <c r="G1868" s="1">
        <f t="shared" si="315"/>
        <v>4.426392352121427E-98</v>
      </c>
      <c r="H1868" s="1">
        <f t="shared" si="308"/>
        <v>4.3448264460114972E-99</v>
      </c>
      <c r="I1868">
        <f t="shared" si="309"/>
        <v>60</v>
      </c>
      <c r="J1868">
        <f t="shared" si="310"/>
        <v>1781</v>
      </c>
      <c r="K1868" s="5">
        <f t="shared" si="311"/>
        <v>0</v>
      </c>
      <c r="L1868">
        <f t="shared" si="312"/>
        <v>85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-222.28541835438219</v>
      </c>
      <c r="F1869" s="1">
        <f t="shared" si="318"/>
        <v>-224.28745116358124</v>
      </c>
      <c r="G1869" s="1">
        <f t="shared" si="315"/>
        <v>3.919201561774119E-98</v>
      </c>
      <c r="H1869" s="1">
        <f t="shared" si="308"/>
        <v>3.8469817490726199E-99</v>
      </c>
      <c r="I1869">
        <f t="shared" si="309"/>
        <v>60</v>
      </c>
      <c r="J1869">
        <f t="shared" si="310"/>
        <v>1782</v>
      </c>
      <c r="K1869" s="5">
        <f t="shared" si="311"/>
        <v>0</v>
      </c>
      <c r="L1869">
        <f t="shared" si="312"/>
        <v>85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-222.40711528935972</v>
      </c>
      <c r="F1870" s="1">
        <f t="shared" si="318"/>
        <v>-224.40914809855877</v>
      </c>
      <c r="G1870" s="1">
        <f t="shared" si="315"/>
        <v>3.4701263828207806E-98</v>
      </c>
      <c r="H1870" s="1">
        <f t="shared" si="308"/>
        <v>3.4061817569913293E-99</v>
      </c>
      <c r="I1870">
        <f t="shared" si="309"/>
        <v>60</v>
      </c>
      <c r="J1870">
        <f t="shared" si="310"/>
        <v>1783</v>
      </c>
      <c r="K1870" s="5">
        <f t="shared" si="311"/>
        <v>0</v>
      </c>
      <c r="L1870">
        <f t="shared" si="312"/>
        <v>85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-222.52881222433726</v>
      </c>
      <c r="F1871" s="1">
        <f t="shared" si="318"/>
        <v>-224.53084503353631</v>
      </c>
      <c r="G1871" s="1">
        <f t="shared" si="315"/>
        <v>3.0725077347891847E-98</v>
      </c>
      <c r="H1871" s="1">
        <f t="shared" si="308"/>
        <v>3.0158900973360257E-99</v>
      </c>
      <c r="I1871">
        <f t="shared" si="309"/>
        <v>60</v>
      </c>
      <c r="J1871">
        <f t="shared" si="310"/>
        <v>1784</v>
      </c>
      <c r="K1871" s="5">
        <f t="shared" si="311"/>
        <v>0</v>
      </c>
      <c r="L1871">
        <f t="shared" si="312"/>
        <v>85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-222.65050915931479</v>
      </c>
      <c r="F1872" s="1">
        <f t="shared" si="318"/>
        <v>-224.65254196851384</v>
      </c>
      <c r="G1872" s="1">
        <f t="shared" si="315"/>
        <v>2.7204495568445478E-98</v>
      </c>
      <c r="H1872" s="1">
        <f t="shared" si="308"/>
        <v>2.6703193570162308E-99</v>
      </c>
      <c r="I1872">
        <f t="shared" si="309"/>
        <v>60</v>
      </c>
      <c r="J1872">
        <f t="shared" si="310"/>
        <v>1785</v>
      </c>
      <c r="K1872" s="5">
        <f t="shared" si="311"/>
        <v>0</v>
      </c>
      <c r="L1872">
        <f t="shared" si="312"/>
        <v>85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-222.77220609429233</v>
      </c>
      <c r="F1873" s="1">
        <f t="shared" si="318"/>
        <v>-224.77423890349138</v>
      </c>
      <c r="G1873" s="1">
        <f t="shared" si="315"/>
        <v>2.4087313784560726E-98</v>
      </c>
      <c r="H1873" s="1">
        <f t="shared" si="308"/>
        <v>2.3643452640247507E-99</v>
      </c>
      <c r="I1873">
        <f t="shared" si="309"/>
        <v>60</v>
      </c>
      <c r="J1873">
        <f t="shared" si="310"/>
        <v>1786</v>
      </c>
      <c r="K1873" s="5">
        <f t="shared" si="311"/>
        <v>0</v>
      </c>
      <c r="L1873">
        <f t="shared" si="312"/>
        <v>85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-222.89390302926986</v>
      </c>
      <c r="F1874" s="1">
        <f t="shared" si="318"/>
        <v>-224.89593583846892</v>
      </c>
      <c r="G1874" s="1">
        <f t="shared" si="315"/>
        <v>2.1327309080079476E-98</v>
      </c>
      <c r="H1874" s="1">
        <f t="shared" si="308"/>
        <v>2.0934307025218821E-99</v>
      </c>
      <c r="I1874">
        <f t="shared" si="309"/>
        <v>60</v>
      </c>
      <c r="J1874">
        <f t="shared" si="310"/>
        <v>1787</v>
      </c>
      <c r="K1874" s="5">
        <f t="shared" si="311"/>
        <v>0</v>
      </c>
      <c r="L1874">
        <f t="shared" si="312"/>
        <v>85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-223.0155999642474</v>
      </c>
      <c r="F1875" s="1">
        <f t="shared" si="318"/>
        <v>-225.01763277344645</v>
      </c>
      <c r="G1875" s="1">
        <f t="shared" si="315"/>
        <v>1.8883554914653407E-98</v>
      </c>
      <c r="H1875" s="1">
        <f t="shared" si="308"/>
        <v>1.853558434524554E-99</v>
      </c>
      <c r="I1875">
        <f t="shared" si="309"/>
        <v>60</v>
      </c>
      <c r="J1875">
        <f t="shared" si="310"/>
        <v>1788</v>
      </c>
      <c r="K1875" s="5">
        <f t="shared" si="311"/>
        <v>0</v>
      </c>
      <c r="L1875">
        <f t="shared" si="312"/>
        <v>85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-223.13729689922494</v>
      </c>
      <c r="F1876" s="1">
        <f t="shared" si="318"/>
        <v>-225.13932970842399</v>
      </c>
      <c r="G1876" s="1">
        <f t="shared" si="315"/>
        <v>1.6719814247349109E-98</v>
      </c>
      <c r="H1876" s="1">
        <f t="shared" si="308"/>
        <v>1.6411715305685897E-99</v>
      </c>
      <c r="I1876">
        <f t="shared" si="309"/>
        <v>60</v>
      </c>
      <c r="J1876">
        <f t="shared" si="310"/>
        <v>1789</v>
      </c>
      <c r="K1876" s="5">
        <f t="shared" si="311"/>
        <v>0</v>
      </c>
      <c r="L1876">
        <f t="shared" si="312"/>
        <v>85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-223.25899383420247</v>
      </c>
      <c r="F1877" s="1">
        <f t="shared" si="318"/>
        <v>-225.26102664340152</v>
      </c>
      <c r="G1877" s="1">
        <f t="shared" si="315"/>
        <v>1.480400219817346E-98</v>
      </c>
      <c r="H1877" s="1">
        <f t="shared" si="308"/>
        <v>1.4531206260242497E-99</v>
      </c>
      <c r="I1877">
        <f t="shared" si="309"/>
        <v>60</v>
      </c>
      <c r="J1877">
        <f t="shared" si="310"/>
        <v>1790</v>
      </c>
      <c r="K1877" s="5">
        <f t="shared" si="311"/>
        <v>0</v>
      </c>
      <c r="L1877">
        <f t="shared" si="312"/>
        <v>85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-223.38069076918001</v>
      </c>
      <c r="F1878" s="1">
        <f t="shared" si="318"/>
        <v>-225.38272357837906</v>
      </c>
      <c r="G1878" s="1">
        <f t="shared" si="315"/>
        <v>1.3107710279632545E-98</v>
      </c>
      <c r="H1878" s="1">
        <f t="shared" si="308"/>
        <v>1.2866172209589508E-99</v>
      </c>
      <c r="I1878">
        <f t="shared" si="309"/>
        <v>60</v>
      </c>
      <c r="J1878">
        <f t="shared" si="310"/>
        <v>1791</v>
      </c>
      <c r="K1878" s="5">
        <f t="shared" si="311"/>
        <v>0</v>
      </c>
      <c r="L1878">
        <f t="shared" si="312"/>
        <v>85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-223.50238770415754</v>
      </c>
      <c r="F1879" s="1">
        <f t="shared" si="318"/>
        <v>-225.50442051335659</v>
      </c>
      <c r="G1879" s="1">
        <f t="shared" si="315"/>
        <v>1.1605785143424467E-98</v>
      </c>
      <c r="H1879" s="1">
        <f t="shared" ref="H1879:H1942" si="319">G1879/$G$21</f>
        <v>1.1391923310573866E-99</v>
      </c>
      <c r="I1879">
        <f t="shared" ref="I1879:I1942" si="320">IF($F$11&lt;=D1879, IF(D1879&lt;=$A$15,D1879-$F$11,$C$11),0)</f>
        <v>60</v>
      </c>
      <c r="J1879">
        <f t="shared" ref="J1879:J1942" si="321">IF(D1879&lt;=$A$15,0,D1879-$A$15)</f>
        <v>1792</v>
      </c>
      <c r="K1879" s="5">
        <f t="shared" ref="K1879:K1942" si="322">IF(D1879&lt;$F$11,H1879,0)</f>
        <v>0</v>
      </c>
      <c r="L1879">
        <f t="shared" ref="L1879:L1942" si="323">IF(D1879&lt;$A$15,$D$11,$D$11*(1-$H$11))</f>
        <v>85</v>
      </c>
      <c r="M1879">
        <f t="shared" ref="M1879:M1942" si="324">IF(D1879&lt;$A$15,0,1)</f>
        <v>1</v>
      </c>
      <c r="N1879">
        <f t="shared" ref="N1879:N1942" si="325">IF(SUM(I1879:J1879)&lt;=($G$11/60*$F$11/($E$11/60)),1,0)</f>
        <v>0</v>
      </c>
    </row>
    <row r="1880" spans="4:14" x14ac:dyDescent="0.2">
      <c r="D1880">
        <f t="shared" si="316"/>
        <v>1857</v>
      </c>
      <c r="E1880" s="1">
        <f t="shared" si="317"/>
        <v>-223.62408463913508</v>
      </c>
      <c r="F1880" s="1">
        <f t="shared" si="318"/>
        <v>-225.62611744833413</v>
      </c>
      <c r="G1880" s="1">
        <f t="shared" ref="G1880:G1943" si="326">EXP(F1880)</f>
        <v>1.0275955595740254E-98</v>
      </c>
      <c r="H1880" s="1">
        <f t="shared" si="319"/>
        <v>1.0086598764570454E-99</v>
      </c>
      <c r="I1880">
        <f t="shared" si="320"/>
        <v>60</v>
      </c>
      <c r="J1880">
        <f t="shared" si="321"/>
        <v>1793</v>
      </c>
      <c r="K1880" s="5">
        <f t="shared" si="322"/>
        <v>0</v>
      </c>
      <c r="L1880">
        <f t="shared" si="323"/>
        <v>85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IF($H$11=1,IF(D1881&lt;=$A$15, E1880+LN($D$11)-LN(60/$E$11)-LN(MIN(D1881,$F$11)), E1880-LN(60/$E$11)-LN(MIN(D1881,$F$11))), IF(D1881&lt;=$A$15, E1880+LN($D$11)-LN(60/$E$11)-LN(MIN(D1881,$F$11)), E1880+LN($D$11)+LN(1-$H$11)-LN(60/$E$11)-LN(MIN(D1881,$F$11))))</f>
        <v>-223.74578157411261</v>
      </c>
      <c r="F1881" s="1">
        <f t="shared" ref="F1881:F1944" si="329">E1881-$E$21</f>
        <v>-225.74781438331166</v>
      </c>
      <c r="G1881" s="1">
        <f t="shared" si="326"/>
        <v>9.0985023503948744E-99</v>
      </c>
      <c r="H1881" s="1">
        <f t="shared" si="319"/>
        <v>8.9308426561299495E-100</v>
      </c>
      <c r="I1881">
        <f t="shared" si="320"/>
        <v>60</v>
      </c>
      <c r="J1881">
        <f t="shared" si="321"/>
        <v>1794</v>
      </c>
      <c r="K1881" s="5">
        <f t="shared" si="322"/>
        <v>0</v>
      </c>
      <c r="L1881">
        <f t="shared" si="323"/>
        <v>85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-223.86747850909015</v>
      </c>
      <c r="F1882" s="1">
        <f t="shared" si="329"/>
        <v>-225.8695113182892</v>
      </c>
      <c r="G1882" s="1">
        <f t="shared" si="326"/>
        <v>8.055965622745336E-99</v>
      </c>
      <c r="H1882" s="1">
        <f t="shared" si="319"/>
        <v>7.9075169351149363E-100</v>
      </c>
      <c r="I1882">
        <f t="shared" si="320"/>
        <v>60</v>
      </c>
      <c r="J1882">
        <f t="shared" si="321"/>
        <v>1795</v>
      </c>
      <c r="K1882" s="5">
        <f t="shared" si="322"/>
        <v>0</v>
      </c>
      <c r="L1882">
        <f t="shared" si="323"/>
        <v>85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-223.98917544406768</v>
      </c>
      <c r="F1883" s="1">
        <f t="shared" si="329"/>
        <v>-225.99120825326673</v>
      </c>
      <c r="G1883" s="1">
        <f t="shared" si="326"/>
        <v>7.1328862284723208E-99</v>
      </c>
      <c r="H1883" s="1">
        <f t="shared" si="319"/>
        <v>7.0014472862995728E-100</v>
      </c>
      <c r="I1883">
        <f t="shared" si="320"/>
        <v>60</v>
      </c>
      <c r="J1883">
        <f t="shared" si="321"/>
        <v>1796</v>
      </c>
      <c r="K1883" s="5">
        <f t="shared" si="322"/>
        <v>0</v>
      </c>
      <c r="L1883">
        <f t="shared" si="323"/>
        <v>85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-224.11087237904522</v>
      </c>
      <c r="F1884" s="1">
        <f t="shared" si="329"/>
        <v>-226.11290518824427</v>
      </c>
      <c r="G1884" s="1">
        <f t="shared" si="326"/>
        <v>6.3155763481264354E-99</v>
      </c>
      <c r="H1884" s="1">
        <f t="shared" si="319"/>
        <v>6.19919811807765E-100</v>
      </c>
      <c r="I1884">
        <f t="shared" si="320"/>
        <v>60</v>
      </c>
      <c r="J1884">
        <f t="shared" si="321"/>
        <v>1797</v>
      </c>
      <c r="K1884" s="5">
        <f t="shared" si="322"/>
        <v>0</v>
      </c>
      <c r="L1884">
        <f t="shared" si="323"/>
        <v>85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-224.23256931402275</v>
      </c>
      <c r="F1885" s="1">
        <f t="shared" si="329"/>
        <v>-226.2346021232218</v>
      </c>
      <c r="G1885" s="1">
        <f t="shared" si="326"/>
        <v>5.5919165582368604E-99</v>
      </c>
      <c r="H1885" s="1">
        <f t="shared" si="319"/>
        <v>5.4888733337145002E-100</v>
      </c>
      <c r="I1885">
        <f t="shared" si="320"/>
        <v>60</v>
      </c>
      <c r="J1885">
        <f t="shared" si="321"/>
        <v>1798</v>
      </c>
      <c r="K1885" s="5">
        <f t="shared" si="322"/>
        <v>0</v>
      </c>
      <c r="L1885">
        <f t="shared" si="323"/>
        <v>85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-224.35426624900029</v>
      </c>
      <c r="F1886" s="1">
        <f t="shared" si="329"/>
        <v>-226.35629905819934</v>
      </c>
      <c r="G1886" s="1">
        <f t="shared" si="326"/>
        <v>4.9511761192721429E-99</v>
      </c>
      <c r="H1886" s="1">
        <f t="shared" si="319"/>
        <v>4.859939930892971E-100</v>
      </c>
      <c r="I1886">
        <f t="shared" si="320"/>
        <v>60</v>
      </c>
      <c r="J1886">
        <f t="shared" si="321"/>
        <v>1799</v>
      </c>
      <c r="K1886" s="5">
        <f t="shared" si="322"/>
        <v>0</v>
      </c>
      <c r="L1886">
        <f t="shared" si="323"/>
        <v>85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-224.47596318397783</v>
      </c>
      <c r="F1887" s="1">
        <f t="shared" si="329"/>
        <v>-226.47799599317688</v>
      </c>
      <c r="G1887" s="1">
        <f t="shared" si="326"/>
        <v>4.3838538556054741E-99</v>
      </c>
      <c r="H1887" s="1">
        <f t="shared" si="319"/>
        <v>4.3030718138114169E-100</v>
      </c>
      <c r="I1887">
        <f t="shared" si="320"/>
        <v>60</v>
      </c>
      <c r="J1887">
        <f t="shared" si="321"/>
        <v>1800</v>
      </c>
      <c r="K1887" s="5">
        <f t="shared" si="322"/>
        <v>0</v>
      </c>
      <c r="L1887">
        <f t="shared" si="323"/>
        <v>85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-224.59766011895536</v>
      </c>
      <c r="F1888" s="1">
        <f t="shared" si="329"/>
        <v>-226.59969292815441</v>
      </c>
      <c r="G1888" s="1">
        <f t="shared" si="326"/>
        <v>3.8815372679839528E-99</v>
      </c>
      <c r="H1888" s="1">
        <f t="shared" si="319"/>
        <v>3.8100115018121325E-100</v>
      </c>
      <c r="I1888">
        <f t="shared" si="320"/>
        <v>60</v>
      </c>
      <c r="J1888">
        <f t="shared" si="321"/>
        <v>1801</v>
      </c>
      <c r="K1888" s="5">
        <f t="shared" si="322"/>
        <v>0</v>
      </c>
      <c r="L1888">
        <f t="shared" si="323"/>
        <v>85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-224.7193570539329</v>
      </c>
      <c r="F1889" s="1">
        <f t="shared" si="329"/>
        <v>-226.72138986313195</v>
      </c>
      <c r="G1889" s="1">
        <f t="shared" si="326"/>
        <v>3.436777789360738E-99</v>
      </c>
      <c r="H1889" s="1">
        <f t="shared" si="319"/>
        <v>3.3734476838961062E-100</v>
      </c>
      <c r="I1889">
        <f t="shared" si="320"/>
        <v>60</v>
      </c>
      <c r="J1889">
        <f t="shared" si="321"/>
        <v>1802</v>
      </c>
      <c r="K1889" s="5">
        <f t="shared" si="322"/>
        <v>0</v>
      </c>
      <c r="L1889">
        <f t="shared" si="323"/>
        <v>85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-224.84105398891043</v>
      </c>
      <c r="F1890" s="1">
        <f t="shared" si="329"/>
        <v>-226.84308679810948</v>
      </c>
      <c r="G1890" s="1">
        <f t="shared" si="326"/>
        <v>3.0429803343297725E-99</v>
      </c>
      <c r="H1890" s="1">
        <f t="shared" si="319"/>
        <v>2.9869068034496308E-100</v>
      </c>
      <c r="I1890">
        <f t="shared" si="320"/>
        <v>60</v>
      </c>
      <c r="J1890">
        <f t="shared" si="321"/>
        <v>1803</v>
      </c>
      <c r="K1890" s="5">
        <f t="shared" si="322"/>
        <v>0</v>
      </c>
      <c r="L1890">
        <f t="shared" si="323"/>
        <v>85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-224.96275092388797</v>
      </c>
      <c r="F1891" s="1">
        <f t="shared" si="329"/>
        <v>-226.96478373308702</v>
      </c>
      <c r="G1891" s="1">
        <f t="shared" si="326"/>
        <v>2.6943055043544439E-99</v>
      </c>
      <c r="H1891" s="1">
        <f t="shared" si="319"/>
        <v>2.6446570655543191E-100</v>
      </c>
      <c r="I1891">
        <f t="shared" si="320"/>
        <v>60</v>
      </c>
      <c r="J1891">
        <f t="shared" si="321"/>
        <v>1804</v>
      </c>
      <c r="K1891" s="5">
        <f t="shared" si="322"/>
        <v>0</v>
      </c>
      <c r="L1891">
        <f t="shared" si="323"/>
        <v>85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-225.0844478588655</v>
      </c>
      <c r="F1892" s="1">
        <f t="shared" si="329"/>
        <v>-227.08648066806455</v>
      </c>
      <c r="G1892" s="1">
        <f t="shared" si="326"/>
        <v>2.3855829986471267E-99</v>
      </c>
      <c r="H1892" s="1">
        <f t="shared" si="319"/>
        <v>2.3416234434595168E-100</v>
      </c>
      <c r="I1892">
        <f t="shared" si="320"/>
        <v>60</v>
      </c>
      <c r="J1892">
        <f t="shared" si="321"/>
        <v>1805</v>
      </c>
      <c r="K1892" s="5">
        <f t="shared" si="322"/>
        <v>0</v>
      </c>
      <c r="L1892">
        <f t="shared" si="323"/>
        <v>85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-225.20614479384304</v>
      </c>
      <c r="F1893" s="1">
        <f t="shared" si="329"/>
        <v>-227.20817760304209</v>
      </c>
      <c r="G1893" s="1">
        <f t="shared" si="326"/>
        <v>2.1122349467187773E-99</v>
      </c>
      <c r="H1893" s="1">
        <f t="shared" si="319"/>
        <v>2.073312423896415E-100</v>
      </c>
      <c r="I1893">
        <f t="shared" si="320"/>
        <v>60</v>
      </c>
      <c r="J1893">
        <f t="shared" si="321"/>
        <v>1806</v>
      </c>
      <c r="K1893" s="5">
        <f t="shared" si="322"/>
        <v>0</v>
      </c>
      <c r="L1893">
        <f t="shared" si="323"/>
        <v>85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-225.32784172882057</v>
      </c>
      <c r="F1894" s="1">
        <f t="shared" si="329"/>
        <v>-227.32987453801962</v>
      </c>
      <c r="G1894" s="1">
        <f t="shared" si="326"/>
        <v>1.8702080257405545E-99</v>
      </c>
      <c r="H1894" s="1">
        <f t="shared" si="319"/>
        <v>1.8357453753249219E-100</v>
      </c>
      <c r="I1894">
        <f t="shared" si="320"/>
        <v>60</v>
      </c>
      <c r="J1894">
        <f t="shared" si="321"/>
        <v>1807</v>
      </c>
      <c r="K1894" s="5">
        <f t="shared" si="322"/>
        <v>0</v>
      </c>
      <c r="L1894">
        <f t="shared" si="323"/>
        <v>85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-225.44953866379811</v>
      </c>
      <c r="F1895" s="1">
        <f t="shared" si="329"/>
        <v>-227.45157147299716</v>
      </c>
      <c r="G1895" s="1">
        <f t="shared" si="326"/>
        <v>1.6559133561244235E-99</v>
      </c>
      <c r="H1895" s="1">
        <f t="shared" si="319"/>
        <v>1.6253995510689159E-100</v>
      </c>
      <c r="I1895">
        <f t="shared" si="320"/>
        <v>60</v>
      </c>
      <c r="J1895">
        <f t="shared" si="321"/>
        <v>1808</v>
      </c>
      <c r="K1895" s="5">
        <f t="shared" si="322"/>
        <v>0</v>
      </c>
      <c r="L1895">
        <f t="shared" si="323"/>
        <v>85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-225.57123559877564</v>
      </c>
      <c r="F1896" s="1">
        <f t="shared" si="329"/>
        <v>-227.57326840797469</v>
      </c>
      <c r="G1896" s="1">
        <f t="shared" si="326"/>
        <v>1.4661732840684771E-99</v>
      </c>
      <c r="H1896" s="1">
        <f t="shared" si="319"/>
        <v>1.4391558525089135E-100</v>
      </c>
      <c r="I1896">
        <f t="shared" si="320"/>
        <v>60</v>
      </c>
      <c r="J1896">
        <f t="shared" si="321"/>
        <v>1809</v>
      </c>
      <c r="K1896" s="5">
        <f t="shared" si="322"/>
        <v>0</v>
      </c>
      <c r="L1896">
        <f t="shared" si="323"/>
        <v>85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-225.69293253375318</v>
      </c>
      <c r="F1897" s="1">
        <f t="shared" si="329"/>
        <v>-227.69496534295223</v>
      </c>
      <c r="G1897" s="1">
        <f t="shared" si="326"/>
        <v>1.2981742619356104E-99</v>
      </c>
      <c r="H1897" s="1">
        <f t="shared" si="319"/>
        <v>1.2742525777422471E-100</v>
      </c>
      <c r="I1897">
        <f t="shared" si="320"/>
        <v>60</v>
      </c>
      <c r="J1897">
        <f t="shared" si="321"/>
        <v>1810</v>
      </c>
      <c r="K1897" s="5">
        <f t="shared" si="322"/>
        <v>0</v>
      </c>
      <c r="L1897">
        <f t="shared" si="323"/>
        <v>85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-225.81462946873071</v>
      </c>
      <c r="F1898" s="1">
        <f t="shared" si="329"/>
        <v>-227.81666227792977</v>
      </c>
      <c r="G1898" s="1">
        <f t="shared" si="326"/>
        <v>1.1494251277554704E-99</v>
      </c>
      <c r="H1898" s="1">
        <f t="shared" si="319"/>
        <v>1.1282444698759303E-100</v>
      </c>
      <c r="I1898">
        <f t="shared" si="320"/>
        <v>60</v>
      </c>
      <c r="J1898">
        <f t="shared" si="321"/>
        <v>1811</v>
      </c>
      <c r="K1898" s="5">
        <f t="shared" si="322"/>
        <v>0</v>
      </c>
      <c r="L1898">
        <f t="shared" si="323"/>
        <v>85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-225.93632640370825</v>
      </c>
      <c r="F1899" s="1">
        <f t="shared" si="329"/>
        <v>-227.9383592129073</v>
      </c>
      <c r="G1899" s="1">
        <f t="shared" si="326"/>
        <v>1.0177201652001402E-99</v>
      </c>
      <c r="H1899" s="1">
        <f t="shared" si="319"/>
        <v>9.98966457702631E-101</v>
      </c>
      <c r="I1899">
        <f t="shared" si="320"/>
        <v>60</v>
      </c>
      <c r="J1899">
        <f t="shared" si="321"/>
        <v>1812</v>
      </c>
      <c r="K1899" s="5">
        <f t="shared" si="322"/>
        <v>0</v>
      </c>
      <c r="L1899">
        <f t="shared" si="323"/>
        <v>85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-226.05802333868579</v>
      </c>
      <c r="F1900" s="1">
        <f t="shared" si="329"/>
        <v>-228.06005614788484</v>
      </c>
      <c r="G1900" s="1">
        <f t="shared" si="326"/>
        <v>9.0110639627094333E-100</v>
      </c>
      <c r="H1900" s="1">
        <f t="shared" si="319"/>
        <v>8.8450155109085737E-101</v>
      </c>
      <c r="I1900">
        <f t="shared" si="320"/>
        <v>60</v>
      </c>
      <c r="J1900">
        <f t="shared" si="321"/>
        <v>1813</v>
      </c>
      <c r="K1900" s="5">
        <f t="shared" si="322"/>
        <v>0</v>
      </c>
      <c r="L1900">
        <f t="shared" si="323"/>
        <v>85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-226.17972027366332</v>
      </c>
      <c r="F1901" s="1">
        <f t="shared" si="329"/>
        <v>-228.18175308286237</v>
      </c>
      <c r="G1901" s="1">
        <f t="shared" si="326"/>
        <v>7.9785462169821864E-100</v>
      </c>
      <c r="H1901" s="1">
        <f t="shared" si="319"/>
        <v>7.8315241502835108E-101</v>
      </c>
      <c r="I1901">
        <f t="shared" si="320"/>
        <v>60</v>
      </c>
      <c r="J1901">
        <f t="shared" si="321"/>
        <v>1814</v>
      </c>
      <c r="K1901" s="5">
        <f t="shared" si="322"/>
        <v>0</v>
      </c>
      <c r="L1901">
        <f t="shared" si="323"/>
        <v>85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-226.30141720864086</v>
      </c>
      <c r="F1902" s="1">
        <f t="shared" si="329"/>
        <v>-228.30345001783991</v>
      </c>
      <c r="G1902" s="1">
        <f t="shared" si="326"/>
        <v>7.0643377962862007E-100</v>
      </c>
      <c r="H1902" s="1">
        <f t="shared" si="319"/>
        <v>6.9341620080634172E-101</v>
      </c>
      <c r="I1902">
        <f t="shared" si="320"/>
        <v>60</v>
      </c>
      <c r="J1902">
        <f t="shared" si="321"/>
        <v>1815</v>
      </c>
      <c r="K1902" s="5">
        <f t="shared" si="322"/>
        <v>0</v>
      </c>
      <c r="L1902">
        <f t="shared" si="323"/>
        <v>85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-226.42311414361839</v>
      </c>
      <c r="F1903" s="1">
        <f t="shared" si="329"/>
        <v>-228.42514695281744</v>
      </c>
      <c r="G1903" s="1">
        <f t="shared" si="326"/>
        <v>6.2548824237949759E-100</v>
      </c>
      <c r="H1903" s="1">
        <f t="shared" si="319"/>
        <v>6.1396226113060555E-101</v>
      </c>
      <c r="I1903">
        <f t="shared" si="320"/>
        <v>60</v>
      </c>
      <c r="J1903">
        <f t="shared" si="321"/>
        <v>1816</v>
      </c>
      <c r="K1903" s="5">
        <f t="shared" si="322"/>
        <v>0</v>
      </c>
      <c r="L1903">
        <f t="shared" si="323"/>
        <v>85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-226.54481107859593</v>
      </c>
      <c r="F1904" s="1">
        <f t="shared" si="329"/>
        <v>-228.54684388779498</v>
      </c>
      <c r="G1904" s="1">
        <f t="shared" si="326"/>
        <v>5.538177146068381E-100</v>
      </c>
      <c r="H1904" s="1">
        <f t="shared" si="319"/>
        <v>5.4361241870938169E-101</v>
      </c>
      <c r="I1904">
        <f t="shared" si="320"/>
        <v>60</v>
      </c>
      <c r="J1904">
        <f t="shared" si="321"/>
        <v>1817</v>
      </c>
      <c r="K1904" s="5">
        <f t="shared" si="322"/>
        <v>0</v>
      </c>
      <c r="L1904">
        <f t="shared" si="323"/>
        <v>85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-226.66650801357346</v>
      </c>
      <c r="F1905" s="1">
        <f t="shared" si="329"/>
        <v>-228.66854082277251</v>
      </c>
      <c r="G1905" s="1">
        <f t="shared" si="326"/>
        <v>4.9035943480813028E-100</v>
      </c>
      <c r="H1905" s="1">
        <f t="shared" si="319"/>
        <v>4.8132349573225758E-101</v>
      </c>
      <c r="I1905">
        <f t="shared" si="320"/>
        <v>60</v>
      </c>
      <c r="J1905">
        <f t="shared" si="321"/>
        <v>1818</v>
      </c>
      <c r="K1905" s="5">
        <f t="shared" si="322"/>
        <v>0</v>
      </c>
      <c r="L1905">
        <f t="shared" si="323"/>
        <v>85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-226.788204948551</v>
      </c>
      <c r="F1906" s="1">
        <f t="shared" si="329"/>
        <v>-228.79023775775005</v>
      </c>
      <c r="G1906" s="1">
        <f t="shared" si="326"/>
        <v>4.3417241623635854E-100</v>
      </c>
      <c r="H1906" s="1">
        <f t="shared" si="319"/>
        <v>4.2617184517959637E-101</v>
      </c>
      <c r="I1906">
        <f t="shared" si="320"/>
        <v>60</v>
      </c>
      <c r="J1906">
        <f t="shared" si="321"/>
        <v>1819</v>
      </c>
      <c r="K1906" s="5">
        <f t="shared" si="322"/>
        <v>0</v>
      </c>
      <c r="L1906">
        <f t="shared" si="323"/>
        <v>85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-226.90990188352853</v>
      </c>
      <c r="F1907" s="1">
        <f t="shared" si="329"/>
        <v>-228.91193469272758</v>
      </c>
      <c r="G1907" s="1">
        <f t="shared" si="326"/>
        <v>3.8442349354260314E-100</v>
      </c>
      <c r="H1907" s="1">
        <f t="shared" si="319"/>
        <v>3.7733965458609506E-101</v>
      </c>
      <c r="I1907">
        <f t="shared" si="320"/>
        <v>60</v>
      </c>
      <c r="J1907">
        <f t="shared" si="321"/>
        <v>1820</v>
      </c>
      <c r="K1907" s="5">
        <f t="shared" si="322"/>
        <v>0</v>
      </c>
      <c r="L1907">
        <f t="shared" si="323"/>
        <v>85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-227.03159881850607</v>
      </c>
      <c r="F1908" s="1">
        <f t="shared" si="329"/>
        <v>-229.03363162770512</v>
      </c>
      <c r="G1908" s="1">
        <f t="shared" si="326"/>
        <v>3.4037496824084117E-100</v>
      </c>
      <c r="H1908" s="1">
        <f t="shared" si="319"/>
        <v>3.341028191647664E-101</v>
      </c>
      <c r="I1908">
        <f t="shared" si="320"/>
        <v>60</v>
      </c>
      <c r="J1908">
        <f t="shared" si="321"/>
        <v>1821</v>
      </c>
      <c r="K1908" s="5">
        <f t="shared" si="322"/>
        <v>0</v>
      </c>
      <c r="L1908">
        <f t="shared" si="323"/>
        <v>85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-227.1532957534836</v>
      </c>
      <c r="F1909" s="1">
        <f t="shared" si="329"/>
        <v>-229.15532856268266</v>
      </c>
      <c r="G1909" s="1">
        <f t="shared" si="326"/>
        <v>3.0137366979657343E-100</v>
      </c>
      <c r="H1909" s="1">
        <f t="shared" si="319"/>
        <v>2.95820204468799E-101</v>
      </c>
      <c r="I1909">
        <f t="shared" si="320"/>
        <v>60</v>
      </c>
      <c r="J1909">
        <f t="shared" si="321"/>
        <v>1822</v>
      </c>
      <c r="K1909" s="5">
        <f t="shared" si="322"/>
        <v>0</v>
      </c>
      <c r="L1909">
        <f t="shared" si="323"/>
        <v>85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-227.27499268846114</v>
      </c>
      <c r="F1910" s="1">
        <f t="shared" si="329"/>
        <v>-229.27702549766019</v>
      </c>
      <c r="G1910" s="1">
        <f t="shared" si="326"/>
        <v>2.6684127013237853E-100</v>
      </c>
      <c r="H1910" s="1">
        <f t="shared" si="319"/>
        <v>2.6192413937341166E-101</v>
      </c>
      <c r="I1910">
        <f t="shared" si="320"/>
        <v>60</v>
      </c>
      <c r="J1910">
        <f t="shared" si="321"/>
        <v>1823</v>
      </c>
      <c r="K1910" s="5">
        <f t="shared" si="322"/>
        <v>0</v>
      </c>
      <c r="L1910">
        <f t="shared" si="323"/>
        <v>85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-227.39668962343868</v>
      </c>
      <c r="F1911" s="1">
        <f t="shared" si="329"/>
        <v>-229.39872243263773</v>
      </c>
      <c r="G1911" s="1">
        <f t="shared" si="326"/>
        <v>2.3626570792970646E-100</v>
      </c>
      <c r="H1911" s="1">
        <f t="shared" si="319"/>
        <v>2.3191199840353795E-101</v>
      </c>
      <c r="I1911">
        <f t="shared" si="320"/>
        <v>60</v>
      </c>
      <c r="J1911">
        <f t="shared" si="321"/>
        <v>1824</v>
      </c>
      <c r="K1911" s="5">
        <f t="shared" si="322"/>
        <v>0</v>
      </c>
      <c r="L1911">
        <f t="shared" si="323"/>
        <v>85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-227.51838655841621</v>
      </c>
      <c r="F1912" s="1">
        <f t="shared" si="329"/>
        <v>-229.52041936761526</v>
      </c>
      <c r="G1912" s="1">
        <f t="shared" si="326"/>
        <v>2.0919359556275766E-100</v>
      </c>
      <c r="H1912" s="1">
        <f t="shared" si="319"/>
        <v>2.053387485864627E-101</v>
      </c>
      <c r="I1912">
        <f t="shared" si="320"/>
        <v>60</v>
      </c>
      <c r="J1912">
        <f t="shared" si="321"/>
        <v>1825</v>
      </c>
      <c r="K1912" s="5">
        <f t="shared" si="322"/>
        <v>0</v>
      </c>
      <c r="L1912">
        <f t="shared" si="323"/>
        <v>85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-227.64008349339375</v>
      </c>
      <c r="F1913" s="1">
        <f t="shared" si="329"/>
        <v>-229.6421163025928</v>
      </c>
      <c r="G1913" s="1">
        <f t="shared" si="326"/>
        <v>1.8522349607118879E-100</v>
      </c>
      <c r="H1913" s="1">
        <f t="shared" si="319"/>
        <v>1.8181035031092766E-101</v>
      </c>
      <c r="I1913">
        <f t="shared" si="320"/>
        <v>60</v>
      </c>
      <c r="J1913">
        <f t="shared" si="321"/>
        <v>1826</v>
      </c>
      <c r="K1913" s="5">
        <f t="shared" si="322"/>
        <v>0</v>
      </c>
      <c r="L1913">
        <f t="shared" si="323"/>
        <v>85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-227.76178042837128</v>
      </c>
      <c r="F1914" s="1">
        <f t="shared" si="329"/>
        <v>-229.76381323757033</v>
      </c>
      <c r="G1914" s="1">
        <f t="shared" si="326"/>
        <v>1.6399997047969584E-100</v>
      </c>
      <c r="H1914" s="1">
        <f t="shared" si="319"/>
        <v>1.6097791433779803E-101</v>
      </c>
      <c r="I1914">
        <f t="shared" si="320"/>
        <v>60</v>
      </c>
      <c r="J1914">
        <f t="shared" si="321"/>
        <v>1827</v>
      </c>
      <c r="K1914" s="5">
        <f t="shared" si="322"/>
        <v>0</v>
      </c>
      <c r="L1914">
        <f t="shared" si="323"/>
        <v>85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-227.88347736334882</v>
      </c>
      <c r="F1915" s="1">
        <f t="shared" si="329"/>
        <v>-229.88551017254787</v>
      </c>
      <c r="G1915" s="1">
        <f t="shared" si="326"/>
        <v>1.4520830719556175E-100</v>
      </c>
      <c r="H1915" s="1">
        <f t="shared" si="319"/>
        <v>1.4253252831992309E-101</v>
      </c>
      <c r="I1915">
        <f t="shared" si="320"/>
        <v>60</v>
      </c>
      <c r="J1915">
        <f t="shared" si="321"/>
        <v>1828</v>
      </c>
      <c r="K1915" s="5">
        <f t="shared" si="322"/>
        <v>0</v>
      </c>
      <c r="L1915">
        <f t="shared" si="323"/>
        <v>85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-228.00517429832635</v>
      </c>
      <c r="F1916" s="1">
        <f t="shared" si="329"/>
        <v>-230.0072071075254</v>
      </c>
      <c r="G1916" s="1">
        <f t="shared" si="326"/>
        <v>1.2856985532940164E-100</v>
      </c>
      <c r="H1916" s="1">
        <f t="shared" si="319"/>
        <v>1.2620067611659661E-101</v>
      </c>
      <c r="I1916">
        <f t="shared" si="320"/>
        <v>60</v>
      </c>
      <c r="J1916">
        <f t="shared" si="321"/>
        <v>1829</v>
      </c>
      <c r="K1916" s="5">
        <f t="shared" si="322"/>
        <v>0</v>
      </c>
      <c r="L1916">
        <f t="shared" si="323"/>
        <v>85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-228.12687123330389</v>
      </c>
      <c r="F1917" s="1">
        <f t="shared" si="329"/>
        <v>-230.12890404250294</v>
      </c>
      <c r="G1917" s="1">
        <f t="shared" si="326"/>
        <v>1.1383789273957258E-100</v>
      </c>
      <c r="H1917" s="1">
        <f t="shared" si="319"/>
        <v>1.1174018197823483E-101</v>
      </c>
      <c r="I1917">
        <f t="shared" si="320"/>
        <v>60</v>
      </c>
      <c r="J1917">
        <f t="shared" si="321"/>
        <v>1830</v>
      </c>
      <c r="K1917" s="5">
        <f t="shared" si="322"/>
        <v>0</v>
      </c>
      <c r="L1917">
        <f t="shared" si="323"/>
        <v>85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-228.24856816828142</v>
      </c>
      <c r="F1918" s="1">
        <f t="shared" si="329"/>
        <v>-230.25060097748047</v>
      </c>
      <c r="G1918" s="1">
        <f t="shared" si="326"/>
        <v>1.0079396752982831E-100</v>
      </c>
      <c r="H1918" s="1">
        <f t="shared" si="319"/>
        <v>9.8936619459893879E-102</v>
      </c>
      <c r="I1918">
        <f t="shared" si="320"/>
        <v>60</v>
      </c>
      <c r="J1918">
        <f t="shared" si="321"/>
        <v>1831</v>
      </c>
      <c r="K1918" s="5">
        <f t="shared" si="322"/>
        <v>0</v>
      </c>
      <c r="L1918">
        <f t="shared" si="323"/>
        <v>85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-228.37026510325896</v>
      </c>
      <c r="F1919" s="1">
        <f t="shared" si="329"/>
        <v>-230.37229791245801</v>
      </c>
      <c r="G1919" s="1">
        <f t="shared" si="326"/>
        <v>8.9244658750367423E-101</v>
      </c>
      <c r="H1919" s="1">
        <f t="shared" si="319"/>
        <v>8.7600131813446335E-102</v>
      </c>
      <c r="I1919">
        <f t="shared" si="320"/>
        <v>60</v>
      </c>
      <c r="J1919">
        <f t="shared" si="321"/>
        <v>1832</v>
      </c>
      <c r="K1919" s="5">
        <f t="shared" si="322"/>
        <v>0</v>
      </c>
      <c r="L1919">
        <f t="shared" si="323"/>
        <v>85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-228.49196203823649</v>
      </c>
      <c r="F1920" s="1">
        <f t="shared" si="329"/>
        <v>-230.49399484743554</v>
      </c>
      <c r="G1920" s="1">
        <f t="shared" si="326"/>
        <v>7.9018708268553254E-101</v>
      </c>
      <c r="H1920" s="1">
        <f t="shared" si="319"/>
        <v>7.756261670982106E-102</v>
      </c>
      <c r="I1920">
        <f t="shared" si="320"/>
        <v>60</v>
      </c>
      <c r="J1920">
        <f t="shared" si="321"/>
        <v>1833</v>
      </c>
      <c r="K1920" s="5">
        <f t="shared" si="322"/>
        <v>0</v>
      </c>
      <c r="L1920">
        <f t="shared" si="323"/>
        <v>85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-228.61365897321403</v>
      </c>
      <c r="F1921" s="1">
        <f t="shared" si="329"/>
        <v>-230.61569178241308</v>
      </c>
      <c r="G1921" s="1">
        <f t="shared" si="326"/>
        <v>6.9964481279447096E-101</v>
      </c>
      <c r="H1921" s="1">
        <f t="shared" si="319"/>
        <v>6.8675233545152994E-102</v>
      </c>
      <c r="I1921">
        <f t="shared" si="320"/>
        <v>60</v>
      </c>
      <c r="J1921">
        <f t="shared" si="321"/>
        <v>1834</v>
      </c>
      <c r="K1921" s="5">
        <f t="shared" si="322"/>
        <v>0</v>
      </c>
      <c r="L1921">
        <f t="shared" si="323"/>
        <v>85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-228.73535590819156</v>
      </c>
      <c r="F1922" s="1">
        <f t="shared" si="329"/>
        <v>-230.73738871739062</v>
      </c>
      <c r="G1922" s="1">
        <f t="shared" si="326"/>
        <v>6.1947717799509477E-101</v>
      </c>
      <c r="H1922" s="1">
        <f t="shared" si="319"/>
        <v>6.0806196368103258E-102</v>
      </c>
      <c r="I1922">
        <f t="shared" si="320"/>
        <v>60</v>
      </c>
      <c r="J1922">
        <f t="shared" si="321"/>
        <v>1835</v>
      </c>
      <c r="K1922" s="5">
        <f t="shared" si="322"/>
        <v>0</v>
      </c>
      <c r="L1922">
        <f t="shared" si="323"/>
        <v>85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-228.8570528431691</v>
      </c>
      <c r="F1923" s="1">
        <f t="shared" si="329"/>
        <v>-230.85908565236815</v>
      </c>
      <c r="G1923" s="1">
        <f t="shared" si="326"/>
        <v>5.4849541801648165E-101</v>
      </c>
      <c r="H1923" s="1">
        <f t="shared" si="319"/>
        <v>5.3838819700923926E-102</v>
      </c>
      <c r="I1923">
        <f t="shared" si="320"/>
        <v>60</v>
      </c>
      <c r="J1923">
        <f t="shared" si="321"/>
        <v>1836</v>
      </c>
      <c r="K1923" s="5">
        <f t="shared" si="322"/>
        <v>0</v>
      </c>
      <c r="L1923">
        <f t="shared" si="323"/>
        <v>85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-228.97874977814664</v>
      </c>
      <c r="F1924" s="1">
        <f t="shared" si="329"/>
        <v>-230.98078258734569</v>
      </c>
      <c r="G1924" s="1">
        <f t="shared" si="326"/>
        <v>4.8564698470208556E-101</v>
      </c>
      <c r="H1924" s="1">
        <f t="shared" si="319"/>
        <v>4.7669788276858977E-102</v>
      </c>
      <c r="I1924">
        <f t="shared" si="320"/>
        <v>60</v>
      </c>
      <c r="J1924">
        <f t="shared" si="321"/>
        <v>1837</v>
      </c>
      <c r="K1924" s="5">
        <f t="shared" si="322"/>
        <v>0</v>
      </c>
      <c r="L1924">
        <f t="shared" si="323"/>
        <v>85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-229.10044671312417</v>
      </c>
      <c r="F1925" s="1">
        <f t="shared" si="329"/>
        <v>-231.10247952232322</v>
      </c>
      <c r="G1925" s="1">
        <f t="shared" si="326"/>
        <v>4.2999993437163153E-101</v>
      </c>
      <c r="H1925" s="1">
        <f t="shared" si="319"/>
        <v>4.2207625036801564E-102</v>
      </c>
      <c r="I1925">
        <f t="shared" si="320"/>
        <v>60</v>
      </c>
      <c r="J1925">
        <f t="shared" si="321"/>
        <v>1838</v>
      </c>
      <c r="K1925" s="5">
        <f t="shared" si="322"/>
        <v>0</v>
      </c>
      <c r="L1925">
        <f t="shared" si="323"/>
        <v>85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-229.22214364810171</v>
      </c>
      <c r="F1926" s="1">
        <f t="shared" si="329"/>
        <v>-231.22417645730076</v>
      </c>
      <c r="G1926" s="1">
        <f t="shared" si="326"/>
        <v>3.8072910855820945E-101</v>
      </c>
      <c r="H1926" s="1">
        <f t="shared" si="319"/>
        <v>3.7371334668000793E-102</v>
      </c>
      <c r="I1926">
        <f t="shared" si="320"/>
        <v>60</v>
      </c>
      <c r="J1926">
        <f t="shared" si="321"/>
        <v>1839</v>
      </c>
      <c r="K1926" s="5">
        <f t="shared" si="322"/>
        <v>0</v>
      </c>
      <c r="L1926">
        <f t="shared" si="323"/>
        <v>85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-229.34384058307924</v>
      </c>
      <c r="F1927" s="1">
        <f t="shared" si="329"/>
        <v>-231.34587339227829</v>
      </c>
      <c r="G1927" s="1">
        <f t="shared" si="326"/>
        <v>3.3710389820257598E-101</v>
      </c>
      <c r="H1927" s="1">
        <f t="shared" si="319"/>
        <v>3.3089202570625184E-102</v>
      </c>
      <c r="I1927">
        <f t="shared" si="320"/>
        <v>60</v>
      </c>
      <c r="J1927">
        <f t="shared" si="321"/>
        <v>1840</v>
      </c>
      <c r="K1927" s="5">
        <f t="shared" si="322"/>
        <v>0</v>
      </c>
      <c r="L1927">
        <f t="shared" si="323"/>
        <v>85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-229.46553751805678</v>
      </c>
      <c r="F1928" s="1">
        <f t="shared" si="329"/>
        <v>-231.46757032725583</v>
      </c>
      <c r="G1928" s="1">
        <f t="shared" si="326"/>
        <v>2.984774098668595E-101</v>
      </c>
      <c r="H1928" s="1">
        <f t="shared" si="319"/>
        <v>2.9297731442740594E-102</v>
      </c>
      <c r="I1928">
        <f t="shared" si="320"/>
        <v>60</v>
      </c>
      <c r="J1928">
        <f t="shared" si="321"/>
        <v>1841</v>
      </c>
      <c r="K1928" s="5">
        <f t="shared" si="322"/>
        <v>0</v>
      </c>
      <c r="L1928">
        <f t="shared" si="323"/>
        <v>85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-229.58723445303431</v>
      </c>
      <c r="F1929" s="1">
        <f t="shared" si="329"/>
        <v>-231.58926726223336</v>
      </c>
      <c r="G1929" s="1">
        <f t="shared" si="326"/>
        <v>2.6427687331961106E-101</v>
      </c>
      <c r="H1929" s="1">
        <f t="shared" si="319"/>
        <v>2.594069971492616E-102</v>
      </c>
      <c r="I1929">
        <f t="shared" si="320"/>
        <v>60</v>
      </c>
      <c r="J1929">
        <f t="shared" si="321"/>
        <v>1842</v>
      </c>
      <c r="K1929" s="5">
        <f t="shared" si="322"/>
        <v>0</v>
      </c>
      <c r="L1929">
        <f t="shared" si="323"/>
        <v>85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-229.70893138801185</v>
      </c>
      <c r="F1930" s="1">
        <f t="shared" si="329"/>
        <v>-231.7109641972109</v>
      </c>
      <c r="G1930" s="1">
        <f t="shared" si="326"/>
        <v>2.3399514825173529E-101</v>
      </c>
      <c r="H1930" s="1">
        <f t="shared" si="319"/>
        <v>2.2968327872590513E-102</v>
      </c>
      <c r="I1930">
        <f t="shared" si="320"/>
        <v>60</v>
      </c>
      <c r="J1930">
        <f t="shared" si="321"/>
        <v>1843</v>
      </c>
      <c r="K1930" s="5">
        <f t="shared" si="322"/>
        <v>0</v>
      </c>
      <c r="L1930">
        <f t="shared" si="323"/>
        <v>85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-229.83062832298938</v>
      </c>
      <c r="F1931" s="1">
        <f t="shared" si="329"/>
        <v>-231.83266113218843</v>
      </c>
      <c r="G1931" s="1">
        <f t="shared" si="326"/>
        <v>2.0718320418122072E-101</v>
      </c>
      <c r="H1931" s="1">
        <f t="shared" si="319"/>
        <v>2.0336540303855865E-102</v>
      </c>
      <c r="I1931">
        <f t="shared" si="320"/>
        <v>60</v>
      </c>
      <c r="J1931">
        <f t="shared" si="321"/>
        <v>1844</v>
      </c>
      <c r="K1931" s="5">
        <f t="shared" si="322"/>
        <v>0</v>
      </c>
      <c r="L1931">
        <f t="shared" si="323"/>
        <v>85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-229.95232525796692</v>
      </c>
      <c r="F1932" s="1">
        <f t="shared" si="329"/>
        <v>-231.95435806716597</v>
      </c>
      <c r="G1932" s="1">
        <f t="shared" si="326"/>
        <v>1.8344346203545298E-101</v>
      </c>
      <c r="H1932" s="1">
        <f t="shared" si="319"/>
        <v>1.8006311727372101E-102</v>
      </c>
      <c r="I1932">
        <f t="shared" si="320"/>
        <v>60</v>
      </c>
      <c r="J1932">
        <f t="shared" si="321"/>
        <v>1845</v>
      </c>
      <c r="K1932" s="5">
        <f t="shared" si="322"/>
        <v>0</v>
      </c>
      <c r="L1932">
        <f t="shared" si="323"/>
        <v>85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-230.07402219294445</v>
      </c>
      <c r="F1933" s="1">
        <f t="shared" si="329"/>
        <v>-232.07605500214351</v>
      </c>
      <c r="G1933" s="1">
        <f t="shared" si="326"/>
        <v>1.6242389867722145E-101</v>
      </c>
      <c r="H1933" s="1">
        <f t="shared" si="319"/>
        <v>1.5943088508610463E-102</v>
      </c>
      <c r="I1933">
        <f t="shared" si="320"/>
        <v>60</v>
      </c>
      <c r="J1933">
        <f t="shared" si="321"/>
        <v>1846</v>
      </c>
      <c r="K1933" s="5">
        <f t="shared" si="322"/>
        <v>0</v>
      </c>
      <c r="L1933">
        <f t="shared" si="323"/>
        <v>85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-230.19571912792199</v>
      </c>
      <c r="F1934" s="1">
        <f t="shared" si="329"/>
        <v>-232.19775193712104</v>
      </c>
      <c r="G1934" s="1">
        <f t="shared" si="326"/>
        <v>1.4381282695378757E-101</v>
      </c>
      <c r="H1934" s="1">
        <f t="shared" si="319"/>
        <v>1.4116276283665294E-102</v>
      </c>
      <c r="I1934">
        <f t="shared" si="320"/>
        <v>60</v>
      </c>
      <c r="J1934">
        <f t="shared" si="321"/>
        <v>1847</v>
      </c>
      <c r="K1934" s="5">
        <f t="shared" si="322"/>
        <v>0</v>
      </c>
      <c r="L1934">
        <f t="shared" si="323"/>
        <v>85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-230.31741606289953</v>
      </c>
      <c r="F1935" s="1">
        <f t="shared" si="329"/>
        <v>-232.31944887209858</v>
      </c>
      <c r="G1935" s="1">
        <f t="shared" si="326"/>
        <v>1.2733427386533076E-101</v>
      </c>
      <c r="H1935" s="1">
        <f t="shared" si="319"/>
        <v>1.2498786292828452E-102</v>
      </c>
      <c r="I1935">
        <f t="shared" si="320"/>
        <v>60</v>
      </c>
      <c r="J1935">
        <f t="shared" si="321"/>
        <v>1848</v>
      </c>
      <c r="K1935" s="5">
        <f t="shared" si="322"/>
        <v>0</v>
      </c>
      <c r="L1935">
        <f t="shared" si="323"/>
        <v>85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-230.43911299787706</v>
      </c>
      <c r="F1936" s="1">
        <f t="shared" si="329"/>
        <v>-232.44114580707611</v>
      </c>
      <c r="G1936" s="1">
        <f t="shared" si="326"/>
        <v>1.1274388831825985E-101</v>
      </c>
      <c r="H1936" s="1">
        <f t="shared" si="319"/>
        <v>1.1066633696775018E-102</v>
      </c>
      <c r="I1936">
        <f t="shared" si="320"/>
        <v>60</v>
      </c>
      <c r="J1936">
        <f t="shared" si="321"/>
        <v>1849</v>
      </c>
      <c r="K1936" s="5">
        <f t="shared" si="322"/>
        <v>0</v>
      </c>
      <c r="L1936">
        <f t="shared" si="323"/>
        <v>85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-230.5608099328546</v>
      </c>
      <c r="F1937" s="1">
        <f t="shared" si="329"/>
        <v>-232.56284274205365</v>
      </c>
      <c r="G1937" s="1">
        <f t="shared" si="326"/>
        <v>9.9825317781791013E-102</v>
      </c>
      <c r="H1937" s="1">
        <f t="shared" si="319"/>
        <v>9.7985819190193926E-103</v>
      </c>
      <c r="I1937">
        <f t="shared" si="320"/>
        <v>60</v>
      </c>
      <c r="J1937">
        <f t="shared" si="321"/>
        <v>1850</v>
      </c>
      <c r="K1937" s="5">
        <f t="shared" si="322"/>
        <v>0</v>
      </c>
      <c r="L1937">
        <f t="shared" si="323"/>
        <v>85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-230.68250686783213</v>
      </c>
      <c r="F1938" s="1">
        <f t="shared" si="329"/>
        <v>-232.68453967703118</v>
      </c>
      <c r="G1938" s="1">
        <f t="shared" si="326"/>
        <v>8.838700011929275E-102</v>
      </c>
      <c r="H1938" s="1">
        <f t="shared" si="319"/>
        <v>8.6758277407982864E-103</v>
      </c>
      <c r="I1938">
        <f t="shared" si="320"/>
        <v>60</v>
      </c>
      <c r="J1938">
        <f t="shared" si="321"/>
        <v>1851</v>
      </c>
      <c r="K1938" s="5">
        <f t="shared" si="322"/>
        <v>0</v>
      </c>
      <c r="L1938">
        <f t="shared" si="323"/>
        <v>85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-230.80420380280967</v>
      </c>
      <c r="F1939" s="1">
        <f t="shared" si="329"/>
        <v>-232.80623661200872</v>
      </c>
      <c r="G1939" s="1">
        <f t="shared" si="326"/>
        <v>7.8259323022289218E-102</v>
      </c>
      <c r="H1939" s="1">
        <f t="shared" si="319"/>
        <v>7.6817224788316944E-103</v>
      </c>
      <c r="I1939">
        <f t="shared" si="320"/>
        <v>60</v>
      </c>
      <c r="J1939">
        <f t="shared" si="321"/>
        <v>1852</v>
      </c>
      <c r="K1939" s="5">
        <f t="shared" si="322"/>
        <v>0</v>
      </c>
      <c r="L1939">
        <f t="shared" si="323"/>
        <v>85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-230.9259007377872</v>
      </c>
      <c r="F1940" s="1">
        <f t="shared" si="329"/>
        <v>-232.92793354698625</v>
      </c>
      <c r="G1940" s="1">
        <f t="shared" si="326"/>
        <v>6.9292108925984168E-102</v>
      </c>
      <c r="H1940" s="1">
        <f t="shared" si="319"/>
        <v>6.8015251114654566E-103</v>
      </c>
      <c r="I1940">
        <f t="shared" si="320"/>
        <v>60</v>
      </c>
      <c r="J1940">
        <f t="shared" si="321"/>
        <v>1853</v>
      </c>
      <c r="K1940" s="5">
        <f t="shared" si="322"/>
        <v>0</v>
      </c>
      <c r="L1940">
        <f t="shared" si="323"/>
        <v>85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-231.04759767276474</v>
      </c>
      <c r="F1941" s="1">
        <f t="shared" si="329"/>
        <v>-233.04963048196379</v>
      </c>
      <c r="G1941" s="1">
        <f t="shared" si="326"/>
        <v>6.135238811154752E-102</v>
      </c>
      <c r="H1941" s="1">
        <f t="shared" si="319"/>
        <v>6.0221836924432789E-103</v>
      </c>
      <c r="I1941">
        <f t="shared" si="320"/>
        <v>60</v>
      </c>
      <c r="J1941">
        <f t="shared" si="321"/>
        <v>1854</v>
      </c>
      <c r="K1941" s="5">
        <f t="shared" si="322"/>
        <v>0</v>
      </c>
      <c r="L1941">
        <f t="shared" si="323"/>
        <v>85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-231.16929460774227</v>
      </c>
      <c r="F1942" s="1">
        <f t="shared" si="329"/>
        <v>-233.17132741694132</v>
      </c>
      <c r="G1942" s="1">
        <f t="shared" si="326"/>
        <v>5.4322426973765187E-102</v>
      </c>
      <c r="H1942" s="1">
        <f t="shared" si="319"/>
        <v>5.3321418110174031E-103</v>
      </c>
      <c r="I1942">
        <f t="shared" si="320"/>
        <v>60</v>
      </c>
      <c r="J1942">
        <f t="shared" si="321"/>
        <v>1855</v>
      </c>
      <c r="K1942" s="5">
        <f t="shared" si="322"/>
        <v>0</v>
      </c>
      <c r="L1942">
        <f t="shared" si="323"/>
        <v>85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-231.29099154271981</v>
      </c>
      <c r="F1943" s="1">
        <f t="shared" si="329"/>
        <v>-233.29302435191886</v>
      </c>
      <c r="G1943" s="1">
        <f t="shared" si="326"/>
        <v>4.8097982216353844E-102</v>
      </c>
      <c r="H1943" s="1">
        <f t="shared" ref="H1943:H2006" si="330">G1943/$G$21</f>
        <v>4.7211672285049196E-103</v>
      </c>
      <c r="I1943">
        <f t="shared" ref="I1943:I2006" si="331">IF($F$11&lt;=D1943, IF(D1943&lt;=$A$15,D1943-$F$11,$C$11),0)</f>
        <v>60</v>
      </c>
      <c r="J1943">
        <f t="shared" ref="J1943:J2006" si="332">IF(D1943&lt;=$A$15,0,D1943-$A$15)</f>
        <v>1856</v>
      </c>
      <c r="K1943" s="5">
        <f t="shared" ref="K1943:K2006" si="333">IF(D1943&lt;$F$11,H1943,0)</f>
        <v>0</v>
      </c>
      <c r="L1943">
        <f t="shared" ref="L1943:L2006" si="334">IF(D1943&lt;$A$15,$D$11,$D$11*(1-$H$11))</f>
        <v>85</v>
      </c>
      <c r="M1943">
        <f t="shared" ref="M1943:M2006" si="335">IF(D1943&lt;$A$15,0,1)</f>
        <v>1</v>
      </c>
      <c r="N1943">
        <f t="shared" ref="N1943:N2006" si="336">IF(SUM(I1943:J1943)&lt;=($G$11/60*$F$11/($E$11/60)),1,0)</f>
        <v>0</v>
      </c>
    </row>
    <row r="1944" spans="4:14" x14ac:dyDescent="0.2">
      <c r="D1944">
        <f t="shared" si="327"/>
        <v>1921</v>
      </c>
      <c r="E1944" s="1">
        <f t="shared" si="328"/>
        <v>-231.41268847769734</v>
      </c>
      <c r="F1944" s="1">
        <f t="shared" si="329"/>
        <v>-233.41472128689639</v>
      </c>
      <c r="G1944" s="1">
        <f t="shared" ref="G1944:G2007" si="337">EXP(F1944)</f>
        <v>4.2586755087395967E-102</v>
      </c>
      <c r="H1944" s="1">
        <f t="shared" si="330"/>
        <v>4.1802001502386654E-103</v>
      </c>
      <c r="I1944">
        <f t="shared" si="331"/>
        <v>60</v>
      </c>
      <c r="J1944">
        <f t="shared" si="332"/>
        <v>1857</v>
      </c>
      <c r="K1944" s="5">
        <f t="shared" si="333"/>
        <v>0</v>
      </c>
      <c r="L1944">
        <f t="shared" si="334"/>
        <v>85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IF($H$11=1,IF(D1945&lt;=$A$15, E1944+LN($D$11)-LN(60/$E$11)-LN(MIN(D1945,$F$11)), E1944-LN(60/$E$11)-LN(MIN(D1945,$F$11))), IF(D1945&lt;=$A$15, E1944+LN($D$11)-LN(60/$E$11)-LN(MIN(D1945,$F$11)), E1944+LN($D$11)+LN(1-$H$11)-LN(60/$E$11)-LN(MIN(D1945,$F$11))))</f>
        <v>-231.53438541267488</v>
      </c>
      <c r="F1945" s="1">
        <f t="shared" ref="F1945:F2008" si="340">E1945-$E$21</f>
        <v>-233.53641822187393</v>
      </c>
      <c r="G1945" s="1">
        <f t="shared" si="337"/>
        <v>3.7707022733631256E-102</v>
      </c>
      <c r="H1945" s="1">
        <f t="shared" si="330"/>
        <v>3.7012188830237602E-103</v>
      </c>
      <c r="I1945">
        <f t="shared" si="331"/>
        <v>60</v>
      </c>
      <c r="J1945">
        <f t="shared" si="332"/>
        <v>1858</v>
      </c>
      <c r="K1945" s="5">
        <f t="shared" si="333"/>
        <v>0</v>
      </c>
      <c r="L1945">
        <f t="shared" si="334"/>
        <v>85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-231.65608234765241</v>
      </c>
      <c r="F1946" s="1">
        <f t="shared" si="340"/>
        <v>-233.65811515685147</v>
      </c>
      <c r="G1946" s="1">
        <f t="shared" si="337"/>
        <v>3.3386426378735483E-102</v>
      </c>
      <c r="H1946" s="1">
        <f t="shared" si="330"/>
        <v>3.2771208860105695E-103</v>
      </c>
      <c r="I1946">
        <f t="shared" si="331"/>
        <v>60</v>
      </c>
      <c r="J1946">
        <f t="shared" si="332"/>
        <v>1859</v>
      </c>
      <c r="K1946" s="5">
        <f t="shared" si="333"/>
        <v>0</v>
      </c>
      <c r="L1946">
        <f t="shared" si="334"/>
        <v>85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-231.77777928262995</v>
      </c>
      <c r="F1947" s="1">
        <f t="shared" si="340"/>
        <v>-233.779812091829</v>
      </c>
      <c r="G1947" s="1">
        <f t="shared" si="337"/>
        <v>2.9560898356171581E-102</v>
      </c>
      <c r="H1947" s="1">
        <f t="shared" si="330"/>
        <v>2.9016174511551467E-103</v>
      </c>
      <c r="I1947">
        <f t="shared" si="331"/>
        <v>60</v>
      </c>
      <c r="J1947">
        <f t="shared" si="332"/>
        <v>1860</v>
      </c>
      <c r="K1947" s="5">
        <f t="shared" si="333"/>
        <v>0</v>
      </c>
      <c r="L1947">
        <f t="shared" si="334"/>
        <v>85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-231.89947621760749</v>
      </c>
      <c r="F1948" s="1">
        <f t="shared" si="340"/>
        <v>-233.90150902680654</v>
      </c>
      <c r="G1948" s="1">
        <f t="shared" si="337"/>
        <v>2.6173712086193176E-102</v>
      </c>
      <c r="H1948" s="1">
        <f t="shared" si="330"/>
        <v>2.5691404515435791E-103</v>
      </c>
      <c r="I1948">
        <f t="shared" si="331"/>
        <v>60</v>
      </c>
      <c r="J1948">
        <f t="shared" si="332"/>
        <v>1861</v>
      </c>
      <c r="K1948" s="5">
        <f t="shared" si="333"/>
        <v>0</v>
      </c>
      <c r="L1948">
        <f t="shared" si="334"/>
        <v>85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-232.02117315258502</v>
      </c>
      <c r="F1949" s="1">
        <f t="shared" si="340"/>
        <v>-234.02320596178407</v>
      </c>
      <c r="G1949" s="1">
        <f t="shared" si="337"/>
        <v>2.3174640909649848E-102</v>
      </c>
      <c r="H1949" s="1">
        <f t="shared" si="330"/>
        <v>2.2747597748041754E-103</v>
      </c>
      <c r="I1949">
        <f t="shared" si="331"/>
        <v>60</v>
      </c>
      <c r="J1949">
        <f t="shared" si="332"/>
        <v>1862</v>
      </c>
      <c r="K1949" s="5">
        <f t="shared" si="333"/>
        <v>0</v>
      </c>
      <c r="L1949">
        <f t="shared" si="334"/>
        <v>85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-232.14287008756256</v>
      </c>
      <c r="F1950" s="1">
        <f t="shared" si="340"/>
        <v>-234.14490289676161</v>
      </c>
      <c r="G1950" s="1">
        <f t="shared" si="337"/>
        <v>2.0519213305418815E-102</v>
      </c>
      <c r="H1950" s="1">
        <f t="shared" si="330"/>
        <v>2.0141102172744985E-103</v>
      </c>
      <c r="I1950">
        <f t="shared" si="331"/>
        <v>60</v>
      </c>
      <c r="J1950">
        <f t="shared" si="332"/>
        <v>1863</v>
      </c>
      <c r="K1950" s="5">
        <f t="shared" si="333"/>
        <v>0</v>
      </c>
      <c r="L1950">
        <f t="shared" si="334"/>
        <v>85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-232.26456702254009</v>
      </c>
      <c r="F1951" s="1">
        <f t="shared" si="340"/>
        <v>-234.26659983173914</v>
      </c>
      <c r="G1951" s="1">
        <f t="shared" si="337"/>
        <v>1.8168053447505957E-102</v>
      </c>
      <c r="H1951" s="1">
        <f t="shared" si="330"/>
        <v>1.7833267548784342E-103</v>
      </c>
      <c r="I1951">
        <f t="shared" si="331"/>
        <v>60</v>
      </c>
      <c r="J1951">
        <f t="shared" si="332"/>
        <v>1864</v>
      </c>
      <c r="K1951" s="5">
        <f t="shared" si="333"/>
        <v>0</v>
      </c>
      <c r="L1951">
        <f t="shared" si="334"/>
        <v>85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-232.38626395751763</v>
      </c>
      <c r="F1952" s="1">
        <f t="shared" si="340"/>
        <v>-234.38829676671668</v>
      </c>
      <c r="G1952" s="1">
        <f t="shared" si="337"/>
        <v>1.6086297323312316E-102</v>
      </c>
      <c r="H1952" s="1">
        <f t="shared" si="330"/>
        <v>1.5789872308819224E-103</v>
      </c>
      <c r="I1952">
        <f t="shared" si="331"/>
        <v>60</v>
      </c>
      <c r="J1952">
        <f t="shared" si="332"/>
        <v>1865</v>
      </c>
      <c r="K1952" s="5">
        <f t="shared" si="333"/>
        <v>0</v>
      </c>
      <c r="L1952">
        <f t="shared" si="334"/>
        <v>85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-232.50796089249516</v>
      </c>
      <c r="F1953" s="1">
        <f t="shared" si="340"/>
        <v>-234.50999370169421</v>
      </c>
      <c r="G1953" s="1">
        <f t="shared" si="337"/>
        <v>1.4243075755015889E-102</v>
      </c>
      <c r="H1953" s="1">
        <f t="shared" si="330"/>
        <v>1.3980616106766802E-103</v>
      </c>
      <c r="I1953">
        <f t="shared" si="331"/>
        <v>60</v>
      </c>
      <c r="J1953">
        <f t="shared" si="332"/>
        <v>1866</v>
      </c>
      <c r="K1953" s="5">
        <f t="shared" si="333"/>
        <v>0</v>
      </c>
      <c r="L1953">
        <f t="shared" si="334"/>
        <v>85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-232.6296578274727</v>
      </c>
      <c r="F1954" s="1">
        <f t="shared" si="340"/>
        <v>-234.63169063667175</v>
      </c>
      <c r="G1954" s="1">
        <f t="shared" si="337"/>
        <v>1.2611056658086789E-102</v>
      </c>
      <c r="H1954" s="1">
        <f t="shared" si="330"/>
        <v>1.2378670511199579E-103</v>
      </c>
      <c r="I1954">
        <f t="shared" si="331"/>
        <v>60</v>
      </c>
      <c r="J1954">
        <f t="shared" si="332"/>
        <v>1867</v>
      </c>
      <c r="K1954" s="5">
        <f t="shared" si="333"/>
        <v>0</v>
      </c>
      <c r="L1954">
        <f t="shared" si="334"/>
        <v>85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-232.75135476245023</v>
      </c>
      <c r="F1955" s="1">
        <f t="shared" si="340"/>
        <v>-234.75338757164928</v>
      </c>
      <c r="G1955" s="1">
        <f t="shared" si="337"/>
        <v>1.1166039749347502E-102</v>
      </c>
      <c r="H1955" s="1">
        <f t="shared" si="330"/>
        <v>1.0960281181791123E-103</v>
      </c>
      <c r="I1955">
        <f t="shared" si="331"/>
        <v>60</v>
      </c>
      <c r="J1955">
        <f t="shared" si="332"/>
        <v>1868</v>
      </c>
      <c r="K1955" s="5">
        <f t="shared" si="333"/>
        <v>0</v>
      </c>
      <c r="L1955">
        <f t="shared" si="334"/>
        <v>85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-232.87305169742777</v>
      </c>
      <c r="F1956" s="1">
        <f t="shared" si="340"/>
        <v>-234.87508450662682</v>
      </c>
      <c r="G1956" s="1">
        <f t="shared" si="337"/>
        <v>9.8865976947346126E-103</v>
      </c>
      <c r="H1956" s="1">
        <f t="shared" si="330"/>
        <v>9.7044156297107373E-104</v>
      </c>
      <c r="I1956">
        <f t="shared" si="331"/>
        <v>60</v>
      </c>
      <c r="J1956">
        <f t="shared" si="332"/>
        <v>1869</v>
      </c>
      <c r="K1956" s="5">
        <f t="shared" si="333"/>
        <v>0</v>
      </c>
      <c r="L1956">
        <f t="shared" si="334"/>
        <v>85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-232.9947486324053</v>
      </c>
      <c r="F1957" s="1">
        <f t="shared" si="340"/>
        <v>-234.99678144160436</v>
      </c>
      <c r="G1957" s="1">
        <f t="shared" si="337"/>
        <v>8.7537583755461356E-103</v>
      </c>
      <c r="H1957" s="1">
        <f t="shared" si="330"/>
        <v>8.5924513388062491E-104</v>
      </c>
      <c r="I1957">
        <f t="shared" si="331"/>
        <v>60</v>
      </c>
      <c r="J1957">
        <f t="shared" si="332"/>
        <v>1870</v>
      </c>
      <c r="K1957" s="5">
        <f t="shared" si="333"/>
        <v>0</v>
      </c>
      <c r="L1957">
        <f t="shared" si="334"/>
        <v>85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-233.11644556738284</v>
      </c>
      <c r="F1958" s="1">
        <f t="shared" si="340"/>
        <v>-235.11847837658189</v>
      </c>
      <c r="G1958" s="1">
        <f t="shared" si="337"/>
        <v>7.7507235616813524E-103</v>
      </c>
      <c r="H1958" s="1">
        <f t="shared" si="330"/>
        <v>7.6078996229012468E-104</v>
      </c>
      <c r="I1958">
        <f t="shared" si="331"/>
        <v>60</v>
      </c>
      <c r="J1958">
        <f t="shared" si="332"/>
        <v>1871</v>
      </c>
      <c r="K1958" s="5">
        <f t="shared" si="333"/>
        <v>0</v>
      </c>
      <c r="L1958">
        <f t="shared" si="334"/>
        <v>85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-233.23814250236038</v>
      </c>
      <c r="F1959" s="1">
        <f t="shared" si="340"/>
        <v>-235.24017531155943</v>
      </c>
      <c r="G1959" s="1">
        <f t="shared" si="337"/>
        <v>6.8626198202385904E-103</v>
      </c>
      <c r="H1959" s="1">
        <f t="shared" si="330"/>
        <v>6.7361611244437066E-104</v>
      </c>
      <c r="I1959">
        <f t="shared" si="331"/>
        <v>60</v>
      </c>
      <c r="J1959">
        <f t="shared" si="332"/>
        <v>1872</v>
      </c>
      <c r="K1959" s="5">
        <f t="shared" si="333"/>
        <v>0</v>
      </c>
      <c r="L1959">
        <f t="shared" si="334"/>
        <v>85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-233.35983943733791</v>
      </c>
      <c r="F1960" s="1">
        <f t="shared" si="340"/>
        <v>-235.36187224653696</v>
      </c>
      <c r="G1960" s="1">
        <f t="shared" si="337"/>
        <v>6.0762779658361566E-103</v>
      </c>
      <c r="H1960" s="1">
        <f t="shared" si="330"/>
        <v>5.9643093289344383E-104</v>
      </c>
      <c r="I1960">
        <f t="shared" si="331"/>
        <v>60</v>
      </c>
      <c r="J1960">
        <f t="shared" si="332"/>
        <v>1873</v>
      </c>
      <c r="K1960" s="5">
        <f t="shared" si="333"/>
        <v>0</v>
      </c>
      <c r="L1960">
        <f t="shared" si="334"/>
        <v>85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-233.48153637231545</v>
      </c>
      <c r="F1961" s="1">
        <f t="shared" si="340"/>
        <v>-235.4835691815145</v>
      </c>
      <c r="G1961" s="1">
        <f t="shared" si="337"/>
        <v>5.3800377822506797E-103</v>
      </c>
      <c r="H1961" s="1">
        <f t="shared" si="330"/>
        <v>5.2808988849939517E-104</v>
      </c>
      <c r="I1961">
        <f t="shared" si="331"/>
        <v>60</v>
      </c>
      <c r="J1961">
        <f t="shared" si="332"/>
        <v>1874</v>
      </c>
      <c r="K1961" s="5">
        <f t="shared" si="333"/>
        <v>0</v>
      </c>
      <c r="L1961">
        <f t="shared" si="334"/>
        <v>85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-233.60323330729298</v>
      </c>
      <c r="F1962" s="1">
        <f t="shared" si="340"/>
        <v>-235.60526611649203</v>
      </c>
      <c r="G1962" s="1">
        <f t="shared" si="337"/>
        <v>4.7635751197010486E-103</v>
      </c>
      <c r="H1962" s="1">
        <f t="shared" si="330"/>
        <v>4.675795887754989E-104</v>
      </c>
      <c r="I1962">
        <f t="shared" si="331"/>
        <v>60</v>
      </c>
      <c r="J1962">
        <f t="shared" si="332"/>
        <v>1875</v>
      </c>
      <c r="K1962" s="5">
        <f t="shared" si="333"/>
        <v>0</v>
      </c>
      <c r="L1962">
        <f t="shared" si="334"/>
        <v>85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-233.72493024227052</v>
      </c>
      <c r="F1963" s="1">
        <f t="shared" si="340"/>
        <v>-235.72696305146957</v>
      </c>
      <c r="G1963" s="1">
        <f t="shared" si="337"/>
        <v>4.217748803901904E-103</v>
      </c>
      <c r="H1963" s="1">
        <f t="shared" si="330"/>
        <v>4.1400276089496646E-104</v>
      </c>
      <c r="I1963">
        <f t="shared" si="331"/>
        <v>60</v>
      </c>
      <c r="J1963">
        <f t="shared" si="332"/>
        <v>1876</v>
      </c>
      <c r="K1963" s="5">
        <f t="shared" si="333"/>
        <v>0</v>
      </c>
      <c r="L1963">
        <f t="shared" si="334"/>
        <v>85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-233.84662717724805</v>
      </c>
      <c r="F1964" s="1">
        <f t="shared" si="340"/>
        <v>-235.8486599864471</v>
      </c>
      <c r="G1964" s="1">
        <f t="shared" si="337"/>
        <v>3.7344650867880859E-103</v>
      </c>
      <c r="H1964" s="1">
        <f t="shared" si="330"/>
        <v>3.6656494454241248E-104</v>
      </c>
      <c r="I1964">
        <f t="shared" si="331"/>
        <v>60</v>
      </c>
      <c r="J1964">
        <f t="shared" si="332"/>
        <v>1877</v>
      </c>
      <c r="K1964" s="5">
        <f t="shared" si="333"/>
        <v>0</v>
      </c>
      <c r="L1964">
        <f t="shared" si="334"/>
        <v>85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-233.96832411222559</v>
      </c>
      <c r="F1965" s="1">
        <f t="shared" si="340"/>
        <v>-235.97035692142464</v>
      </c>
      <c r="G1965" s="1">
        <f t="shared" si="337"/>
        <v>3.3065576289268993E-103</v>
      </c>
      <c r="H1965" s="1">
        <f t="shared" si="330"/>
        <v>3.2456271131358936E-104</v>
      </c>
      <c r="I1965">
        <f t="shared" si="331"/>
        <v>60</v>
      </c>
      <c r="J1965">
        <f t="shared" si="332"/>
        <v>1878</v>
      </c>
      <c r="K1965" s="5">
        <f t="shared" si="333"/>
        <v>0</v>
      </c>
      <c r="L1965">
        <f t="shared" si="334"/>
        <v>85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-234.09002104720312</v>
      </c>
      <c r="F1966" s="1">
        <f t="shared" si="340"/>
        <v>-236.09205385640217</v>
      </c>
      <c r="G1966" s="1">
        <f t="shared" si="337"/>
        <v>2.927681233945646E-103</v>
      </c>
      <c r="H1966" s="1">
        <f t="shared" si="330"/>
        <v>2.8737323397556939E-104</v>
      </c>
      <c r="I1966">
        <f t="shared" si="331"/>
        <v>60</v>
      </c>
      <c r="J1966">
        <f t="shared" si="332"/>
        <v>1879</v>
      </c>
      <c r="K1966" s="5">
        <f t="shared" si="333"/>
        <v>0</v>
      </c>
      <c r="L1966">
        <f t="shared" si="334"/>
        <v>85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-234.21171798218066</v>
      </c>
      <c r="F1967" s="1">
        <f t="shared" si="340"/>
        <v>-236.21375079137971</v>
      </c>
      <c r="G1967" s="1">
        <f t="shared" si="337"/>
        <v>2.5922177592226669E-103</v>
      </c>
      <c r="H1967" s="1">
        <f t="shared" si="330"/>
        <v>2.5444505091586473E-104</v>
      </c>
      <c r="I1967">
        <f t="shared" si="331"/>
        <v>60</v>
      </c>
      <c r="J1967">
        <f t="shared" si="332"/>
        <v>1880</v>
      </c>
      <c r="K1967" s="5">
        <f t="shared" si="333"/>
        <v>0</v>
      </c>
      <c r="L1967">
        <f t="shared" si="334"/>
        <v>85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-234.33341491715819</v>
      </c>
      <c r="F1968" s="1">
        <f t="shared" si="340"/>
        <v>-236.33544772635724</v>
      </c>
      <c r="G1968" s="1">
        <f t="shared" si="337"/>
        <v>2.2951928076450339E-103</v>
      </c>
      <c r="H1968" s="1">
        <f t="shared" si="330"/>
        <v>2.2528988883175172E-104</v>
      </c>
      <c r="I1968">
        <f t="shared" si="331"/>
        <v>60</v>
      </c>
      <c r="J1968">
        <f t="shared" si="332"/>
        <v>1881</v>
      </c>
      <c r="K1968" s="5">
        <f t="shared" si="333"/>
        <v>0</v>
      </c>
      <c r="L1968">
        <f t="shared" si="334"/>
        <v>85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-234.45511185213573</v>
      </c>
      <c r="F1969" s="1">
        <f t="shared" si="340"/>
        <v>-236.45714466133478</v>
      </c>
      <c r="G1969" s="1">
        <f t="shared" si="337"/>
        <v>2.0322019651023421E-103</v>
      </c>
      <c r="H1969" s="1">
        <f t="shared" si="330"/>
        <v>1.9947542240311039E-104</v>
      </c>
      <c r="I1969">
        <f t="shared" si="331"/>
        <v>60</v>
      </c>
      <c r="J1969">
        <f t="shared" si="332"/>
        <v>1882</v>
      </c>
      <c r="K1969" s="5">
        <f t="shared" si="333"/>
        <v>0</v>
      </c>
      <c r="L1969">
        <f t="shared" si="334"/>
        <v>85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-234.57680878711326</v>
      </c>
      <c r="F1970" s="1">
        <f t="shared" si="340"/>
        <v>-236.57884159631232</v>
      </c>
      <c r="G1970" s="1">
        <f t="shared" si="337"/>
        <v>1.7993454899343373E-103</v>
      </c>
      <c r="H1970" s="1">
        <f t="shared" si="330"/>
        <v>1.7661886358608456E-104</v>
      </c>
      <c r="I1970">
        <f t="shared" si="331"/>
        <v>60</v>
      </c>
      <c r="J1970">
        <f t="shared" si="332"/>
        <v>1883</v>
      </c>
      <c r="K1970" s="5">
        <f t="shared" si="333"/>
        <v>0</v>
      </c>
      <c r="L1970">
        <f t="shared" si="334"/>
        <v>85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-234.6985057220908</v>
      </c>
      <c r="F1971" s="1">
        <f t="shared" si="340"/>
        <v>-236.70053853128985</v>
      </c>
      <c r="G1971" s="1">
        <f t="shared" si="337"/>
        <v>1.593170485879336E-103</v>
      </c>
      <c r="H1971" s="1">
        <f t="shared" si="330"/>
        <v>1.5638128546684324E-104</v>
      </c>
      <c r="I1971">
        <f t="shared" si="331"/>
        <v>60</v>
      </c>
      <c r="J1971">
        <f t="shared" si="332"/>
        <v>1884</v>
      </c>
      <c r="K1971" s="5">
        <f t="shared" si="333"/>
        <v>0</v>
      </c>
      <c r="L1971">
        <f t="shared" si="334"/>
        <v>85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-234.82020265706834</v>
      </c>
      <c r="F1972" s="1">
        <f t="shared" si="340"/>
        <v>-236.82223546626739</v>
      </c>
      <c r="G1972" s="1">
        <f t="shared" si="337"/>
        <v>1.4106197010389735E-103</v>
      </c>
      <c r="H1972" s="1">
        <f t="shared" si="330"/>
        <v>1.3846259650709864E-104</v>
      </c>
      <c r="I1972">
        <f t="shared" si="331"/>
        <v>60</v>
      </c>
      <c r="J1972">
        <f t="shared" si="332"/>
        <v>1885</v>
      </c>
      <c r="K1972" s="5">
        <f t="shared" si="333"/>
        <v>0</v>
      </c>
      <c r="L1972">
        <f t="shared" si="334"/>
        <v>85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-234.94189959204587</v>
      </c>
      <c r="F1973" s="1">
        <f t="shared" si="340"/>
        <v>-236.94393240124492</v>
      </c>
      <c r="G1973" s="1">
        <f t="shared" si="337"/>
        <v>1.2489861936282382E-103</v>
      </c>
      <c r="H1973" s="1">
        <f t="shared" si="330"/>
        <v>1.22597090657325E-104</v>
      </c>
      <c r="I1973">
        <f t="shared" si="331"/>
        <v>60</v>
      </c>
      <c r="J1973">
        <f t="shared" si="332"/>
        <v>1886</v>
      </c>
      <c r="K1973" s="5">
        <f t="shared" si="333"/>
        <v>0</v>
      </c>
      <c r="L1973">
        <f t="shared" si="334"/>
        <v>85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-235.06359652702341</v>
      </c>
      <c r="F1974" s="1">
        <f t="shared" si="340"/>
        <v>-237.06562933622246</v>
      </c>
      <c r="G1974" s="1">
        <f t="shared" si="337"/>
        <v>1.1058731922749853E-103</v>
      </c>
      <c r="H1974" s="1">
        <f t="shared" si="330"/>
        <v>1.0854950735283814E-104</v>
      </c>
      <c r="I1974">
        <f t="shared" si="331"/>
        <v>60</v>
      </c>
      <c r="J1974">
        <f t="shared" si="332"/>
        <v>1887</v>
      </c>
      <c r="K1974" s="5">
        <f t="shared" si="333"/>
        <v>0</v>
      </c>
      <c r="L1974">
        <f t="shared" si="334"/>
        <v>85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-235.18529346200094</v>
      </c>
      <c r="F1975" s="1">
        <f t="shared" si="340"/>
        <v>-237.18732627119999</v>
      </c>
      <c r="G1975" s="1">
        <f t="shared" si="337"/>
        <v>9.7915855566012788E-104</v>
      </c>
      <c r="H1975" s="1">
        <f t="shared" si="330"/>
        <v>9.6111542968657273E-105</v>
      </c>
      <c r="I1975">
        <f t="shared" si="331"/>
        <v>60</v>
      </c>
      <c r="J1975">
        <f t="shared" si="332"/>
        <v>1888</v>
      </c>
      <c r="K1975" s="5">
        <f t="shared" si="333"/>
        <v>0</v>
      </c>
      <c r="L1975">
        <f t="shared" si="334"/>
        <v>85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-235.30699039697848</v>
      </c>
      <c r="F1976" s="1">
        <f t="shared" si="340"/>
        <v>-237.30902320617753</v>
      </c>
      <c r="G1976" s="1">
        <f t="shared" si="337"/>
        <v>8.6696330449072464E-104</v>
      </c>
      <c r="H1976" s="1">
        <f t="shared" si="330"/>
        <v>8.5098762003497288E-105</v>
      </c>
      <c r="I1976">
        <f t="shared" si="331"/>
        <v>60</v>
      </c>
      <c r="J1976">
        <f t="shared" si="332"/>
        <v>1889</v>
      </c>
      <c r="K1976" s="5">
        <f t="shared" si="333"/>
        <v>0</v>
      </c>
      <c r="L1976">
        <f t="shared" si="334"/>
        <v>85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-235.42868733195601</v>
      </c>
      <c r="F1977" s="1">
        <f t="shared" si="340"/>
        <v>-237.43072014115506</v>
      </c>
      <c r="G1977" s="1">
        <f t="shared" si="337"/>
        <v>7.6762375918448383E-104</v>
      </c>
      <c r="H1977" s="1">
        <f t="shared" si="330"/>
        <v>7.5347862190595384E-105</v>
      </c>
      <c r="I1977">
        <f t="shared" si="331"/>
        <v>60</v>
      </c>
      <c r="J1977">
        <f t="shared" si="332"/>
        <v>1890</v>
      </c>
      <c r="K1977" s="5">
        <f t="shared" si="333"/>
        <v>0</v>
      </c>
      <c r="L1977">
        <f t="shared" si="334"/>
        <v>85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-235.55038426693355</v>
      </c>
      <c r="F1978" s="1">
        <f t="shared" si="340"/>
        <v>-237.5524170761326</v>
      </c>
      <c r="G1978" s="1">
        <f t="shared" si="337"/>
        <v>6.7966687011125113E-104</v>
      </c>
      <c r="H1978" s="1">
        <f t="shared" si="330"/>
        <v>6.6714252981255294E-105</v>
      </c>
      <c r="I1978">
        <f t="shared" si="331"/>
        <v>60</v>
      </c>
      <c r="J1978">
        <f t="shared" si="332"/>
        <v>1891</v>
      </c>
      <c r="K1978" s="5">
        <f t="shared" si="333"/>
        <v>0</v>
      </c>
      <c r="L1978">
        <f t="shared" si="334"/>
        <v>85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-235.67208120191108</v>
      </c>
      <c r="F1979" s="1">
        <f t="shared" si="340"/>
        <v>-237.67411401111013</v>
      </c>
      <c r="G1979" s="1">
        <f t="shared" si="337"/>
        <v>6.0178837457766082E-104</v>
      </c>
      <c r="H1979" s="1">
        <f t="shared" si="330"/>
        <v>5.9069911493818863E-105</v>
      </c>
      <c r="I1979">
        <f t="shared" si="331"/>
        <v>60</v>
      </c>
      <c r="J1979">
        <f t="shared" si="332"/>
        <v>1892</v>
      </c>
      <c r="K1979" s="5">
        <f t="shared" si="333"/>
        <v>0</v>
      </c>
      <c r="L1979">
        <f t="shared" si="334"/>
        <v>85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-235.79377813688862</v>
      </c>
      <c r="F1980" s="1">
        <f t="shared" si="340"/>
        <v>-237.79581094608767</v>
      </c>
      <c r="G1980" s="1">
        <f t="shared" si="337"/>
        <v>5.3283345665729555E-104</v>
      </c>
      <c r="H1980" s="1">
        <f t="shared" si="330"/>
        <v>5.2301484135151305E-105</v>
      </c>
      <c r="I1980">
        <f t="shared" si="331"/>
        <v>60</v>
      </c>
      <c r="J1980">
        <f t="shared" si="332"/>
        <v>1893</v>
      </c>
      <c r="K1980" s="5">
        <f t="shared" si="333"/>
        <v>0</v>
      </c>
      <c r="L1980">
        <f t="shared" si="334"/>
        <v>85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-235.91547507186615</v>
      </c>
      <c r="F1981" s="1">
        <f t="shared" si="340"/>
        <v>-237.91750788106521</v>
      </c>
      <c r="G1981" s="1">
        <f t="shared" si="337"/>
        <v>4.7177962308197307E-104</v>
      </c>
      <c r="H1981" s="1">
        <f t="shared" si="330"/>
        <v>4.6308605744664492E-105</v>
      </c>
      <c r="I1981">
        <f t="shared" si="331"/>
        <v>60</v>
      </c>
      <c r="J1981">
        <f t="shared" si="332"/>
        <v>1894</v>
      </c>
      <c r="K1981" s="5">
        <f t="shared" si="333"/>
        <v>0</v>
      </c>
      <c r="L1981">
        <f t="shared" si="334"/>
        <v>85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-236.03717200684369</v>
      </c>
      <c r="F1982" s="1">
        <f t="shared" si="340"/>
        <v>-238.03920481604274</v>
      </c>
      <c r="G1982" s="1">
        <f t="shared" si="337"/>
        <v>4.1772154127049045E-104</v>
      </c>
      <c r="H1982" s="1">
        <f t="shared" si="330"/>
        <v>4.1002411336421044E-105</v>
      </c>
      <c r="I1982">
        <f t="shared" si="331"/>
        <v>60</v>
      </c>
      <c r="J1982">
        <f t="shared" si="332"/>
        <v>1895</v>
      </c>
      <c r="K1982" s="5">
        <f t="shared" si="333"/>
        <v>0</v>
      </c>
      <c r="L1982">
        <f t="shared" si="334"/>
        <v>85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-236.15886894182123</v>
      </c>
      <c r="F1983" s="1">
        <f t="shared" si="340"/>
        <v>-238.16090175102028</v>
      </c>
      <c r="G1983" s="1">
        <f t="shared" si="337"/>
        <v>3.6985761466657431E-104</v>
      </c>
      <c r="H1983" s="1">
        <f t="shared" si="330"/>
        <v>3.6304218370788898E-105</v>
      </c>
      <c r="I1983">
        <f t="shared" si="331"/>
        <v>60</v>
      </c>
      <c r="J1983">
        <f t="shared" si="332"/>
        <v>1896</v>
      </c>
      <c r="K1983" s="5">
        <f t="shared" si="333"/>
        <v>0</v>
      </c>
      <c r="L1983">
        <f t="shared" si="334"/>
        <v>85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-236.28056587679876</v>
      </c>
      <c r="F1984" s="1">
        <f t="shared" si="340"/>
        <v>-238.28259868599781</v>
      </c>
      <c r="G1984" s="1">
        <f t="shared" si="337"/>
        <v>3.2747809631935754E-104</v>
      </c>
      <c r="H1984" s="1">
        <f t="shared" si="330"/>
        <v>3.2144360015802169E-105</v>
      </c>
      <c r="I1984">
        <f t="shared" si="331"/>
        <v>60</v>
      </c>
      <c r="J1984">
        <f t="shared" si="332"/>
        <v>1897</v>
      </c>
      <c r="K1984" s="5">
        <f t="shared" si="333"/>
        <v>0</v>
      </c>
      <c r="L1984">
        <f t="shared" si="334"/>
        <v>85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-236.4022628117763</v>
      </c>
      <c r="F1985" s="1">
        <f t="shared" si="340"/>
        <v>-238.40429562097535</v>
      </c>
      <c r="G1985" s="1">
        <f t="shared" si="337"/>
        <v>2.8995456444942662E-104</v>
      </c>
      <c r="H1985" s="1">
        <f t="shared" si="330"/>
        <v>2.846115209732439E-105</v>
      </c>
      <c r="I1985">
        <f t="shared" si="331"/>
        <v>60</v>
      </c>
      <c r="J1985">
        <f t="shared" si="332"/>
        <v>1898</v>
      </c>
      <c r="K1985" s="5">
        <f t="shared" si="333"/>
        <v>0</v>
      </c>
      <c r="L1985">
        <f t="shared" si="334"/>
        <v>85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-236.52395974675383</v>
      </c>
      <c r="F1986" s="1">
        <f t="shared" si="340"/>
        <v>-238.52599255595288</v>
      </c>
      <c r="G1986" s="1">
        <f t="shared" si="337"/>
        <v>2.5673060393959246E-104</v>
      </c>
      <c r="H1986" s="1">
        <f t="shared" si="330"/>
        <v>2.5199978419505576E-105</v>
      </c>
      <c r="I1986">
        <f t="shared" si="331"/>
        <v>60</v>
      </c>
      <c r="J1986">
        <f t="shared" si="332"/>
        <v>1899</v>
      </c>
      <c r="K1986" s="5">
        <f t="shared" si="333"/>
        <v>0</v>
      </c>
      <c r="L1986">
        <f t="shared" si="334"/>
        <v>85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-236.64565668173137</v>
      </c>
      <c r="F1987" s="1">
        <f t="shared" si="340"/>
        <v>-238.64768949093042</v>
      </c>
      <c r="G1987" s="1">
        <f t="shared" si="337"/>
        <v>2.273135555715106E-104</v>
      </c>
      <c r="H1987" s="1">
        <f t="shared" si="330"/>
        <v>2.2312480892270211E-105</v>
      </c>
      <c r="I1987">
        <f t="shared" si="331"/>
        <v>60</v>
      </c>
      <c r="J1987">
        <f t="shared" si="332"/>
        <v>1900</v>
      </c>
      <c r="K1987" s="5">
        <f t="shared" si="333"/>
        <v>0</v>
      </c>
      <c r="L1987">
        <f t="shared" si="334"/>
        <v>85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-236.7673536167089</v>
      </c>
      <c r="F1988" s="1">
        <f t="shared" si="340"/>
        <v>-238.76938642590795</v>
      </c>
      <c r="G1988" s="1">
        <f t="shared" si="337"/>
        <v>2.0126721066227187E-104</v>
      </c>
      <c r="H1988" s="1">
        <f t="shared" si="330"/>
        <v>1.9755842456697275E-105</v>
      </c>
      <c r="I1988">
        <f t="shared" si="331"/>
        <v>60</v>
      </c>
      <c r="J1988">
        <f t="shared" si="332"/>
        <v>1901</v>
      </c>
      <c r="K1988" s="5">
        <f t="shared" si="333"/>
        <v>0</v>
      </c>
      <c r="L1988">
        <f t="shared" si="334"/>
        <v>85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-236.88905055168644</v>
      </c>
      <c r="F1989" s="1">
        <f t="shared" si="340"/>
        <v>-238.89108336088549</v>
      </c>
      <c r="G1989" s="1">
        <f t="shared" si="337"/>
        <v>1.7820534277388377E-104</v>
      </c>
      <c r="H1989" s="1">
        <f t="shared" si="330"/>
        <v>1.749215217520044E-105</v>
      </c>
      <c r="I1989">
        <f t="shared" si="331"/>
        <v>60</v>
      </c>
      <c r="J1989">
        <f t="shared" si="332"/>
        <v>1902</v>
      </c>
      <c r="K1989" s="5">
        <f t="shared" si="333"/>
        <v>0</v>
      </c>
      <c r="L1989">
        <f t="shared" si="334"/>
        <v>85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-237.01074748666397</v>
      </c>
      <c r="F1990" s="1">
        <f t="shared" si="340"/>
        <v>-239.01278029586302</v>
      </c>
      <c r="G1990" s="1">
        <f t="shared" si="337"/>
        <v>1.5778598058104045E-104</v>
      </c>
      <c r="H1990" s="1">
        <f t="shared" si="330"/>
        <v>1.5487843071791815E-105</v>
      </c>
      <c r="I1990">
        <f t="shared" si="331"/>
        <v>60</v>
      </c>
      <c r="J1990">
        <f t="shared" si="332"/>
        <v>1903</v>
      </c>
      <c r="K1990" s="5">
        <f t="shared" si="333"/>
        <v>0</v>
      </c>
      <c r="L1990">
        <f t="shared" si="334"/>
        <v>85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-237.13244442164151</v>
      </c>
      <c r="F1991" s="1">
        <f t="shared" si="340"/>
        <v>-239.13447723084056</v>
      </c>
      <c r="G1991" s="1">
        <f t="shared" si="337"/>
        <v>1.3970633697279405E-104</v>
      </c>
      <c r="H1991" s="1">
        <f t="shared" si="330"/>
        <v>1.3713194386482121E-105</v>
      </c>
      <c r="I1991">
        <f t="shared" si="331"/>
        <v>60</v>
      </c>
      <c r="J1991">
        <f t="shared" si="332"/>
        <v>1904</v>
      </c>
      <c r="K1991" s="5">
        <f t="shared" si="333"/>
        <v>0</v>
      </c>
      <c r="L1991">
        <f t="shared" si="334"/>
        <v>85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-237.25414135661904</v>
      </c>
      <c r="F1992" s="1">
        <f t="shared" si="340"/>
        <v>-239.25617416581809</v>
      </c>
      <c r="G1992" s="1">
        <f t="shared" si="337"/>
        <v>1.2369831919465947E-104</v>
      </c>
      <c r="H1992" s="1">
        <f t="shared" si="330"/>
        <v>1.2141890863030855E-105</v>
      </c>
      <c r="I1992">
        <f t="shared" si="331"/>
        <v>60</v>
      </c>
      <c r="J1992">
        <f t="shared" si="332"/>
        <v>1905</v>
      </c>
      <c r="K1992" s="5">
        <f t="shared" si="333"/>
        <v>0</v>
      </c>
      <c r="L1992">
        <f t="shared" si="334"/>
        <v>85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-237.37583829159658</v>
      </c>
      <c r="F1993" s="1">
        <f t="shared" si="340"/>
        <v>-239.37787110079563</v>
      </c>
      <c r="G1993" s="1">
        <f t="shared" si="337"/>
        <v>1.0952455345360301E-104</v>
      </c>
      <c r="H1993" s="1">
        <f t="shared" si="330"/>
        <v>1.0750632534975067E-105</v>
      </c>
      <c r="I1993">
        <f t="shared" si="331"/>
        <v>60</v>
      </c>
      <c r="J1993">
        <f t="shared" si="332"/>
        <v>1906</v>
      </c>
      <c r="K1993" s="5">
        <f t="shared" si="333"/>
        <v>0</v>
      </c>
      <c r="L1993">
        <f t="shared" si="334"/>
        <v>85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-237.49753522657412</v>
      </c>
      <c r="F1994" s="1">
        <f t="shared" si="340"/>
        <v>-239.49956803577317</v>
      </c>
      <c r="G1994" s="1">
        <f t="shared" si="337"/>
        <v>9.6974865037042821E-105</v>
      </c>
      <c r="H1994" s="1">
        <f t="shared" si="330"/>
        <v>9.518789223675692E-106</v>
      </c>
      <c r="I1994">
        <f t="shared" si="331"/>
        <v>60</v>
      </c>
      <c r="J1994">
        <f t="shared" si="332"/>
        <v>1907</v>
      </c>
      <c r="K1994" s="5">
        <f t="shared" si="333"/>
        <v>0</v>
      </c>
      <c r="L1994">
        <f t="shared" si="334"/>
        <v>85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-237.61923216155165</v>
      </c>
      <c r="F1995" s="1">
        <f t="shared" si="340"/>
        <v>-239.6212649707507</v>
      </c>
      <c r="G1995" s="1">
        <f t="shared" si="337"/>
        <v>8.5863161751546987E-105</v>
      </c>
      <c r="H1995" s="1">
        <f t="shared" si="330"/>
        <v>8.4280946251293873E-106</v>
      </c>
      <c r="I1995">
        <f t="shared" si="331"/>
        <v>60</v>
      </c>
      <c r="J1995">
        <f t="shared" si="332"/>
        <v>1908</v>
      </c>
      <c r="K1995" s="5">
        <f t="shared" si="333"/>
        <v>0</v>
      </c>
      <c r="L1995">
        <f t="shared" si="334"/>
        <v>85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-237.74092909652919</v>
      </c>
      <c r="F1996" s="1">
        <f t="shared" si="340"/>
        <v>-239.74296190572824</v>
      </c>
      <c r="G1996" s="1">
        <f t="shared" si="337"/>
        <v>7.602467446751438E-105</v>
      </c>
      <c r="H1996" s="1">
        <f t="shared" si="330"/>
        <v>7.462375449333195E-106</v>
      </c>
      <c r="I1996">
        <f t="shared" si="331"/>
        <v>60</v>
      </c>
      <c r="J1996">
        <f t="shared" si="332"/>
        <v>1909</v>
      </c>
      <c r="K1996" s="5">
        <f t="shared" si="333"/>
        <v>0</v>
      </c>
      <c r="L1996">
        <f t="shared" si="334"/>
        <v>85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-237.86262603150672</v>
      </c>
      <c r="F1997" s="1">
        <f t="shared" si="340"/>
        <v>-239.86465884070577</v>
      </c>
      <c r="G1997" s="1">
        <f t="shared" si="337"/>
        <v>6.7313513851443968E-105</v>
      </c>
      <c r="H1997" s="1">
        <f t="shared" si="330"/>
        <v>6.6073115957636635E-106</v>
      </c>
      <c r="I1997">
        <f t="shared" si="331"/>
        <v>60</v>
      </c>
      <c r="J1997">
        <f t="shared" si="332"/>
        <v>1910</v>
      </c>
      <c r="K1997" s="5">
        <f t="shared" si="333"/>
        <v>0</v>
      </c>
      <c r="L1997">
        <f t="shared" si="334"/>
        <v>85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-237.98432296648426</v>
      </c>
      <c r="F1998" s="1">
        <f t="shared" si="340"/>
        <v>-239.98635577568331</v>
      </c>
      <c r="G1998" s="1">
        <f t="shared" si="337"/>
        <v>5.9600507055965079E-105</v>
      </c>
      <c r="H1998" s="1">
        <f t="shared" si="330"/>
        <v>5.8502238087489854E-106</v>
      </c>
      <c r="I1998">
        <f t="shared" si="331"/>
        <v>60</v>
      </c>
      <c r="J1998">
        <f t="shared" si="332"/>
        <v>1911</v>
      </c>
      <c r="K1998" s="5">
        <f t="shared" si="333"/>
        <v>0</v>
      </c>
      <c r="L1998">
        <f t="shared" si="334"/>
        <v>85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-238.10601990146179</v>
      </c>
      <c r="F1999" s="1">
        <f t="shared" si="340"/>
        <v>-240.10805271066084</v>
      </c>
      <c r="G1999" s="1">
        <f t="shared" si="337"/>
        <v>5.2771282289134926E-105</v>
      </c>
      <c r="H1999" s="1">
        <f t="shared" si="330"/>
        <v>5.1798856639964167E-106</v>
      </c>
      <c r="I1999">
        <f t="shared" si="331"/>
        <v>60</v>
      </c>
      <c r="J1999">
        <f t="shared" si="332"/>
        <v>1912</v>
      </c>
      <c r="K1999" s="5">
        <f t="shared" si="333"/>
        <v>0</v>
      </c>
      <c r="L1999">
        <f t="shared" si="334"/>
        <v>85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-238.22771683643933</v>
      </c>
      <c r="F2000" s="1">
        <f t="shared" si="340"/>
        <v>-240.22974964563838</v>
      </c>
      <c r="G2000" s="1">
        <f t="shared" si="337"/>
        <v>4.6724572860170813E-105</v>
      </c>
      <c r="H2000" s="1">
        <f t="shared" si="330"/>
        <v>4.586357098330088E-106</v>
      </c>
      <c r="I2000">
        <f t="shared" si="331"/>
        <v>60</v>
      </c>
      <c r="J2000">
        <f t="shared" si="332"/>
        <v>1913</v>
      </c>
      <c r="K2000" s="5">
        <f t="shared" si="333"/>
        <v>0</v>
      </c>
      <c r="L2000">
        <f t="shared" si="334"/>
        <v>85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-238.34941377141686</v>
      </c>
      <c r="F2001" s="1">
        <f t="shared" si="340"/>
        <v>-240.35144658061591</v>
      </c>
      <c r="G2001" s="1">
        <f t="shared" si="337"/>
        <v>4.1370715553275596E-105</v>
      </c>
      <c r="H2001" s="1">
        <f t="shared" si="330"/>
        <v>4.0608370141463691E-106</v>
      </c>
      <c r="I2001">
        <f t="shared" si="331"/>
        <v>60</v>
      </c>
      <c r="J2001">
        <f t="shared" si="332"/>
        <v>1914</v>
      </c>
      <c r="K2001" s="5">
        <f t="shared" si="333"/>
        <v>0</v>
      </c>
      <c r="L2001">
        <f t="shared" si="334"/>
        <v>85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-238.4711107063944</v>
      </c>
      <c r="F2002" s="1">
        <f t="shared" si="340"/>
        <v>-240.47314351559345</v>
      </c>
      <c r="G2002" s="1">
        <f t="shared" si="337"/>
        <v>3.6630321062795531E-105</v>
      </c>
      <c r="H2002" s="1">
        <f t="shared" si="330"/>
        <v>3.5955327729420416E-106</v>
      </c>
      <c r="I2002">
        <f t="shared" si="331"/>
        <v>60</v>
      </c>
      <c r="J2002">
        <f t="shared" si="332"/>
        <v>1915</v>
      </c>
      <c r="K2002" s="5">
        <f t="shared" si="333"/>
        <v>0</v>
      </c>
      <c r="L2002">
        <f t="shared" si="334"/>
        <v>85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-238.59280764137193</v>
      </c>
      <c r="F2003" s="1">
        <f t="shared" si="340"/>
        <v>-240.59484045057098</v>
      </c>
      <c r="G2003" s="1">
        <f t="shared" si="337"/>
        <v>3.24330967743497E-105</v>
      </c>
      <c r="H2003" s="1">
        <f t="shared" si="330"/>
        <v>3.1835446427090494E-106</v>
      </c>
      <c r="I2003">
        <f t="shared" si="331"/>
        <v>60</v>
      </c>
      <c r="J2003">
        <f t="shared" si="332"/>
        <v>1916</v>
      </c>
      <c r="K2003" s="5">
        <f t="shared" si="333"/>
        <v>0</v>
      </c>
      <c r="L2003">
        <f t="shared" si="334"/>
        <v>85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-238.71450457634947</v>
      </c>
      <c r="F2004" s="1">
        <f t="shared" si="340"/>
        <v>-240.71653738554852</v>
      </c>
      <c r="G2004" s="1">
        <f t="shared" si="337"/>
        <v>2.871680443562168E-105</v>
      </c>
      <c r="H2004" s="1">
        <f t="shared" si="330"/>
        <v>2.8187634857319268E-106</v>
      </c>
      <c r="I2004">
        <f t="shared" si="331"/>
        <v>60</v>
      </c>
      <c r="J2004">
        <f t="shared" si="332"/>
        <v>1917</v>
      </c>
      <c r="K2004" s="5">
        <f t="shared" si="333"/>
        <v>0</v>
      </c>
      <c r="L2004">
        <f t="shared" si="334"/>
        <v>85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-238.836201511327</v>
      </c>
      <c r="F2005" s="1">
        <f t="shared" si="340"/>
        <v>-240.83823432052606</v>
      </c>
      <c r="G2005" s="1">
        <f t="shared" si="337"/>
        <v>2.5426337260706298E-105</v>
      </c>
      <c r="H2005" s="1">
        <f t="shared" si="330"/>
        <v>2.4957801696584378E-106</v>
      </c>
      <c r="I2005">
        <f t="shared" si="331"/>
        <v>60</v>
      </c>
      <c r="J2005">
        <f t="shared" si="332"/>
        <v>1918</v>
      </c>
      <c r="K2005" s="5">
        <f t="shared" si="333"/>
        <v>0</v>
      </c>
      <c r="L2005">
        <f t="shared" si="334"/>
        <v>85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-238.95789844630454</v>
      </c>
      <c r="F2006" s="1">
        <f t="shared" si="340"/>
        <v>-240.95993125550359</v>
      </c>
      <c r="G2006" s="1">
        <f t="shared" si="337"/>
        <v>2.2512902782916683E-105</v>
      </c>
      <c r="H2006" s="1">
        <f t="shared" si="330"/>
        <v>2.2098053585517069E-106</v>
      </c>
      <c r="I2006">
        <f t="shared" si="331"/>
        <v>60</v>
      </c>
      <c r="J2006">
        <f t="shared" si="332"/>
        <v>1919</v>
      </c>
      <c r="K2006" s="5">
        <f t="shared" si="333"/>
        <v>0</v>
      </c>
      <c r="L2006">
        <f t="shared" si="334"/>
        <v>85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-239.07959538128208</v>
      </c>
      <c r="F2007" s="1">
        <f t="shared" si="340"/>
        <v>-241.08162819048113</v>
      </c>
      <c r="G2007" s="1">
        <f t="shared" si="337"/>
        <v>1.9933299339040501E-105</v>
      </c>
      <c r="H2007" s="1">
        <f t="shared" ref="H2007:H2023" si="341">G2007/$G$21</f>
        <v>1.9565984945509601E-106</v>
      </c>
      <c r="I2007">
        <f t="shared" ref="I2007:I2023" si="342">IF($F$11&lt;=D2007, IF(D2007&lt;=$A$15,D2007-$F$11,$C$11),0)</f>
        <v>60</v>
      </c>
      <c r="J2007">
        <f t="shared" ref="J2007:J2023" si="343">IF(D2007&lt;=$A$15,0,D2007-$A$15)</f>
        <v>1920</v>
      </c>
      <c r="K2007" s="5">
        <f t="shared" ref="K2007:K2023" si="344">IF(D2007&lt;$F$11,H2007,0)</f>
        <v>0</v>
      </c>
      <c r="L2007">
        <f t="shared" ref="L2007:L2023" si="345">IF(D2007&lt;$A$15,$D$11,$D$11*(1-$H$11))</f>
        <v>85</v>
      </c>
      <c r="M2007">
        <f t="shared" ref="M2007:M2023" si="346">IF(D2007&lt;$A$15,0,1)</f>
        <v>1</v>
      </c>
      <c r="N2007">
        <f t="shared" ref="N2007:N2023" si="347">IF(SUM(I2007:J2007)&lt;=($G$11/60*$F$11/($E$11/60)),1,0)</f>
        <v>0</v>
      </c>
    </row>
    <row r="2008" spans="4:14" x14ac:dyDescent="0.2">
      <c r="D2008">
        <f t="shared" si="338"/>
        <v>1985</v>
      </c>
      <c r="E2008" s="1">
        <f t="shared" si="339"/>
        <v>-239.20129231625961</v>
      </c>
      <c r="F2008" s="1">
        <f t="shared" si="340"/>
        <v>-241.20332512545866</v>
      </c>
      <c r="G2008" s="1">
        <f t="shared" ref="G2008:G2023" si="348">EXP(F2008)</f>
        <v>1.7649275456441836E-105</v>
      </c>
      <c r="H2008" s="1">
        <f t="shared" si="341"/>
        <v>1.7324049170503024E-106</v>
      </c>
      <c r="I2008">
        <f t="shared" si="342"/>
        <v>60</v>
      </c>
      <c r="J2008">
        <f t="shared" si="343"/>
        <v>1921</v>
      </c>
      <c r="K2008" s="5">
        <f t="shared" si="344"/>
        <v>0</v>
      </c>
      <c r="L2008">
        <f t="shared" si="345"/>
        <v>85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72" si="350">IF($H$11=1,IF(D2009&lt;=$A$15, E2008+LN($D$11)-LN(60/$E$11)-LN(MIN(D2009,$F$11)), E2008-LN(60/$E$11)-LN(MIN(D2009,$F$11))), IF(D2009&lt;=$A$15, E2008+LN($D$11)-LN(60/$E$11)-LN(MIN(D2009,$F$11)), E2008+LN($D$11)+LN(1-$H$11)-LN(60/$E$11)-LN(MIN(D2009,$F$11))))</f>
        <v>-239.32298925123715</v>
      </c>
      <c r="F2009" s="1">
        <f t="shared" ref="F2009:F2023" si="351">E2009-$E$21</f>
        <v>-241.3250220604362</v>
      </c>
      <c r="G2009" s="1">
        <f t="shared" si="348"/>
        <v>1.5626962643724297E-105</v>
      </c>
      <c r="H2009" s="1">
        <f t="shared" si="341"/>
        <v>1.5339001869715977E-106</v>
      </c>
      <c r="I2009">
        <f t="shared" si="342"/>
        <v>60</v>
      </c>
      <c r="J2009">
        <f t="shared" si="343"/>
        <v>1922</v>
      </c>
      <c r="K2009" s="5">
        <f t="shared" si="344"/>
        <v>0</v>
      </c>
      <c r="L2009">
        <f t="shared" si="345"/>
        <v>85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-239.44468618621468</v>
      </c>
      <c r="F2010" s="1">
        <f t="shared" si="351"/>
        <v>-241.44671899541373</v>
      </c>
      <c r="G2010" s="1">
        <f t="shared" si="348"/>
        <v>1.3836373174130672E-105</v>
      </c>
      <c r="H2010" s="1">
        <f t="shared" si="341"/>
        <v>1.3581407905477475E-106</v>
      </c>
      <c r="I2010">
        <f t="shared" si="342"/>
        <v>60</v>
      </c>
      <c r="J2010">
        <f t="shared" si="343"/>
        <v>1923</v>
      </c>
      <c r="K2010" s="5">
        <f t="shared" si="344"/>
        <v>0</v>
      </c>
      <c r="L2010">
        <f t="shared" si="345"/>
        <v>85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-239.56638312119222</v>
      </c>
      <c r="F2011" s="1">
        <f t="shared" si="351"/>
        <v>-241.56841593039127</v>
      </c>
      <c r="G2011" s="1">
        <f t="shared" si="348"/>
        <v>1.2250955414594674E-105</v>
      </c>
      <c r="H2011" s="1">
        <f t="shared" si="341"/>
        <v>1.2025204916307994E-106</v>
      </c>
      <c r="I2011">
        <f t="shared" si="342"/>
        <v>60</v>
      </c>
      <c r="J2011">
        <f t="shared" si="343"/>
        <v>1924</v>
      </c>
      <c r="K2011" s="5">
        <f t="shared" si="344"/>
        <v>0</v>
      </c>
      <c r="L2011">
        <f t="shared" si="345"/>
        <v>85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-239.68808005616975</v>
      </c>
      <c r="F2012" s="1">
        <f t="shared" si="351"/>
        <v>-241.6901128653688</v>
      </c>
      <c r="G2012" s="1">
        <f t="shared" si="348"/>
        <v>1.0847200106672198E-105</v>
      </c>
      <c r="H2012" s="1">
        <f t="shared" si="341"/>
        <v>1.064731685298087E-106</v>
      </c>
      <c r="I2012">
        <f t="shared" si="342"/>
        <v>60</v>
      </c>
      <c r="J2012">
        <f t="shared" si="343"/>
        <v>1925</v>
      </c>
      <c r="K2012" s="5">
        <f t="shared" si="344"/>
        <v>0</v>
      </c>
      <c r="L2012">
        <f t="shared" si="345"/>
        <v>85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-239.80977699114729</v>
      </c>
      <c r="F2013" s="1">
        <f t="shared" si="351"/>
        <v>-241.81180980034634</v>
      </c>
      <c r="G2013" s="1">
        <f t="shared" si="348"/>
        <v>9.604291761115858E-106</v>
      </c>
      <c r="H2013" s="1">
        <f t="shared" si="341"/>
        <v>9.4273117969099973E-107</v>
      </c>
      <c r="I2013">
        <f t="shared" si="342"/>
        <v>60</v>
      </c>
      <c r="J2013">
        <f t="shared" si="343"/>
        <v>1926</v>
      </c>
      <c r="K2013" s="5">
        <f t="shared" si="344"/>
        <v>0</v>
      </c>
      <c r="L2013">
        <f t="shared" si="345"/>
        <v>85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-239.93147392612482</v>
      </c>
      <c r="F2014" s="1">
        <f t="shared" si="351"/>
        <v>-241.93350673532387</v>
      </c>
      <c r="G2014" s="1">
        <f t="shared" si="348"/>
        <v>8.5037999968212001E-106</v>
      </c>
      <c r="H2014" s="1">
        <f t="shared" si="341"/>
        <v>8.347098986847263E-107</v>
      </c>
      <c r="I2014">
        <f t="shared" si="342"/>
        <v>60</v>
      </c>
      <c r="J2014">
        <f t="shared" si="343"/>
        <v>1927</v>
      </c>
      <c r="K2014" s="5">
        <f t="shared" si="344"/>
        <v>0</v>
      </c>
      <c r="L2014">
        <f t="shared" si="345"/>
        <v>85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-240.05317086110236</v>
      </c>
      <c r="F2015" s="1">
        <f t="shared" si="351"/>
        <v>-242.05520367030141</v>
      </c>
      <c r="G2015" s="1">
        <f t="shared" si="348"/>
        <v>7.5294062471853198E-106</v>
      </c>
      <c r="H2015" s="1">
        <f t="shared" si="341"/>
        <v>7.3906605612708993E-107</v>
      </c>
      <c r="I2015">
        <f t="shared" si="342"/>
        <v>60</v>
      </c>
      <c r="J2015">
        <f t="shared" si="343"/>
        <v>1928</v>
      </c>
      <c r="K2015" s="5">
        <f t="shared" si="344"/>
        <v>0</v>
      </c>
      <c r="L2015">
        <f t="shared" si="345"/>
        <v>85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-240.17486779607989</v>
      </c>
      <c r="F2016" s="1">
        <f t="shared" si="351"/>
        <v>-242.17690060527895</v>
      </c>
      <c r="G2016" s="1">
        <f t="shared" si="348"/>
        <v>6.6666617813618974E-106</v>
      </c>
      <c r="H2016" s="1">
        <f t="shared" si="341"/>
        <v>6.5438140386251727E-107</v>
      </c>
      <c r="I2016">
        <f t="shared" si="342"/>
        <v>60</v>
      </c>
      <c r="J2016">
        <f t="shared" si="343"/>
        <v>1929</v>
      </c>
      <c r="K2016" s="5">
        <f t="shared" si="344"/>
        <v>0</v>
      </c>
      <c r="L2016">
        <f t="shared" si="345"/>
        <v>85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-240.29656473105743</v>
      </c>
      <c r="F2017" s="1">
        <f t="shared" si="351"/>
        <v>-242.29859754025648</v>
      </c>
      <c r="G2017" s="1">
        <f t="shared" si="348"/>
        <v>5.9027734522474216E-106</v>
      </c>
      <c r="H2017" s="1">
        <f t="shared" si="341"/>
        <v>5.7940020133659479E-107</v>
      </c>
      <c r="I2017">
        <f t="shared" si="342"/>
        <v>60</v>
      </c>
      <c r="J2017">
        <f t="shared" si="343"/>
        <v>1930</v>
      </c>
      <c r="K2017" s="5">
        <f t="shared" si="344"/>
        <v>0</v>
      </c>
      <c r="L2017">
        <f t="shared" si="345"/>
        <v>85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-240.41826166603497</v>
      </c>
      <c r="F2018" s="1">
        <f t="shared" si="351"/>
        <v>-242.42029447523402</v>
      </c>
      <c r="G2018" s="1">
        <f t="shared" si="348"/>
        <v>5.2264139941773229E-106</v>
      </c>
      <c r="H2018" s="1">
        <f t="shared" si="341"/>
        <v>5.1301059493343531E-107</v>
      </c>
      <c r="I2018">
        <f t="shared" si="342"/>
        <v>60</v>
      </c>
      <c r="J2018">
        <f t="shared" si="343"/>
        <v>1931</v>
      </c>
      <c r="K2018" s="5">
        <f t="shared" si="344"/>
        <v>0</v>
      </c>
      <c r="L2018">
        <f t="shared" si="345"/>
        <v>85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-240.5399586010125</v>
      </c>
      <c r="F2019" s="1">
        <f t="shared" si="351"/>
        <v>-242.54199141021155</v>
      </c>
      <c r="G2019" s="1">
        <f t="shared" si="348"/>
        <v>4.6275540573444325E-106</v>
      </c>
      <c r="H2019" s="1">
        <f t="shared" si="341"/>
        <v>4.5422813093063874E-107</v>
      </c>
      <c r="I2019">
        <f t="shared" si="342"/>
        <v>60</v>
      </c>
      <c r="J2019">
        <f t="shared" si="343"/>
        <v>1932</v>
      </c>
      <c r="K2019" s="5">
        <f t="shared" si="344"/>
        <v>0</v>
      </c>
      <c r="L2019">
        <f t="shared" si="345"/>
        <v>85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-240.66165553599004</v>
      </c>
      <c r="F2020" s="1">
        <f t="shared" si="351"/>
        <v>-242.66368834518909</v>
      </c>
      <c r="G2020" s="1">
        <f t="shared" si="348"/>
        <v>4.0973134882736519E-106</v>
      </c>
      <c r="H2020" s="1">
        <f t="shared" si="341"/>
        <v>4.0218115759483007E-107</v>
      </c>
      <c r="I2020">
        <f t="shared" si="342"/>
        <v>60</v>
      </c>
      <c r="J2020">
        <f t="shared" si="343"/>
        <v>1933</v>
      </c>
      <c r="K2020" s="5">
        <f t="shared" si="344"/>
        <v>0</v>
      </c>
      <c r="L2020">
        <f t="shared" si="345"/>
        <v>85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-240.78335247096757</v>
      </c>
      <c r="F2021" s="1">
        <f t="shared" si="351"/>
        <v>-242.78538528016662</v>
      </c>
      <c r="G2021" s="1">
        <f t="shared" si="348"/>
        <v>3.6278296510755723E-106</v>
      </c>
      <c r="H2021" s="1">
        <f t="shared" si="341"/>
        <v>3.560978999537502E-107</v>
      </c>
      <c r="I2021">
        <f t="shared" si="342"/>
        <v>60</v>
      </c>
      <c r="J2021">
        <f t="shared" si="343"/>
        <v>1934</v>
      </c>
      <c r="K2021" s="5">
        <f t="shared" si="344"/>
        <v>0</v>
      </c>
      <c r="L2021">
        <f t="shared" si="345"/>
        <v>85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-240.90504940594511</v>
      </c>
      <c r="F2022" s="1">
        <f t="shared" si="351"/>
        <v>-242.90708221514416</v>
      </c>
      <c r="G2022" s="1">
        <f t="shared" si="348"/>
        <v>3.2121408368897795E-106</v>
      </c>
      <c r="H2022" s="1">
        <f t="shared" si="341"/>
        <v>3.1529501558404476E-107</v>
      </c>
      <c r="I2022">
        <f t="shared" si="342"/>
        <v>60</v>
      </c>
      <c r="J2022">
        <f t="shared" si="343"/>
        <v>1935</v>
      </c>
      <c r="K2022" s="5">
        <f t="shared" si="344"/>
        <v>0</v>
      </c>
      <c r="L2022">
        <f t="shared" si="345"/>
        <v>85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-241.02674634092264</v>
      </c>
      <c r="F2023" s="1">
        <f t="shared" si="351"/>
        <v>-243.02877915012169</v>
      </c>
      <c r="G2023" s="1">
        <f t="shared" si="348"/>
        <v>2.8440830326627814E-106</v>
      </c>
      <c r="H2023" s="1">
        <f t="shared" si="341"/>
        <v>2.7916746171503528E-107</v>
      </c>
      <c r="I2023">
        <f t="shared" si="342"/>
        <v>60</v>
      </c>
      <c r="J2023">
        <f t="shared" si="343"/>
        <v>1936</v>
      </c>
      <c r="K2023" s="5">
        <f t="shared" si="344"/>
        <v>0</v>
      </c>
      <c r="L2023">
        <f t="shared" si="345"/>
        <v>85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abSelected="1"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G9" sqref="G9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0.83203125" collapsed="1"/>
    <col min="6" max="6" width="13" bestFit="1" customWidth="1"/>
    <col min="8" max="11" width="12.6640625" customWidth="1"/>
    <col min="14" max="14" width="10.83203125" customWidth="1" outlineLevel="1"/>
    <col min="15" max="16" width="1" customWidth="1"/>
    <col min="19" max="19" width="12.33203125" customWidth="1"/>
    <col min="21" max="21" width="14.6640625" customWidth="1"/>
    <col min="22" max="24" width="10.83203125" hidden="1" customWidth="1" outlineLevel="1"/>
    <col min="25" max="25" width="15.33203125" hidden="1" customWidth="1" outlineLevel="1"/>
    <col min="26" max="26" width="15" hidden="1" customWidth="1" outlineLevel="1"/>
    <col min="27" max="27" width="10" hidden="1" customWidth="1" outlineLevel="1"/>
    <col min="28" max="28" width="1" customWidth="1" collapsed="1"/>
    <col min="29" max="29" width="25" customWidth="1"/>
  </cols>
  <sheetData>
    <row r="1" spans="1:29" s="12" customFormat="1" hidden="1" outlineLevel="1" x14ac:dyDescent="0.2">
      <c r="E1" s="12" t="s">
        <v>0</v>
      </c>
    </row>
    <row r="2" spans="1:29" ht="19" collapsed="1" x14ac:dyDescent="0.25">
      <c r="A2" s="54" t="s">
        <v>55</v>
      </c>
    </row>
    <row r="3" spans="1:29" ht="21" x14ac:dyDescent="0.25">
      <c r="E3" s="14" t="s">
        <v>27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28</v>
      </c>
      <c r="G6" s="15"/>
      <c r="H6" s="15"/>
      <c r="I6" s="15"/>
      <c r="J6" s="15"/>
      <c r="K6" s="15"/>
      <c r="L6" s="15"/>
      <c r="M6" s="15"/>
      <c r="N6" s="15"/>
      <c r="Q6" s="18" t="s">
        <v>29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26</v>
      </c>
      <c r="C8">
        <v>6</v>
      </c>
      <c r="F8" s="7" t="s">
        <v>49</v>
      </c>
      <c r="G8" s="7" t="s">
        <v>57</v>
      </c>
      <c r="H8" s="7" t="s">
        <v>50</v>
      </c>
      <c r="I8" s="7" t="s">
        <v>5</v>
      </c>
      <c r="J8" s="7" t="s">
        <v>1</v>
      </c>
      <c r="K8" s="7" t="s">
        <v>3</v>
      </c>
      <c r="L8" s="7" t="s">
        <v>4</v>
      </c>
      <c r="M8" s="7" t="s">
        <v>48</v>
      </c>
      <c r="N8" s="7" t="s">
        <v>6</v>
      </c>
      <c r="Q8" s="7" t="s">
        <v>9</v>
      </c>
      <c r="R8" s="7" t="s">
        <v>52</v>
      </c>
      <c r="S8" s="7" t="s">
        <v>13</v>
      </c>
      <c r="T8" s="7" t="s">
        <v>56</v>
      </c>
      <c r="U8" s="7" t="s">
        <v>53</v>
      </c>
      <c r="V8" s="7" t="s">
        <v>10</v>
      </c>
      <c r="W8" s="7" t="s">
        <v>11</v>
      </c>
      <c r="X8" s="7" t="s">
        <v>12</v>
      </c>
      <c r="Y8" s="7" t="s">
        <v>16</v>
      </c>
      <c r="Z8" s="7" t="s">
        <v>14</v>
      </c>
      <c r="AA8" s="7" t="s">
        <v>17</v>
      </c>
      <c r="AB8" s="7"/>
      <c r="AC8" s="7" t="s">
        <v>23</v>
      </c>
    </row>
    <row r="9" spans="1:29" ht="30" x14ac:dyDescent="0.2">
      <c r="F9" s="6" t="s">
        <v>2</v>
      </c>
      <c r="G9" s="6" t="s">
        <v>7</v>
      </c>
      <c r="H9" s="6" t="s">
        <v>19</v>
      </c>
      <c r="I9" s="6" t="s">
        <v>19</v>
      </c>
      <c r="J9" s="6" t="s">
        <v>2</v>
      </c>
      <c r="K9" s="6" t="s">
        <v>7</v>
      </c>
      <c r="L9" s="6" t="s">
        <v>8</v>
      </c>
      <c r="M9" s="6" t="s">
        <v>18</v>
      </c>
      <c r="N9" s="6" t="s">
        <v>20</v>
      </c>
      <c r="Q9" s="6" t="s">
        <v>18</v>
      </c>
      <c r="R9" s="6" t="s">
        <v>19</v>
      </c>
      <c r="S9" s="6" t="s">
        <v>19</v>
      </c>
      <c r="T9" s="6" t="s">
        <v>20</v>
      </c>
      <c r="U9" s="6" t="s">
        <v>20</v>
      </c>
      <c r="V9" s="6" t="s">
        <v>18</v>
      </c>
      <c r="W9" s="6" t="s">
        <v>19</v>
      </c>
      <c r="X9" s="6" t="s">
        <v>19</v>
      </c>
      <c r="Y9" s="6" t="s">
        <v>21</v>
      </c>
      <c r="Z9" s="6" t="s">
        <v>20</v>
      </c>
      <c r="AC9" s="6" t="s">
        <v>25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Precinct 1</v>
      </c>
      <c r="F13">
        <v>20</v>
      </c>
      <c r="G13">
        <v>5</v>
      </c>
      <c r="H13">
        <v>5</v>
      </c>
      <c r="I13" s="53">
        <f>F13-G13-H13</f>
        <v>10</v>
      </c>
      <c r="J13">
        <v>45</v>
      </c>
      <c r="K13">
        <v>2.5</v>
      </c>
      <c r="L13">
        <v>2</v>
      </c>
      <c r="M13">
        <v>30</v>
      </c>
      <c r="N13" s="8">
        <v>0</v>
      </c>
      <c r="Q13" s="1">
        <v>18.145161290322477</v>
      </c>
      <c r="R13" s="1">
        <v>13.608870967741861</v>
      </c>
      <c r="S13" s="1">
        <v>7.1373149326187004</v>
      </c>
      <c r="T13" s="8">
        <v>0.47582099550791573</v>
      </c>
      <c r="U13" s="8">
        <v>0.18072271704126586</v>
      </c>
      <c r="V13" s="1">
        <v>20.645161290322491</v>
      </c>
      <c r="W13" s="1">
        <v>15.483870967741874</v>
      </c>
      <c r="X13" s="1">
        <v>6.47155603512316</v>
      </c>
      <c r="Y13">
        <v>45.000000000000014</v>
      </c>
      <c r="Z13" s="8">
        <v>9.2741935483871218E-2</v>
      </c>
      <c r="AA13" t="s">
        <v>24</v>
      </c>
    </row>
    <row r="14" spans="1:29" x14ac:dyDescent="0.2">
      <c r="A14" s="12">
        <f>A13+1</f>
        <v>2</v>
      </c>
      <c r="E14" s="10" t="str">
        <f t="shared" si="0"/>
        <v>Precinct 2</v>
      </c>
      <c r="F14">
        <v>30</v>
      </c>
      <c r="G14">
        <v>5</v>
      </c>
      <c r="H14">
        <v>5</v>
      </c>
      <c r="I14" s="53">
        <f>F14-G14-H14</f>
        <v>20</v>
      </c>
      <c r="J14">
        <v>90</v>
      </c>
      <c r="K14">
        <v>2.5</v>
      </c>
      <c r="L14">
        <v>4</v>
      </c>
      <c r="M14">
        <v>30</v>
      </c>
      <c r="N14" s="8">
        <v>0</v>
      </c>
      <c r="Q14" s="1">
        <v>8.6502973139225379</v>
      </c>
      <c r="R14" s="1">
        <v>12.975445970883785</v>
      </c>
      <c r="S14" s="1">
        <v>3.569010467012784</v>
      </c>
      <c r="T14" s="8">
        <v>0.23793403113418532</v>
      </c>
      <c r="U14" s="8">
        <v>3.6612010494077363E-2</v>
      </c>
      <c r="V14" s="1">
        <v>11.150297313922536</v>
      </c>
      <c r="W14" s="1">
        <v>16.725445970883776</v>
      </c>
      <c r="X14" s="1">
        <v>9.4064355038710001</v>
      </c>
      <c r="Y14">
        <v>89.999999999999844</v>
      </c>
      <c r="Z14" s="8">
        <v>0.13497026860775052</v>
      </c>
      <c r="AA14" t="s">
        <v>24</v>
      </c>
    </row>
    <row r="15" spans="1:29" x14ac:dyDescent="0.2">
      <c r="A15" s="12">
        <f t="shared" ref="A15:A78" si="1">A14+1</f>
        <v>3</v>
      </c>
      <c r="E15" s="10" t="str">
        <f t="shared" si="0"/>
        <v>Precinct 3</v>
      </c>
      <c r="F15">
        <v>40</v>
      </c>
      <c r="G15">
        <v>5</v>
      </c>
      <c r="H15">
        <v>5</v>
      </c>
      <c r="I15" s="53">
        <f t="shared" ref="I15:I18" si="2">F15-G15-H15</f>
        <v>30</v>
      </c>
      <c r="J15">
        <v>500</v>
      </c>
      <c r="K15">
        <v>2.5</v>
      </c>
      <c r="L15">
        <v>9</v>
      </c>
      <c r="M15">
        <v>30</v>
      </c>
      <c r="N15" s="8">
        <v>0</v>
      </c>
      <c r="Q15" s="1">
        <v>238.82873239436617</v>
      </c>
      <c r="R15" s="1">
        <v>1990.2394366197182</v>
      </c>
      <c r="S15" s="1">
        <v>1960.2394366197182</v>
      </c>
      <c r="T15" s="8">
        <v>1</v>
      </c>
      <c r="U15" s="8">
        <v>1</v>
      </c>
      <c r="V15" s="1">
        <v>239.90873239436618</v>
      </c>
      <c r="W15" s="1">
        <v>1999.2394366197182</v>
      </c>
      <c r="X15" s="1">
        <v>30</v>
      </c>
      <c r="Y15">
        <v>500</v>
      </c>
      <c r="Z15" s="8">
        <v>0</v>
      </c>
      <c r="AA15" t="s">
        <v>22</v>
      </c>
    </row>
    <row r="16" spans="1:29" x14ac:dyDescent="0.2">
      <c r="A16" s="12">
        <f t="shared" si="1"/>
        <v>4</v>
      </c>
      <c r="E16" s="10" t="str">
        <f t="shared" si="0"/>
        <v>Precinct 4</v>
      </c>
      <c r="F16">
        <v>50</v>
      </c>
      <c r="G16">
        <v>5</v>
      </c>
      <c r="H16">
        <v>5</v>
      </c>
      <c r="I16" s="53">
        <f t="shared" si="2"/>
        <v>40</v>
      </c>
      <c r="J16">
        <v>95</v>
      </c>
      <c r="K16">
        <v>2.5</v>
      </c>
      <c r="L16">
        <v>4</v>
      </c>
      <c r="M16">
        <v>30</v>
      </c>
      <c r="N16" s="8">
        <v>0</v>
      </c>
      <c r="Q16" s="1">
        <v>58.619314890903539</v>
      </c>
      <c r="R16" s="1">
        <v>92.813915243930609</v>
      </c>
      <c r="S16" s="1">
        <v>61.053136407646768</v>
      </c>
      <c r="T16" s="8">
        <v>0.64266461044270085</v>
      </c>
      <c r="U16" s="8">
        <v>0.58486513842511523</v>
      </c>
      <c r="V16" s="1">
        <v>61.119314890882286</v>
      </c>
      <c r="W16" s="1">
        <v>96.7722485772303</v>
      </c>
      <c r="X16" s="1">
        <v>31.760778836283844</v>
      </c>
      <c r="Y16">
        <v>95.000000000000014</v>
      </c>
      <c r="Z16" s="8">
        <v>2.3011401466054404E-2</v>
      </c>
      <c r="AA16" t="s">
        <v>24</v>
      </c>
    </row>
    <row r="17" spans="1:27" x14ac:dyDescent="0.2">
      <c r="A17" s="12">
        <f t="shared" si="1"/>
        <v>5</v>
      </c>
      <c r="E17" s="10" t="str">
        <f t="shared" si="0"/>
        <v>Precinct 5</v>
      </c>
      <c r="F17">
        <v>60</v>
      </c>
      <c r="G17">
        <v>5</v>
      </c>
      <c r="H17">
        <v>5</v>
      </c>
      <c r="I17" s="53">
        <f t="shared" si="2"/>
        <v>50</v>
      </c>
      <c r="J17">
        <v>90</v>
      </c>
      <c r="K17">
        <v>2.5</v>
      </c>
      <c r="L17">
        <v>4</v>
      </c>
      <c r="M17">
        <v>30</v>
      </c>
      <c r="N17" s="8">
        <v>0</v>
      </c>
      <c r="Q17" s="1">
        <v>8.6502973139225272</v>
      </c>
      <c r="R17" s="1">
        <v>12.975445970883767</v>
      </c>
      <c r="S17" s="1">
        <v>0.51485639757296398</v>
      </c>
      <c r="T17" s="8">
        <v>3.4323759838197583E-2</v>
      </c>
      <c r="U17" s="8">
        <v>3.6612010494077363E-2</v>
      </c>
      <c r="V17" s="1">
        <v>11.150297313922536</v>
      </c>
      <c r="W17" s="1">
        <v>16.725445970883776</v>
      </c>
      <c r="X17" s="1">
        <v>12.460589573310802</v>
      </c>
      <c r="Y17">
        <v>89.999999999999844</v>
      </c>
      <c r="Z17" s="8">
        <v>0.13497026860775052</v>
      </c>
      <c r="AA17" t="s">
        <v>24</v>
      </c>
    </row>
    <row r="18" spans="1:27" x14ac:dyDescent="0.2">
      <c r="A18" s="12">
        <f t="shared" si="1"/>
        <v>6</v>
      </c>
      <c r="E18" s="10" t="str">
        <f t="shared" si="0"/>
        <v>Precinct 6</v>
      </c>
      <c r="F18">
        <v>70</v>
      </c>
      <c r="G18">
        <v>5</v>
      </c>
      <c r="H18">
        <v>5</v>
      </c>
      <c r="I18" s="53">
        <f t="shared" si="2"/>
        <v>60</v>
      </c>
      <c r="J18">
        <v>85</v>
      </c>
      <c r="K18">
        <v>2.5</v>
      </c>
      <c r="L18">
        <v>4</v>
      </c>
      <c r="M18">
        <v>30</v>
      </c>
      <c r="N18" s="8">
        <v>0</v>
      </c>
      <c r="Q18" s="1">
        <v>4.1372077751564644</v>
      </c>
      <c r="R18" s="1">
        <v>5.8610443481383294</v>
      </c>
      <c r="S18" s="1">
        <v>3.9521786524648519E-3</v>
      </c>
      <c r="T18" s="8">
        <v>5.1145841384839209E-4</v>
      </c>
      <c r="U18" s="8">
        <v>1.9506785482485967E-3</v>
      </c>
      <c r="V18" s="1">
        <v>6.63720777515646</v>
      </c>
      <c r="W18" s="1">
        <v>9.4027110148049911</v>
      </c>
      <c r="X18" s="1">
        <v>5.8570921694858642</v>
      </c>
      <c r="Y18">
        <v>85.000000000000057</v>
      </c>
      <c r="Z18" s="8">
        <v>0.24151190788798352</v>
      </c>
      <c r="AA18" t="s">
        <v>24</v>
      </c>
    </row>
    <row r="19" spans="1:27" x14ac:dyDescent="0.2">
      <c r="A19" s="12">
        <f t="shared" si="1"/>
        <v>7</v>
      </c>
      <c r="E19" s="10"/>
      <c r="I19" s="53"/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7" x14ac:dyDescent="0.2">
      <c r="A20" s="12">
        <f t="shared" si="1"/>
        <v>8</v>
      </c>
      <c r="E20" s="10" t="str">
        <f t="shared" si="0"/>
        <v/>
      </c>
      <c r="I20" s="53"/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7" x14ac:dyDescent="0.2">
      <c r="A21" s="12">
        <f t="shared" si="1"/>
        <v>9</v>
      </c>
      <c r="E21" s="10" t="str">
        <f t="shared" si="0"/>
        <v/>
      </c>
      <c r="I21" s="53"/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7" x14ac:dyDescent="0.2">
      <c r="A22" s="12">
        <f t="shared" si="1"/>
        <v>10</v>
      </c>
      <c r="E22" s="10" t="str">
        <f t="shared" si="0"/>
        <v/>
      </c>
      <c r="I22" s="53"/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7" x14ac:dyDescent="0.2">
      <c r="A23" s="12">
        <f t="shared" si="1"/>
        <v>11</v>
      </c>
      <c r="E23" s="10" t="str">
        <f t="shared" si="0"/>
        <v/>
      </c>
      <c r="I23" s="53"/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7" x14ac:dyDescent="0.2">
      <c r="A24" s="12">
        <f t="shared" si="1"/>
        <v>12</v>
      </c>
      <c r="E24" s="10" t="str">
        <f t="shared" si="0"/>
        <v/>
      </c>
      <c r="I24" s="53"/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7" x14ac:dyDescent="0.2">
      <c r="A25" s="12">
        <f t="shared" si="1"/>
        <v>13</v>
      </c>
      <c r="E25" s="10" t="str">
        <f t="shared" si="0"/>
        <v/>
      </c>
      <c r="I25" s="53"/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7" x14ac:dyDescent="0.2">
      <c r="A26" s="12">
        <f t="shared" si="1"/>
        <v>14</v>
      </c>
      <c r="E26" s="10" t="str">
        <f t="shared" si="0"/>
        <v/>
      </c>
      <c r="I26" s="53"/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7" x14ac:dyDescent="0.2">
      <c r="A27" s="12">
        <f t="shared" si="1"/>
        <v>15</v>
      </c>
      <c r="E27" s="10" t="str">
        <f t="shared" si="0"/>
        <v/>
      </c>
      <c r="I27" s="53"/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7" x14ac:dyDescent="0.2">
      <c r="A28" s="12">
        <f t="shared" si="1"/>
        <v>16</v>
      </c>
      <c r="E28" s="10" t="str">
        <f t="shared" si="0"/>
        <v/>
      </c>
      <c r="I28" s="53"/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7" x14ac:dyDescent="0.2">
      <c r="A29" s="12">
        <f t="shared" si="1"/>
        <v>17</v>
      </c>
      <c r="E29" s="10" t="str">
        <f t="shared" si="0"/>
        <v/>
      </c>
      <c r="I29" s="53"/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7" x14ac:dyDescent="0.2">
      <c r="A30" s="12">
        <f t="shared" si="1"/>
        <v>18</v>
      </c>
      <c r="E30" s="10" t="str">
        <f t="shared" si="0"/>
        <v/>
      </c>
      <c r="I30" s="53"/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7" x14ac:dyDescent="0.2">
      <c r="A31" s="12">
        <f t="shared" si="1"/>
        <v>19</v>
      </c>
      <c r="E31" s="10" t="str">
        <f t="shared" si="0"/>
        <v/>
      </c>
      <c r="I31" s="53"/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7" x14ac:dyDescent="0.2">
      <c r="A32" s="12">
        <f t="shared" si="1"/>
        <v>20</v>
      </c>
      <c r="E32" s="10" t="str">
        <f t="shared" si="0"/>
        <v/>
      </c>
      <c r="I32" s="53"/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1"/>
        <v>21</v>
      </c>
      <c r="E33" s="10" t="str">
        <f t="shared" si="0"/>
        <v/>
      </c>
      <c r="I33" s="53"/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1"/>
        <v>22</v>
      </c>
      <c r="E34" s="10" t="str">
        <f t="shared" si="0"/>
        <v/>
      </c>
      <c r="I34" s="53"/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1"/>
        <v>23</v>
      </c>
      <c r="E35" s="10" t="str">
        <f t="shared" si="0"/>
        <v/>
      </c>
      <c r="I35" s="53"/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1"/>
        <v>24</v>
      </c>
      <c r="E36" s="10" t="str">
        <f t="shared" si="0"/>
        <v/>
      </c>
      <c r="I36" s="53"/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1"/>
        <v>25</v>
      </c>
      <c r="E37" s="10" t="str">
        <f t="shared" si="0"/>
        <v/>
      </c>
      <c r="I37" s="53"/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1"/>
        <v>26</v>
      </c>
      <c r="E38" s="10" t="str">
        <f t="shared" si="0"/>
        <v/>
      </c>
      <c r="I38" s="53"/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1"/>
        <v>27</v>
      </c>
      <c r="E39" s="10" t="str">
        <f t="shared" si="0"/>
        <v/>
      </c>
      <c r="I39" s="53"/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1"/>
        <v>28</v>
      </c>
      <c r="E40" s="10" t="str">
        <f t="shared" si="0"/>
        <v/>
      </c>
      <c r="I40" s="53"/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1"/>
        <v>29</v>
      </c>
      <c r="E41" s="10" t="str">
        <f t="shared" si="0"/>
        <v/>
      </c>
      <c r="I41" s="53"/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1"/>
        <v>30</v>
      </c>
      <c r="E42" s="10" t="str">
        <f t="shared" si="0"/>
        <v/>
      </c>
      <c r="I42" s="53"/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1"/>
        <v>31</v>
      </c>
      <c r="E43" s="10" t="str">
        <f t="shared" si="0"/>
        <v/>
      </c>
      <c r="I43" s="53"/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1"/>
        <v>32</v>
      </c>
      <c r="E44" s="10" t="str">
        <f t="shared" si="0"/>
        <v/>
      </c>
      <c r="I44" s="53"/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1"/>
        <v>33</v>
      </c>
      <c r="E45" s="10" t="str">
        <f t="shared" si="0"/>
        <v/>
      </c>
      <c r="I45" s="53"/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1"/>
        <v>34</v>
      </c>
      <c r="E46" s="10" t="str">
        <f t="shared" si="0"/>
        <v/>
      </c>
      <c r="I46" s="53"/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1"/>
        <v>35</v>
      </c>
      <c r="E47" s="10" t="str">
        <f t="shared" si="0"/>
        <v/>
      </c>
      <c r="I47" s="53"/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1"/>
        <v>36</v>
      </c>
      <c r="E48" s="10" t="str">
        <f t="shared" si="0"/>
        <v/>
      </c>
      <c r="I48" s="53"/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1"/>
        <v>37</v>
      </c>
      <c r="E49" s="10" t="str">
        <f t="shared" si="0"/>
        <v/>
      </c>
      <c r="I49" s="53"/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1"/>
        <v>38</v>
      </c>
      <c r="E50" s="10" t="str">
        <f t="shared" si="0"/>
        <v/>
      </c>
      <c r="I50" s="53"/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1"/>
        <v>39</v>
      </c>
      <c r="E51" s="10" t="str">
        <f t="shared" si="0"/>
        <v/>
      </c>
      <c r="I51" s="53"/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1"/>
        <v>40</v>
      </c>
      <c r="E52" s="10" t="str">
        <f t="shared" si="0"/>
        <v/>
      </c>
      <c r="I52" s="53"/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1"/>
        <v>41</v>
      </c>
      <c r="E53" s="10" t="str">
        <f t="shared" si="0"/>
        <v/>
      </c>
      <c r="I53" s="53"/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1"/>
        <v>42</v>
      </c>
      <c r="E54" s="10" t="str">
        <f t="shared" si="0"/>
        <v/>
      </c>
      <c r="I54" s="53"/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1"/>
        <v>43</v>
      </c>
      <c r="E55" s="10" t="str">
        <f t="shared" si="0"/>
        <v/>
      </c>
      <c r="I55" s="53"/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1"/>
        <v>44</v>
      </c>
      <c r="E56" s="10" t="str">
        <f t="shared" si="0"/>
        <v/>
      </c>
      <c r="I56" s="53"/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1"/>
        <v>45</v>
      </c>
      <c r="E57" s="10" t="str">
        <f t="shared" si="0"/>
        <v/>
      </c>
      <c r="I57" s="53"/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1"/>
        <v>46</v>
      </c>
      <c r="E58" s="10" t="str">
        <f t="shared" si="0"/>
        <v/>
      </c>
      <c r="I58" s="53"/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1"/>
        <v>47</v>
      </c>
      <c r="E59" s="10" t="str">
        <f t="shared" si="0"/>
        <v/>
      </c>
      <c r="I59" s="53"/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1"/>
        <v>48</v>
      </c>
      <c r="E60" s="10" t="str">
        <f t="shared" si="0"/>
        <v/>
      </c>
      <c r="I60" s="53"/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1"/>
        <v>49</v>
      </c>
      <c r="E61" s="10" t="str">
        <f t="shared" si="0"/>
        <v/>
      </c>
      <c r="I61" s="53"/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1"/>
        <v>50</v>
      </c>
      <c r="E62" s="10" t="str">
        <f t="shared" si="0"/>
        <v/>
      </c>
      <c r="I62" s="53"/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1"/>
        <v>51</v>
      </c>
      <c r="E63" s="10" t="str">
        <f t="shared" si="0"/>
        <v/>
      </c>
      <c r="I63" s="53"/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1"/>
        <v>52</v>
      </c>
      <c r="E64" s="10" t="str">
        <f t="shared" si="0"/>
        <v/>
      </c>
      <c r="I64" s="53"/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1"/>
        <v>53</v>
      </c>
      <c r="E65" s="10" t="str">
        <f t="shared" si="0"/>
        <v/>
      </c>
      <c r="I65" s="53"/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1"/>
        <v>54</v>
      </c>
      <c r="E66" s="10" t="str">
        <f t="shared" si="0"/>
        <v/>
      </c>
      <c r="I66" s="53"/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1"/>
        <v>55</v>
      </c>
      <c r="E67" s="10" t="str">
        <f t="shared" si="0"/>
        <v/>
      </c>
      <c r="I67" s="53"/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1"/>
        <v>56</v>
      </c>
      <c r="E68" s="10" t="str">
        <f t="shared" si="0"/>
        <v/>
      </c>
      <c r="I68" s="53"/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1"/>
        <v>57</v>
      </c>
      <c r="E69" s="10" t="str">
        <f t="shared" si="0"/>
        <v/>
      </c>
      <c r="I69" s="53"/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1"/>
        <v>58</v>
      </c>
      <c r="E70" s="10" t="str">
        <f t="shared" si="0"/>
        <v/>
      </c>
      <c r="I70" s="53"/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1"/>
        <v>59</v>
      </c>
      <c r="E71" s="10" t="str">
        <f t="shared" si="0"/>
        <v/>
      </c>
      <c r="I71" s="53"/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1"/>
        <v>60</v>
      </c>
      <c r="E72" s="10" t="str">
        <f t="shared" si="0"/>
        <v/>
      </c>
      <c r="I72" s="53"/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1"/>
        <v>61</v>
      </c>
      <c r="E73" s="10" t="str">
        <f t="shared" si="0"/>
        <v/>
      </c>
      <c r="I73" s="53"/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1"/>
        <v>62</v>
      </c>
      <c r="E74" s="10" t="str">
        <f t="shared" si="0"/>
        <v/>
      </c>
      <c r="I74" s="53"/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1"/>
        <v>63</v>
      </c>
      <c r="E75" s="10" t="str">
        <f t="shared" si="0"/>
        <v/>
      </c>
      <c r="I75" s="53"/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1"/>
        <v>64</v>
      </c>
      <c r="E76" s="10" t="str">
        <f t="shared" si="0"/>
        <v/>
      </c>
      <c r="I76" s="53"/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1"/>
        <v>65</v>
      </c>
      <c r="E77" s="10" t="str">
        <f t="shared" ref="E77:E140" si="3">IF($C$8&gt;=A77,$E$1&amp;" "&amp;A77,"")</f>
        <v/>
      </c>
      <c r="I77" s="53"/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1"/>
        <v>66</v>
      </c>
      <c r="E78" s="10" t="str">
        <f t="shared" si="3"/>
        <v/>
      </c>
      <c r="I78" s="53"/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4">A78+1</f>
        <v>67</v>
      </c>
      <c r="E79" s="10" t="str">
        <f t="shared" si="3"/>
        <v/>
      </c>
      <c r="I79" s="53"/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4"/>
        <v>68</v>
      </c>
      <c r="E80" s="10" t="str">
        <f t="shared" si="3"/>
        <v/>
      </c>
      <c r="I80" s="53"/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4"/>
        <v>69</v>
      </c>
      <c r="E81" s="10" t="str">
        <f t="shared" si="3"/>
        <v/>
      </c>
      <c r="I81" s="53"/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4"/>
        <v>70</v>
      </c>
      <c r="E82" s="10" t="str">
        <f t="shared" si="3"/>
        <v/>
      </c>
      <c r="I82" s="53"/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4"/>
        <v>71</v>
      </c>
      <c r="E83" s="10" t="str">
        <f t="shared" si="3"/>
        <v/>
      </c>
      <c r="I83" s="53"/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4"/>
        <v>72</v>
      </c>
      <c r="E84" s="10" t="str">
        <f t="shared" si="3"/>
        <v/>
      </c>
      <c r="I84" s="53"/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4"/>
        <v>73</v>
      </c>
      <c r="E85" s="10" t="str">
        <f t="shared" si="3"/>
        <v/>
      </c>
      <c r="I85" s="53"/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4"/>
        <v>74</v>
      </c>
      <c r="E86" s="10" t="str">
        <f t="shared" si="3"/>
        <v/>
      </c>
      <c r="I86" s="53"/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4"/>
        <v>75</v>
      </c>
      <c r="E87" s="10" t="str">
        <f t="shared" si="3"/>
        <v/>
      </c>
      <c r="I87" s="53"/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4"/>
        <v>76</v>
      </c>
      <c r="E88" s="10" t="str">
        <f t="shared" si="3"/>
        <v/>
      </c>
      <c r="I88" s="53"/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4"/>
        <v>77</v>
      </c>
      <c r="E89" s="10" t="str">
        <f t="shared" si="3"/>
        <v/>
      </c>
      <c r="I89" s="53"/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4"/>
        <v>78</v>
      </c>
      <c r="E90" s="10" t="str">
        <f t="shared" si="3"/>
        <v/>
      </c>
      <c r="I90" s="53"/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4"/>
        <v>79</v>
      </c>
      <c r="E91" s="10" t="str">
        <f t="shared" si="3"/>
        <v/>
      </c>
      <c r="I91" s="53"/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4"/>
        <v>80</v>
      </c>
      <c r="E92" s="10" t="str">
        <f t="shared" si="3"/>
        <v/>
      </c>
      <c r="I92" s="53"/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4"/>
        <v>81</v>
      </c>
      <c r="E93" s="10" t="str">
        <f t="shared" si="3"/>
        <v/>
      </c>
      <c r="I93" s="53"/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4"/>
        <v>82</v>
      </c>
      <c r="E94" s="10" t="str">
        <f t="shared" si="3"/>
        <v/>
      </c>
      <c r="I94" s="53"/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4"/>
        <v>83</v>
      </c>
      <c r="E95" s="10" t="str">
        <f t="shared" si="3"/>
        <v/>
      </c>
      <c r="I95" s="53"/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4"/>
        <v>84</v>
      </c>
      <c r="E96" s="10" t="str">
        <f t="shared" si="3"/>
        <v/>
      </c>
      <c r="I96" s="53"/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4"/>
        <v>85</v>
      </c>
      <c r="E97" s="10" t="str">
        <f t="shared" si="3"/>
        <v/>
      </c>
      <c r="I97" s="53"/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4"/>
        <v>86</v>
      </c>
      <c r="E98" s="10" t="str">
        <f t="shared" si="3"/>
        <v/>
      </c>
      <c r="I98" s="53"/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4"/>
        <v>87</v>
      </c>
      <c r="E99" s="10" t="str">
        <f t="shared" si="3"/>
        <v/>
      </c>
      <c r="I99" s="53"/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4"/>
        <v>88</v>
      </c>
      <c r="E100" s="10" t="str">
        <f t="shared" si="3"/>
        <v/>
      </c>
      <c r="I100" s="53"/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4"/>
        <v>89</v>
      </c>
      <c r="E101" s="10" t="str">
        <f t="shared" si="3"/>
        <v/>
      </c>
      <c r="I101" s="53"/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4"/>
        <v>90</v>
      </c>
      <c r="E102" s="10" t="str">
        <f t="shared" si="3"/>
        <v/>
      </c>
      <c r="I102" s="53"/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4"/>
        <v>91</v>
      </c>
      <c r="E103" s="10" t="str">
        <f t="shared" si="3"/>
        <v/>
      </c>
      <c r="I103" s="53"/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4"/>
        <v>92</v>
      </c>
      <c r="E104" s="10" t="str">
        <f t="shared" si="3"/>
        <v/>
      </c>
      <c r="I104" s="53"/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4"/>
        <v>93</v>
      </c>
      <c r="E105" s="10" t="str">
        <f t="shared" si="3"/>
        <v/>
      </c>
      <c r="I105" s="53"/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4"/>
        <v>94</v>
      </c>
      <c r="E106" s="10" t="str">
        <f t="shared" si="3"/>
        <v/>
      </c>
      <c r="I106" s="53"/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4"/>
        <v>95</v>
      </c>
      <c r="E107" s="10" t="str">
        <f t="shared" si="3"/>
        <v/>
      </c>
      <c r="I107" s="53"/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4"/>
        <v>96</v>
      </c>
      <c r="E108" s="10" t="str">
        <f t="shared" si="3"/>
        <v/>
      </c>
      <c r="I108" s="53"/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4"/>
        <v>97</v>
      </c>
      <c r="E109" s="10" t="str">
        <f t="shared" si="3"/>
        <v/>
      </c>
      <c r="I109" s="53"/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4"/>
        <v>98</v>
      </c>
      <c r="E110" s="10" t="str">
        <f t="shared" si="3"/>
        <v/>
      </c>
      <c r="I110" s="53"/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4"/>
        <v>99</v>
      </c>
      <c r="E111" s="10" t="str">
        <f t="shared" si="3"/>
        <v/>
      </c>
      <c r="I111" s="53"/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4"/>
        <v>100</v>
      </c>
      <c r="E112" s="10" t="str">
        <f t="shared" si="3"/>
        <v/>
      </c>
      <c r="I112" s="53"/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4"/>
        <v>101</v>
      </c>
      <c r="E113" s="10" t="str">
        <f t="shared" si="3"/>
        <v/>
      </c>
      <c r="I113" s="53"/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4"/>
        <v>102</v>
      </c>
      <c r="E114" s="10" t="str">
        <f t="shared" si="3"/>
        <v/>
      </c>
      <c r="I114" s="53"/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4"/>
        <v>103</v>
      </c>
      <c r="E115" s="10" t="str">
        <f t="shared" si="3"/>
        <v/>
      </c>
      <c r="I115" s="53"/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4"/>
        <v>104</v>
      </c>
      <c r="E116" s="10" t="str">
        <f t="shared" si="3"/>
        <v/>
      </c>
      <c r="I116" s="53"/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4"/>
        <v>105</v>
      </c>
      <c r="E117" s="10" t="str">
        <f t="shared" si="3"/>
        <v/>
      </c>
      <c r="I117" s="53"/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4"/>
        <v>106</v>
      </c>
      <c r="E118" s="10" t="str">
        <f t="shared" si="3"/>
        <v/>
      </c>
      <c r="I118" s="53"/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4"/>
        <v>107</v>
      </c>
      <c r="E119" s="10" t="str">
        <f t="shared" si="3"/>
        <v/>
      </c>
      <c r="I119" s="53"/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4"/>
        <v>108</v>
      </c>
      <c r="E120" s="10" t="str">
        <f t="shared" si="3"/>
        <v/>
      </c>
      <c r="I120" s="53"/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4"/>
        <v>109</v>
      </c>
      <c r="E121" s="10" t="str">
        <f t="shared" si="3"/>
        <v/>
      </c>
      <c r="I121" s="53"/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4"/>
        <v>110</v>
      </c>
      <c r="E122" s="10" t="str">
        <f t="shared" si="3"/>
        <v/>
      </c>
      <c r="I122" s="53"/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4"/>
        <v>111</v>
      </c>
      <c r="E123" s="10" t="str">
        <f t="shared" si="3"/>
        <v/>
      </c>
      <c r="I123" s="53"/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4"/>
        <v>112</v>
      </c>
      <c r="E124" s="10" t="str">
        <f t="shared" si="3"/>
        <v/>
      </c>
      <c r="I124" s="53"/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4"/>
        <v>113</v>
      </c>
      <c r="E125" s="10" t="str">
        <f t="shared" si="3"/>
        <v/>
      </c>
      <c r="I125" s="53"/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4"/>
        <v>114</v>
      </c>
      <c r="E126" s="10" t="str">
        <f t="shared" si="3"/>
        <v/>
      </c>
      <c r="I126" s="53"/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4"/>
        <v>115</v>
      </c>
      <c r="E127" s="10" t="str">
        <f t="shared" si="3"/>
        <v/>
      </c>
      <c r="I127" s="53"/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4"/>
        <v>116</v>
      </c>
      <c r="E128" s="10" t="str">
        <f t="shared" si="3"/>
        <v/>
      </c>
      <c r="I128" s="53"/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4"/>
        <v>117</v>
      </c>
      <c r="E129" s="10" t="str">
        <f t="shared" si="3"/>
        <v/>
      </c>
      <c r="I129" s="53"/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4"/>
        <v>118</v>
      </c>
      <c r="E130" s="10" t="str">
        <f t="shared" si="3"/>
        <v/>
      </c>
      <c r="I130" s="53"/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4"/>
        <v>119</v>
      </c>
      <c r="E131" s="10" t="str">
        <f t="shared" si="3"/>
        <v/>
      </c>
      <c r="I131" s="53"/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4"/>
        <v>120</v>
      </c>
      <c r="E132" s="10" t="str">
        <f t="shared" si="3"/>
        <v/>
      </c>
      <c r="I132" s="53"/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4"/>
        <v>121</v>
      </c>
      <c r="E133" s="10" t="str">
        <f t="shared" si="3"/>
        <v/>
      </c>
      <c r="I133" s="53"/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4"/>
        <v>122</v>
      </c>
      <c r="E134" s="10" t="str">
        <f t="shared" si="3"/>
        <v/>
      </c>
      <c r="I134" s="53"/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4"/>
        <v>123</v>
      </c>
      <c r="E135" s="10" t="str">
        <f t="shared" si="3"/>
        <v/>
      </c>
      <c r="I135" s="53"/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4"/>
        <v>124</v>
      </c>
      <c r="E136" s="10" t="str">
        <f t="shared" si="3"/>
        <v/>
      </c>
      <c r="I136" s="53"/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4"/>
        <v>125</v>
      </c>
      <c r="E137" s="10" t="str">
        <f t="shared" si="3"/>
        <v/>
      </c>
      <c r="I137" s="53"/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4"/>
        <v>126</v>
      </c>
      <c r="E138" s="10" t="str">
        <f t="shared" si="3"/>
        <v/>
      </c>
      <c r="I138" s="53"/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4"/>
        <v>127</v>
      </c>
      <c r="E139" s="10" t="str">
        <f t="shared" si="3"/>
        <v/>
      </c>
      <c r="I139" s="53"/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4"/>
        <v>128</v>
      </c>
      <c r="E140" s="10" t="str">
        <f t="shared" si="3"/>
        <v/>
      </c>
      <c r="I140" s="53"/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4"/>
        <v>129</v>
      </c>
      <c r="E141" s="10" t="str">
        <f t="shared" ref="E141:E204" si="5">IF($C$8&gt;=A141,$E$1&amp;" "&amp;A141,"")</f>
        <v/>
      </c>
      <c r="I141" s="53"/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4"/>
        <v>130</v>
      </c>
      <c r="E142" s="10" t="str">
        <f t="shared" si="5"/>
        <v/>
      </c>
      <c r="I142" s="53"/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6">A142+1</f>
        <v>131</v>
      </c>
      <c r="E143" s="10" t="str">
        <f t="shared" si="5"/>
        <v/>
      </c>
      <c r="I143" s="53"/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6"/>
        <v>132</v>
      </c>
      <c r="E144" s="10" t="str">
        <f t="shared" si="5"/>
        <v/>
      </c>
      <c r="I144" s="53"/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6"/>
        <v>133</v>
      </c>
      <c r="E145" s="10" t="str">
        <f t="shared" si="5"/>
        <v/>
      </c>
      <c r="I145" s="53"/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6"/>
        <v>134</v>
      </c>
      <c r="E146" s="10" t="str">
        <f t="shared" si="5"/>
        <v/>
      </c>
      <c r="I146" s="53"/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6"/>
        <v>135</v>
      </c>
      <c r="E147" s="10" t="str">
        <f t="shared" si="5"/>
        <v/>
      </c>
      <c r="I147" s="53"/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6"/>
        <v>136</v>
      </c>
      <c r="E148" s="10" t="str">
        <f t="shared" si="5"/>
        <v/>
      </c>
      <c r="I148" s="53"/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6"/>
        <v>137</v>
      </c>
      <c r="E149" s="10" t="str">
        <f t="shared" si="5"/>
        <v/>
      </c>
      <c r="I149" s="53"/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6"/>
        <v>138</v>
      </c>
      <c r="E150" s="10" t="str">
        <f t="shared" si="5"/>
        <v/>
      </c>
      <c r="I150" s="53"/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6"/>
        <v>139</v>
      </c>
      <c r="E151" s="10" t="str">
        <f t="shared" si="5"/>
        <v/>
      </c>
      <c r="I151" s="53"/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6"/>
        <v>140</v>
      </c>
      <c r="E152" s="10" t="str">
        <f t="shared" si="5"/>
        <v/>
      </c>
      <c r="I152" s="53"/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6"/>
        <v>141</v>
      </c>
      <c r="E153" s="10" t="str">
        <f t="shared" si="5"/>
        <v/>
      </c>
      <c r="I153" s="53"/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6"/>
        <v>142</v>
      </c>
      <c r="E154" s="10" t="str">
        <f t="shared" si="5"/>
        <v/>
      </c>
      <c r="I154" s="53"/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6"/>
        <v>143</v>
      </c>
      <c r="E155" s="10" t="str">
        <f t="shared" si="5"/>
        <v/>
      </c>
      <c r="I155" s="53"/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6"/>
        <v>144</v>
      </c>
      <c r="E156" s="10" t="str">
        <f t="shared" si="5"/>
        <v/>
      </c>
      <c r="I156" s="53"/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6"/>
        <v>145</v>
      </c>
      <c r="E157" s="10" t="str">
        <f t="shared" si="5"/>
        <v/>
      </c>
      <c r="I157" s="53"/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6"/>
        <v>146</v>
      </c>
      <c r="E158" s="10" t="str">
        <f t="shared" si="5"/>
        <v/>
      </c>
      <c r="I158" s="53"/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6"/>
        <v>147</v>
      </c>
      <c r="E159" s="10" t="str">
        <f t="shared" si="5"/>
        <v/>
      </c>
      <c r="I159" s="53"/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6"/>
        <v>148</v>
      </c>
      <c r="E160" s="10" t="str">
        <f t="shared" si="5"/>
        <v/>
      </c>
      <c r="I160" s="53"/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6"/>
        <v>149</v>
      </c>
      <c r="E161" s="10" t="str">
        <f t="shared" si="5"/>
        <v/>
      </c>
      <c r="I161" s="53"/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6"/>
        <v>150</v>
      </c>
      <c r="E162" s="10" t="str">
        <f t="shared" si="5"/>
        <v/>
      </c>
      <c r="I162" s="53"/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6"/>
        <v>151</v>
      </c>
      <c r="E163" s="10" t="str">
        <f t="shared" si="5"/>
        <v/>
      </c>
      <c r="I163" s="53"/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6"/>
        <v>152</v>
      </c>
      <c r="E164" s="10" t="str">
        <f t="shared" si="5"/>
        <v/>
      </c>
      <c r="I164" s="53"/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6"/>
        <v>153</v>
      </c>
      <c r="E165" s="10" t="str">
        <f t="shared" si="5"/>
        <v/>
      </c>
      <c r="I165" s="53"/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6"/>
        <v>154</v>
      </c>
      <c r="E166" s="10" t="str">
        <f t="shared" si="5"/>
        <v/>
      </c>
      <c r="I166" s="53"/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6"/>
        <v>155</v>
      </c>
      <c r="E167" s="10" t="str">
        <f t="shared" si="5"/>
        <v/>
      </c>
      <c r="I167" s="53"/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6"/>
        <v>156</v>
      </c>
      <c r="E168" s="10" t="str">
        <f t="shared" si="5"/>
        <v/>
      </c>
      <c r="I168" s="53"/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6"/>
        <v>157</v>
      </c>
      <c r="E169" s="10" t="str">
        <f t="shared" si="5"/>
        <v/>
      </c>
      <c r="I169" s="53"/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6"/>
        <v>158</v>
      </c>
      <c r="E170" s="10" t="str">
        <f t="shared" si="5"/>
        <v/>
      </c>
      <c r="I170" s="53"/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6"/>
        <v>159</v>
      </c>
      <c r="E171" s="10" t="str">
        <f t="shared" si="5"/>
        <v/>
      </c>
      <c r="I171" s="53"/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6"/>
        <v>160</v>
      </c>
      <c r="E172" s="10" t="str">
        <f t="shared" si="5"/>
        <v/>
      </c>
      <c r="I172" s="53"/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6"/>
        <v>161</v>
      </c>
      <c r="E173" s="10" t="str">
        <f t="shared" si="5"/>
        <v/>
      </c>
      <c r="I173" s="53"/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6"/>
        <v>162</v>
      </c>
      <c r="E174" s="10" t="str">
        <f t="shared" si="5"/>
        <v/>
      </c>
      <c r="I174" s="53"/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6"/>
        <v>163</v>
      </c>
      <c r="E175" s="10" t="str">
        <f t="shared" si="5"/>
        <v/>
      </c>
      <c r="I175" s="53"/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6"/>
        <v>164</v>
      </c>
      <c r="E176" s="10" t="str">
        <f t="shared" si="5"/>
        <v/>
      </c>
      <c r="I176" s="53"/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6"/>
        <v>165</v>
      </c>
      <c r="E177" s="10" t="str">
        <f t="shared" si="5"/>
        <v/>
      </c>
      <c r="I177" s="53"/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6"/>
        <v>166</v>
      </c>
      <c r="E178" s="10" t="str">
        <f t="shared" si="5"/>
        <v/>
      </c>
      <c r="I178" s="53"/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6"/>
        <v>167</v>
      </c>
      <c r="E179" s="10" t="str">
        <f t="shared" si="5"/>
        <v/>
      </c>
      <c r="I179" s="53"/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6"/>
        <v>168</v>
      </c>
      <c r="E180" s="10" t="str">
        <f t="shared" si="5"/>
        <v/>
      </c>
      <c r="I180" s="53"/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6"/>
        <v>169</v>
      </c>
      <c r="E181" s="10" t="str">
        <f t="shared" si="5"/>
        <v/>
      </c>
      <c r="I181" s="53"/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6"/>
        <v>170</v>
      </c>
      <c r="E182" s="10" t="str">
        <f t="shared" si="5"/>
        <v/>
      </c>
      <c r="I182" s="53"/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6"/>
        <v>171</v>
      </c>
      <c r="E183" s="10" t="str">
        <f t="shared" si="5"/>
        <v/>
      </c>
      <c r="I183" s="53"/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6"/>
        <v>172</v>
      </c>
      <c r="E184" s="10" t="str">
        <f t="shared" si="5"/>
        <v/>
      </c>
      <c r="I184" s="53"/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6"/>
        <v>173</v>
      </c>
      <c r="E185" s="10" t="str">
        <f t="shared" si="5"/>
        <v/>
      </c>
      <c r="I185" s="53"/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6"/>
        <v>174</v>
      </c>
      <c r="E186" s="10" t="str">
        <f t="shared" si="5"/>
        <v/>
      </c>
      <c r="I186" s="53"/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6"/>
        <v>175</v>
      </c>
      <c r="E187" s="10" t="str">
        <f t="shared" si="5"/>
        <v/>
      </c>
      <c r="I187" s="53"/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6"/>
        <v>176</v>
      </c>
      <c r="E188" s="10" t="str">
        <f t="shared" si="5"/>
        <v/>
      </c>
      <c r="I188" s="53"/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6"/>
        <v>177</v>
      </c>
      <c r="E189" s="10" t="str">
        <f t="shared" si="5"/>
        <v/>
      </c>
      <c r="I189" s="53"/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6"/>
        <v>178</v>
      </c>
      <c r="E190" s="10" t="str">
        <f t="shared" si="5"/>
        <v/>
      </c>
      <c r="I190" s="53"/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6"/>
        <v>179</v>
      </c>
      <c r="E191" s="10" t="str">
        <f t="shared" si="5"/>
        <v/>
      </c>
      <c r="I191" s="53"/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6"/>
        <v>180</v>
      </c>
      <c r="E192" s="10" t="str">
        <f t="shared" si="5"/>
        <v/>
      </c>
      <c r="I192" s="53"/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6"/>
        <v>181</v>
      </c>
      <c r="E193" s="10" t="str">
        <f t="shared" si="5"/>
        <v/>
      </c>
      <c r="I193" s="53"/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6"/>
        <v>182</v>
      </c>
      <c r="E194" s="10" t="str">
        <f t="shared" si="5"/>
        <v/>
      </c>
      <c r="I194" s="53"/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6"/>
        <v>183</v>
      </c>
      <c r="E195" s="10" t="str">
        <f t="shared" si="5"/>
        <v/>
      </c>
      <c r="I195" s="53"/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6"/>
        <v>184</v>
      </c>
      <c r="E196" s="10" t="str">
        <f t="shared" si="5"/>
        <v/>
      </c>
      <c r="I196" s="53"/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6"/>
        <v>185</v>
      </c>
      <c r="E197" s="10" t="str">
        <f t="shared" si="5"/>
        <v/>
      </c>
      <c r="I197" s="53"/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6"/>
        <v>186</v>
      </c>
      <c r="E198" s="10" t="str">
        <f t="shared" si="5"/>
        <v/>
      </c>
      <c r="I198" s="53"/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6"/>
        <v>187</v>
      </c>
      <c r="E199" s="10" t="str">
        <f t="shared" si="5"/>
        <v/>
      </c>
      <c r="I199" s="53"/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6"/>
        <v>188</v>
      </c>
      <c r="E200" s="10" t="str">
        <f t="shared" si="5"/>
        <v/>
      </c>
      <c r="I200" s="53"/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6"/>
        <v>189</v>
      </c>
      <c r="E201" s="10" t="str">
        <f t="shared" si="5"/>
        <v/>
      </c>
      <c r="I201" s="53"/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6"/>
        <v>190</v>
      </c>
      <c r="E202" s="10" t="str">
        <f t="shared" si="5"/>
        <v/>
      </c>
      <c r="I202" s="53"/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6"/>
        <v>191</v>
      </c>
      <c r="E203" s="10" t="str">
        <f t="shared" si="5"/>
        <v/>
      </c>
      <c r="I203" s="53"/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6"/>
        <v>192</v>
      </c>
      <c r="E204" s="10" t="str">
        <f t="shared" si="5"/>
        <v/>
      </c>
      <c r="I204" s="53"/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6"/>
        <v>193</v>
      </c>
      <c r="E205" s="10" t="str">
        <f t="shared" ref="E205:E268" si="7">IF($C$8&gt;=A205,$E$1&amp;" "&amp;A205,"")</f>
        <v/>
      </c>
      <c r="I205" s="53"/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6"/>
        <v>194</v>
      </c>
      <c r="E206" s="10" t="str">
        <f t="shared" si="7"/>
        <v/>
      </c>
      <c r="I206" s="53"/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8">A206+1</f>
        <v>195</v>
      </c>
      <c r="E207" s="10" t="str">
        <f t="shared" si="7"/>
        <v/>
      </c>
      <c r="I207" s="53"/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8"/>
        <v>196</v>
      </c>
      <c r="E208" s="10" t="str">
        <f t="shared" si="7"/>
        <v/>
      </c>
      <c r="I208" s="53"/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8"/>
        <v>197</v>
      </c>
      <c r="E209" s="10" t="str">
        <f t="shared" si="7"/>
        <v/>
      </c>
      <c r="I209" s="53"/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8"/>
        <v>198</v>
      </c>
      <c r="E210" s="10" t="str">
        <f t="shared" si="7"/>
        <v/>
      </c>
      <c r="I210" s="53"/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8"/>
        <v>199</v>
      </c>
      <c r="E211" s="10" t="str">
        <f t="shared" si="7"/>
        <v/>
      </c>
      <c r="I211" s="53"/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8"/>
        <v>200</v>
      </c>
      <c r="E212" s="10" t="str">
        <f t="shared" si="7"/>
        <v/>
      </c>
      <c r="I212" s="53"/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8"/>
        <v>201</v>
      </c>
      <c r="E213" s="10" t="str">
        <f t="shared" si="7"/>
        <v/>
      </c>
      <c r="I213" s="53"/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8"/>
        <v>202</v>
      </c>
      <c r="E214" s="10" t="str">
        <f t="shared" si="7"/>
        <v/>
      </c>
      <c r="I214" s="53"/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8"/>
        <v>203</v>
      </c>
      <c r="E215" s="10" t="str">
        <f t="shared" si="7"/>
        <v/>
      </c>
      <c r="I215" s="53"/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8"/>
        <v>204</v>
      </c>
      <c r="E216" s="10" t="str">
        <f t="shared" si="7"/>
        <v/>
      </c>
      <c r="I216" s="53"/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8"/>
        <v>205</v>
      </c>
      <c r="E217" s="10" t="str">
        <f t="shared" si="7"/>
        <v/>
      </c>
      <c r="I217" s="53"/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8"/>
        <v>206</v>
      </c>
      <c r="E218" s="10" t="str">
        <f t="shared" si="7"/>
        <v/>
      </c>
      <c r="I218" s="53"/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8"/>
        <v>207</v>
      </c>
      <c r="E219" s="10" t="str">
        <f t="shared" si="7"/>
        <v/>
      </c>
      <c r="I219" s="53"/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8"/>
        <v>208</v>
      </c>
      <c r="E220" s="10" t="str">
        <f t="shared" si="7"/>
        <v/>
      </c>
      <c r="I220" s="53"/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8"/>
        <v>209</v>
      </c>
      <c r="E221" s="10" t="str">
        <f t="shared" si="7"/>
        <v/>
      </c>
      <c r="I221" s="53"/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8"/>
        <v>210</v>
      </c>
      <c r="E222" s="10" t="str">
        <f t="shared" si="7"/>
        <v/>
      </c>
      <c r="I222" s="53"/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8"/>
        <v>211</v>
      </c>
      <c r="E223" s="10" t="str">
        <f t="shared" si="7"/>
        <v/>
      </c>
      <c r="I223" s="53"/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8"/>
        <v>212</v>
      </c>
      <c r="E224" s="10" t="str">
        <f t="shared" si="7"/>
        <v/>
      </c>
      <c r="I224" s="53"/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8"/>
        <v>213</v>
      </c>
      <c r="E225" s="10" t="str">
        <f t="shared" si="7"/>
        <v/>
      </c>
      <c r="I225" s="53"/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8"/>
        <v>214</v>
      </c>
      <c r="E226" s="10" t="str">
        <f t="shared" si="7"/>
        <v/>
      </c>
      <c r="I226" s="53"/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8"/>
        <v>215</v>
      </c>
      <c r="E227" s="10" t="str">
        <f t="shared" si="7"/>
        <v/>
      </c>
      <c r="I227" s="53"/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8"/>
        <v>216</v>
      </c>
      <c r="E228" s="10" t="str">
        <f t="shared" si="7"/>
        <v/>
      </c>
      <c r="I228" s="53"/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8"/>
        <v>217</v>
      </c>
      <c r="E229" s="10" t="str">
        <f t="shared" si="7"/>
        <v/>
      </c>
      <c r="I229" s="53"/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8"/>
        <v>218</v>
      </c>
      <c r="E230" s="10" t="str">
        <f t="shared" si="7"/>
        <v/>
      </c>
      <c r="I230" s="53"/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8"/>
        <v>219</v>
      </c>
      <c r="E231" s="10" t="str">
        <f t="shared" si="7"/>
        <v/>
      </c>
      <c r="I231" s="53"/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8"/>
        <v>220</v>
      </c>
      <c r="E232" s="10" t="str">
        <f t="shared" si="7"/>
        <v/>
      </c>
      <c r="I232" s="53"/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8"/>
        <v>221</v>
      </c>
      <c r="E233" s="10" t="str">
        <f t="shared" si="7"/>
        <v/>
      </c>
      <c r="I233" s="53"/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8"/>
        <v>222</v>
      </c>
      <c r="E234" s="10" t="str">
        <f t="shared" si="7"/>
        <v/>
      </c>
      <c r="I234" s="53"/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8"/>
        <v>223</v>
      </c>
      <c r="E235" s="10" t="str">
        <f t="shared" si="7"/>
        <v/>
      </c>
      <c r="I235" s="53"/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8"/>
        <v>224</v>
      </c>
      <c r="E236" s="10" t="str">
        <f t="shared" si="7"/>
        <v/>
      </c>
      <c r="I236" s="53"/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8"/>
        <v>225</v>
      </c>
      <c r="E237" s="10" t="str">
        <f t="shared" si="7"/>
        <v/>
      </c>
      <c r="I237" s="53"/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8"/>
        <v>226</v>
      </c>
      <c r="E238" s="10" t="str">
        <f t="shared" si="7"/>
        <v/>
      </c>
      <c r="I238" s="53"/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8"/>
        <v>227</v>
      </c>
      <c r="E239" s="10" t="str">
        <f t="shared" si="7"/>
        <v/>
      </c>
      <c r="I239" s="53"/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8"/>
        <v>228</v>
      </c>
      <c r="E240" s="10" t="str">
        <f t="shared" si="7"/>
        <v/>
      </c>
      <c r="I240" s="53"/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8"/>
        <v>229</v>
      </c>
      <c r="E241" s="10" t="str">
        <f t="shared" si="7"/>
        <v/>
      </c>
      <c r="I241" s="53"/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8"/>
        <v>230</v>
      </c>
      <c r="E242" s="10" t="str">
        <f t="shared" si="7"/>
        <v/>
      </c>
      <c r="I242" s="53"/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8"/>
        <v>231</v>
      </c>
      <c r="E243" s="10" t="str">
        <f t="shared" si="7"/>
        <v/>
      </c>
      <c r="I243" s="53"/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8"/>
        <v>232</v>
      </c>
      <c r="E244" s="10" t="str">
        <f t="shared" si="7"/>
        <v/>
      </c>
      <c r="I244" s="53"/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8"/>
        <v>233</v>
      </c>
      <c r="E245" s="10" t="str">
        <f t="shared" si="7"/>
        <v/>
      </c>
      <c r="I245" s="53"/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8"/>
        <v>234</v>
      </c>
      <c r="E246" s="10" t="str">
        <f t="shared" si="7"/>
        <v/>
      </c>
      <c r="I246" s="53"/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8"/>
        <v>235</v>
      </c>
      <c r="E247" s="10" t="str">
        <f t="shared" si="7"/>
        <v/>
      </c>
      <c r="I247" s="53"/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8"/>
        <v>236</v>
      </c>
      <c r="E248" s="10" t="str">
        <f t="shared" si="7"/>
        <v/>
      </c>
      <c r="I248" s="53"/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8"/>
        <v>237</v>
      </c>
      <c r="E249" s="10" t="str">
        <f t="shared" si="7"/>
        <v/>
      </c>
      <c r="I249" s="53"/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8"/>
        <v>238</v>
      </c>
      <c r="E250" s="10" t="str">
        <f t="shared" si="7"/>
        <v/>
      </c>
      <c r="I250" s="53"/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8"/>
        <v>239</v>
      </c>
      <c r="E251" s="10" t="str">
        <f t="shared" si="7"/>
        <v/>
      </c>
      <c r="I251" s="53"/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8"/>
        <v>240</v>
      </c>
      <c r="E252" s="10" t="str">
        <f t="shared" si="7"/>
        <v/>
      </c>
      <c r="I252" s="53"/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8"/>
        <v>241</v>
      </c>
      <c r="E253" s="10" t="str">
        <f t="shared" si="7"/>
        <v/>
      </c>
      <c r="I253" s="53"/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8"/>
        <v>242</v>
      </c>
      <c r="E254" s="10" t="str">
        <f t="shared" si="7"/>
        <v/>
      </c>
      <c r="I254" s="53"/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8"/>
        <v>243</v>
      </c>
      <c r="E255" s="10" t="str">
        <f t="shared" si="7"/>
        <v/>
      </c>
      <c r="I255" s="53"/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8"/>
        <v>244</v>
      </c>
      <c r="E256" s="10" t="str">
        <f t="shared" si="7"/>
        <v/>
      </c>
      <c r="I256" s="53"/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8"/>
        <v>245</v>
      </c>
      <c r="E257" s="10" t="str">
        <f t="shared" si="7"/>
        <v/>
      </c>
      <c r="I257" s="53"/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8"/>
        <v>246</v>
      </c>
      <c r="E258" s="10" t="str">
        <f t="shared" si="7"/>
        <v/>
      </c>
      <c r="I258" s="53"/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8"/>
        <v>247</v>
      </c>
      <c r="E259" s="10" t="str">
        <f t="shared" si="7"/>
        <v/>
      </c>
      <c r="I259" s="53"/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8"/>
        <v>248</v>
      </c>
      <c r="E260" s="10" t="str">
        <f t="shared" si="7"/>
        <v/>
      </c>
      <c r="I260" s="53"/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8"/>
        <v>249</v>
      </c>
      <c r="E261" s="10" t="str">
        <f t="shared" si="7"/>
        <v/>
      </c>
      <c r="I261" s="53"/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8"/>
        <v>250</v>
      </c>
      <c r="E262" s="10" t="str">
        <f t="shared" si="7"/>
        <v/>
      </c>
      <c r="I262" s="53"/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8"/>
        <v>251</v>
      </c>
      <c r="E263" s="10" t="str">
        <f t="shared" si="7"/>
        <v/>
      </c>
      <c r="I263" s="53"/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8"/>
        <v>252</v>
      </c>
      <c r="E264" s="10" t="str">
        <f t="shared" si="7"/>
        <v/>
      </c>
      <c r="I264" s="53"/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8"/>
        <v>253</v>
      </c>
      <c r="E265" s="10" t="str">
        <f t="shared" si="7"/>
        <v/>
      </c>
      <c r="I265" s="53"/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8"/>
        <v>254</v>
      </c>
      <c r="E266" s="10" t="str">
        <f t="shared" si="7"/>
        <v/>
      </c>
      <c r="I266" s="53"/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8"/>
        <v>255</v>
      </c>
      <c r="E267" s="10" t="str">
        <f t="shared" si="7"/>
        <v/>
      </c>
      <c r="I267" s="53"/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8"/>
        <v>256</v>
      </c>
      <c r="E268" s="10" t="str">
        <f t="shared" si="7"/>
        <v/>
      </c>
      <c r="I268" s="53"/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8"/>
        <v>257</v>
      </c>
      <c r="E269" s="10" t="str">
        <f t="shared" ref="E269:E332" si="9">IF($C$8&gt;=A269,$E$1&amp;" "&amp;A269,"")</f>
        <v/>
      </c>
      <c r="I269" s="53"/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8"/>
        <v>258</v>
      </c>
      <c r="E270" s="10" t="str">
        <f t="shared" si="9"/>
        <v/>
      </c>
      <c r="I270" s="53"/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0">A270+1</f>
        <v>259</v>
      </c>
      <c r="E271" s="10" t="str">
        <f t="shared" si="9"/>
        <v/>
      </c>
      <c r="I271" s="53"/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0"/>
        <v>260</v>
      </c>
      <c r="E272" s="10" t="str">
        <f t="shared" si="9"/>
        <v/>
      </c>
      <c r="I272" s="53"/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0"/>
        <v>261</v>
      </c>
      <c r="E273" s="10" t="str">
        <f t="shared" si="9"/>
        <v/>
      </c>
      <c r="I273" s="53"/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0"/>
        <v>262</v>
      </c>
      <c r="E274" s="10" t="str">
        <f t="shared" si="9"/>
        <v/>
      </c>
      <c r="I274" s="53"/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0"/>
        <v>263</v>
      </c>
      <c r="E275" s="10" t="str">
        <f t="shared" si="9"/>
        <v/>
      </c>
      <c r="I275" s="53"/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0"/>
        <v>264</v>
      </c>
      <c r="E276" s="10" t="str">
        <f t="shared" si="9"/>
        <v/>
      </c>
      <c r="I276" s="53"/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0"/>
        <v>265</v>
      </c>
      <c r="E277" s="10" t="str">
        <f t="shared" si="9"/>
        <v/>
      </c>
      <c r="I277" s="53"/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0"/>
        <v>266</v>
      </c>
      <c r="E278" s="10" t="str">
        <f t="shared" si="9"/>
        <v/>
      </c>
      <c r="I278" s="53"/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0"/>
        <v>267</v>
      </c>
      <c r="E279" s="10" t="str">
        <f t="shared" si="9"/>
        <v/>
      </c>
      <c r="I279" s="53"/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0"/>
        <v>268</v>
      </c>
      <c r="E280" s="10" t="str">
        <f t="shared" si="9"/>
        <v/>
      </c>
      <c r="I280" s="53"/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0"/>
        <v>269</v>
      </c>
      <c r="E281" s="10" t="str">
        <f t="shared" si="9"/>
        <v/>
      </c>
      <c r="I281" s="53"/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0"/>
        <v>270</v>
      </c>
      <c r="E282" s="10" t="str">
        <f t="shared" si="9"/>
        <v/>
      </c>
      <c r="I282" s="53"/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0"/>
        <v>271</v>
      </c>
      <c r="E283" s="10" t="str">
        <f t="shared" si="9"/>
        <v/>
      </c>
      <c r="I283" s="53"/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0"/>
        <v>272</v>
      </c>
      <c r="E284" s="10" t="str">
        <f t="shared" si="9"/>
        <v/>
      </c>
      <c r="I284" s="53"/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0"/>
        <v>273</v>
      </c>
      <c r="E285" s="10" t="str">
        <f t="shared" si="9"/>
        <v/>
      </c>
      <c r="I285" s="53"/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0"/>
        <v>274</v>
      </c>
      <c r="E286" s="10" t="str">
        <f t="shared" si="9"/>
        <v/>
      </c>
      <c r="I286" s="53"/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0"/>
        <v>275</v>
      </c>
      <c r="E287" s="10" t="str">
        <f t="shared" si="9"/>
        <v/>
      </c>
      <c r="I287" s="53"/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0"/>
        <v>276</v>
      </c>
      <c r="E288" s="10" t="str">
        <f t="shared" si="9"/>
        <v/>
      </c>
      <c r="I288" s="53"/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0"/>
        <v>277</v>
      </c>
      <c r="E289" s="10" t="str">
        <f t="shared" si="9"/>
        <v/>
      </c>
      <c r="I289" s="53"/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0"/>
        <v>278</v>
      </c>
      <c r="E290" s="10" t="str">
        <f t="shared" si="9"/>
        <v/>
      </c>
      <c r="I290" s="53"/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0"/>
        <v>279</v>
      </c>
      <c r="E291" s="10" t="str">
        <f t="shared" si="9"/>
        <v/>
      </c>
      <c r="I291" s="53"/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0"/>
        <v>280</v>
      </c>
      <c r="E292" s="10" t="str">
        <f t="shared" si="9"/>
        <v/>
      </c>
      <c r="I292" s="53"/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0"/>
        <v>281</v>
      </c>
      <c r="E293" s="10" t="str">
        <f t="shared" si="9"/>
        <v/>
      </c>
      <c r="I293" s="53"/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0"/>
        <v>282</v>
      </c>
      <c r="E294" s="10" t="str">
        <f t="shared" si="9"/>
        <v/>
      </c>
      <c r="I294" s="53"/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0"/>
        <v>283</v>
      </c>
      <c r="E295" s="10" t="str">
        <f t="shared" si="9"/>
        <v/>
      </c>
      <c r="I295" s="53"/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0"/>
        <v>284</v>
      </c>
      <c r="E296" s="10" t="str">
        <f t="shared" si="9"/>
        <v/>
      </c>
      <c r="I296" s="53"/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0"/>
        <v>285</v>
      </c>
      <c r="E297" s="10" t="str">
        <f t="shared" si="9"/>
        <v/>
      </c>
      <c r="I297" s="53"/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0"/>
        <v>286</v>
      </c>
      <c r="E298" s="10" t="str">
        <f t="shared" si="9"/>
        <v/>
      </c>
      <c r="I298" s="53"/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0"/>
        <v>287</v>
      </c>
      <c r="E299" s="10" t="str">
        <f t="shared" si="9"/>
        <v/>
      </c>
      <c r="I299" s="53"/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0"/>
        <v>288</v>
      </c>
      <c r="E300" s="10" t="str">
        <f t="shared" si="9"/>
        <v/>
      </c>
      <c r="I300" s="53"/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0"/>
        <v>289</v>
      </c>
      <c r="E301" s="10" t="str">
        <f t="shared" si="9"/>
        <v/>
      </c>
      <c r="I301" s="53"/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0"/>
        <v>290</v>
      </c>
      <c r="E302" s="10" t="str">
        <f t="shared" si="9"/>
        <v/>
      </c>
      <c r="I302" s="53"/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0"/>
        <v>291</v>
      </c>
      <c r="E303" s="10" t="str">
        <f t="shared" si="9"/>
        <v/>
      </c>
      <c r="I303" s="53"/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0"/>
        <v>292</v>
      </c>
      <c r="E304" s="10" t="str">
        <f t="shared" si="9"/>
        <v/>
      </c>
      <c r="I304" s="53"/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0"/>
        <v>293</v>
      </c>
      <c r="E305" s="10" t="str">
        <f t="shared" si="9"/>
        <v/>
      </c>
      <c r="I305" s="53"/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0"/>
        <v>294</v>
      </c>
      <c r="E306" s="10" t="str">
        <f t="shared" si="9"/>
        <v/>
      </c>
      <c r="I306" s="53"/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0"/>
        <v>295</v>
      </c>
      <c r="E307" s="10" t="str">
        <f t="shared" si="9"/>
        <v/>
      </c>
      <c r="I307" s="53"/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0"/>
        <v>296</v>
      </c>
      <c r="E308" s="10" t="str">
        <f t="shared" si="9"/>
        <v/>
      </c>
      <c r="I308" s="53"/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0"/>
        <v>297</v>
      </c>
      <c r="E309" s="10" t="str">
        <f t="shared" si="9"/>
        <v/>
      </c>
      <c r="I309" s="53"/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0"/>
        <v>298</v>
      </c>
      <c r="E310" s="10" t="str">
        <f t="shared" si="9"/>
        <v/>
      </c>
      <c r="I310" s="53"/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0"/>
        <v>299</v>
      </c>
      <c r="E311" s="10" t="str">
        <f t="shared" si="9"/>
        <v/>
      </c>
      <c r="I311" s="53"/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0"/>
        <v>300</v>
      </c>
      <c r="E312" s="10" t="str">
        <f t="shared" si="9"/>
        <v/>
      </c>
      <c r="I312" s="53"/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0"/>
        <v>301</v>
      </c>
      <c r="E313" s="10" t="str">
        <f t="shared" si="9"/>
        <v/>
      </c>
      <c r="I313" s="53"/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0"/>
        <v>302</v>
      </c>
      <c r="E314" s="10" t="str">
        <f t="shared" si="9"/>
        <v/>
      </c>
      <c r="I314" s="53"/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0"/>
        <v>303</v>
      </c>
      <c r="E315" s="10" t="str">
        <f t="shared" si="9"/>
        <v/>
      </c>
      <c r="I315" s="53"/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0"/>
        <v>304</v>
      </c>
      <c r="E316" s="10" t="str">
        <f t="shared" si="9"/>
        <v/>
      </c>
      <c r="I316" s="53"/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0"/>
        <v>305</v>
      </c>
      <c r="E317" s="10" t="str">
        <f t="shared" si="9"/>
        <v/>
      </c>
      <c r="I317" s="53"/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0"/>
        <v>306</v>
      </c>
      <c r="E318" s="10" t="str">
        <f t="shared" si="9"/>
        <v/>
      </c>
      <c r="I318" s="53"/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0"/>
        <v>307</v>
      </c>
      <c r="E319" s="10" t="str">
        <f t="shared" si="9"/>
        <v/>
      </c>
      <c r="I319" s="53"/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0"/>
        <v>308</v>
      </c>
      <c r="E320" s="10" t="str">
        <f t="shared" si="9"/>
        <v/>
      </c>
      <c r="I320" s="53"/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0"/>
        <v>309</v>
      </c>
      <c r="E321" s="10" t="str">
        <f t="shared" si="9"/>
        <v/>
      </c>
      <c r="I321" s="53"/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0"/>
        <v>310</v>
      </c>
      <c r="E322" s="10" t="str">
        <f t="shared" si="9"/>
        <v/>
      </c>
      <c r="I322" s="53"/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0"/>
        <v>311</v>
      </c>
      <c r="E323" s="10" t="str">
        <f t="shared" si="9"/>
        <v/>
      </c>
      <c r="I323" s="53"/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0"/>
        <v>312</v>
      </c>
      <c r="E324" s="10" t="str">
        <f t="shared" si="9"/>
        <v/>
      </c>
      <c r="I324" s="53"/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0"/>
        <v>313</v>
      </c>
      <c r="E325" s="10" t="str">
        <f t="shared" si="9"/>
        <v/>
      </c>
      <c r="I325" s="53"/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0"/>
        <v>314</v>
      </c>
      <c r="E326" s="10" t="str">
        <f t="shared" si="9"/>
        <v/>
      </c>
      <c r="I326" s="53"/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0"/>
        <v>315</v>
      </c>
      <c r="E327" s="10" t="str">
        <f t="shared" si="9"/>
        <v/>
      </c>
      <c r="I327" s="53"/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0"/>
        <v>316</v>
      </c>
      <c r="E328" s="10" t="str">
        <f t="shared" si="9"/>
        <v/>
      </c>
      <c r="I328" s="53"/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0"/>
        <v>317</v>
      </c>
      <c r="E329" s="10" t="str">
        <f t="shared" si="9"/>
        <v/>
      </c>
      <c r="I329" s="53"/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0"/>
        <v>318</v>
      </c>
      <c r="E330" s="10" t="str">
        <f t="shared" si="9"/>
        <v/>
      </c>
      <c r="I330" s="53"/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0"/>
        <v>319</v>
      </c>
      <c r="E331" s="10" t="str">
        <f t="shared" si="9"/>
        <v/>
      </c>
      <c r="I331" s="53"/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0"/>
        <v>320</v>
      </c>
      <c r="E332" s="10" t="str">
        <f t="shared" si="9"/>
        <v/>
      </c>
      <c r="I332" s="53"/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0"/>
        <v>321</v>
      </c>
      <c r="E333" s="10" t="str">
        <f t="shared" ref="E333:E396" si="11">IF($C$8&gt;=A333,$E$1&amp;" "&amp;A333,"")</f>
        <v/>
      </c>
      <c r="I333" s="53"/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0"/>
        <v>322</v>
      </c>
      <c r="E334" s="10" t="str">
        <f t="shared" si="11"/>
        <v/>
      </c>
      <c r="I334" s="53"/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2">A334+1</f>
        <v>323</v>
      </c>
      <c r="E335" s="10" t="str">
        <f t="shared" si="11"/>
        <v/>
      </c>
      <c r="I335" s="53"/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2"/>
        <v>324</v>
      </c>
      <c r="E336" s="10" t="str">
        <f t="shared" si="11"/>
        <v/>
      </c>
      <c r="I336" s="53"/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2"/>
        <v>325</v>
      </c>
      <c r="E337" s="10" t="str">
        <f t="shared" si="11"/>
        <v/>
      </c>
      <c r="I337" s="53"/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2"/>
        <v>326</v>
      </c>
      <c r="E338" s="10" t="str">
        <f t="shared" si="11"/>
        <v/>
      </c>
      <c r="I338" s="53"/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2"/>
        <v>327</v>
      </c>
      <c r="E339" s="10" t="str">
        <f t="shared" si="11"/>
        <v/>
      </c>
      <c r="I339" s="53"/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2"/>
        <v>328</v>
      </c>
      <c r="E340" s="10" t="str">
        <f t="shared" si="11"/>
        <v/>
      </c>
      <c r="I340" s="53"/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2"/>
        <v>329</v>
      </c>
      <c r="E341" s="10" t="str">
        <f t="shared" si="11"/>
        <v/>
      </c>
      <c r="I341" s="53"/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2"/>
        <v>330</v>
      </c>
      <c r="E342" s="10" t="str">
        <f t="shared" si="11"/>
        <v/>
      </c>
      <c r="I342" s="53"/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2"/>
        <v>331</v>
      </c>
      <c r="E343" s="10" t="str">
        <f t="shared" si="11"/>
        <v/>
      </c>
      <c r="I343" s="53"/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2"/>
        <v>332</v>
      </c>
      <c r="E344" s="10" t="str">
        <f t="shared" si="11"/>
        <v/>
      </c>
      <c r="I344" s="53"/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2"/>
        <v>333</v>
      </c>
      <c r="E345" s="10" t="str">
        <f t="shared" si="11"/>
        <v/>
      </c>
      <c r="I345" s="53"/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2"/>
        <v>334</v>
      </c>
      <c r="E346" s="10" t="str">
        <f t="shared" si="11"/>
        <v/>
      </c>
      <c r="I346" s="53"/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2"/>
        <v>335</v>
      </c>
      <c r="E347" s="10" t="str">
        <f t="shared" si="11"/>
        <v/>
      </c>
      <c r="I347" s="53"/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2"/>
        <v>336</v>
      </c>
      <c r="E348" s="10" t="str">
        <f t="shared" si="11"/>
        <v/>
      </c>
      <c r="I348" s="53"/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2"/>
        <v>337</v>
      </c>
      <c r="E349" s="10" t="str">
        <f t="shared" si="11"/>
        <v/>
      </c>
      <c r="I349" s="53"/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2"/>
        <v>338</v>
      </c>
      <c r="E350" s="10" t="str">
        <f t="shared" si="11"/>
        <v/>
      </c>
      <c r="I350" s="53"/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2"/>
        <v>339</v>
      </c>
      <c r="E351" s="10" t="str">
        <f t="shared" si="11"/>
        <v/>
      </c>
      <c r="I351" s="53"/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2"/>
        <v>340</v>
      </c>
      <c r="E352" s="10" t="str">
        <f t="shared" si="11"/>
        <v/>
      </c>
      <c r="I352" s="53"/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2"/>
        <v>341</v>
      </c>
      <c r="E353" s="10" t="str">
        <f t="shared" si="11"/>
        <v/>
      </c>
      <c r="I353" s="53"/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2"/>
        <v>342</v>
      </c>
      <c r="E354" s="10" t="str">
        <f t="shared" si="11"/>
        <v/>
      </c>
      <c r="I354" s="53"/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2"/>
        <v>343</v>
      </c>
      <c r="E355" s="10" t="str">
        <f t="shared" si="11"/>
        <v/>
      </c>
      <c r="I355" s="53"/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2"/>
        <v>344</v>
      </c>
      <c r="E356" s="10" t="str">
        <f t="shared" si="11"/>
        <v/>
      </c>
      <c r="I356" s="53"/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2"/>
        <v>345</v>
      </c>
      <c r="E357" s="10" t="str">
        <f t="shared" si="11"/>
        <v/>
      </c>
      <c r="I357" s="53"/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2"/>
        <v>346</v>
      </c>
      <c r="E358" s="10" t="str">
        <f t="shared" si="11"/>
        <v/>
      </c>
      <c r="I358" s="53"/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2"/>
        <v>347</v>
      </c>
      <c r="E359" s="10" t="str">
        <f t="shared" si="11"/>
        <v/>
      </c>
      <c r="I359" s="53"/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2"/>
        <v>348</v>
      </c>
      <c r="E360" s="10" t="str">
        <f t="shared" si="11"/>
        <v/>
      </c>
      <c r="I360" s="53"/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2"/>
        <v>349</v>
      </c>
      <c r="E361" s="10" t="str">
        <f t="shared" si="11"/>
        <v/>
      </c>
      <c r="I361" s="53"/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2"/>
        <v>350</v>
      </c>
      <c r="E362" s="10" t="str">
        <f t="shared" si="11"/>
        <v/>
      </c>
      <c r="I362" s="53"/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2"/>
        <v>351</v>
      </c>
      <c r="E363" s="10" t="str">
        <f t="shared" si="11"/>
        <v/>
      </c>
      <c r="I363" s="53"/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2"/>
        <v>352</v>
      </c>
      <c r="E364" s="10" t="str">
        <f t="shared" si="11"/>
        <v/>
      </c>
      <c r="I364" s="53"/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2"/>
        <v>353</v>
      </c>
      <c r="E365" s="10" t="str">
        <f t="shared" si="11"/>
        <v/>
      </c>
      <c r="I365" s="53"/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2"/>
        <v>354</v>
      </c>
      <c r="E366" s="10" t="str">
        <f t="shared" si="11"/>
        <v/>
      </c>
      <c r="I366" s="53"/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2"/>
        <v>355</v>
      </c>
      <c r="E367" s="10" t="str">
        <f t="shared" si="11"/>
        <v/>
      </c>
      <c r="I367" s="53"/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2"/>
        <v>356</v>
      </c>
      <c r="E368" s="10" t="str">
        <f t="shared" si="11"/>
        <v/>
      </c>
      <c r="I368" s="53"/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2"/>
        <v>357</v>
      </c>
      <c r="E369" s="10" t="str">
        <f t="shared" si="11"/>
        <v/>
      </c>
      <c r="I369" s="53"/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2"/>
        <v>358</v>
      </c>
      <c r="E370" s="10" t="str">
        <f t="shared" si="11"/>
        <v/>
      </c>
      <c r="I370" s="53"/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2"/>
        <v>359</v>
      </c>
      <c r="E371" s="10" t="str">
        <f t="shared" si="11"/>
        <v/>
      </c>
      <c r="I371" s="53"/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2"/>
        <v>360</v>
      </c>
      <c r="E372" s="10" t="str">
        <f t="shared" si="11"/>
        <v/>
      </c>
      <c r="I372" s="53"/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2"/>
        <v>361</v>
      </c>
      <c r="E373" s="10" t="str">
        <f t="shared" si="11"/>
        <v/>
      </c>
      <c r="I373" s="53"/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2"/>
        <v>362</v>
      </c>
      <c r="E374" s="10" t="str">
        <f t="shared" si="11"/>
        <v/>
      </c>
      <c r="I374" s="53"/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2"/>
        <v>363</v>
      </c>
      <c r="E375" s="10" t="str">
        <f t="shared" si="11"/>
        <v/>
      </c>
      <c r="I375" s="53"/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2"/>
        <v>364</v>
      </c>
      <c r="E376" s="10" t="str">
        <f t="shared" si="11"/>
        <v/>
      </c>
      <c r="I376" s="53"/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2"/>
        <v>365</v>
      </c>
      <c r="E377" s="10" t="str">
        <f t="shared" si="11"/>
        <v/>
      </c>
      <c r="I377" s="53"/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2"/>
        <v>366</v>
      </c>
      <c r="E378" s="10" t="str">
        <f t="shared" si="11"/>
        <v/>
      </c>
      <c r="I378" s="53"/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2"/>
        <v>367</v>
      </c>
      <c r="E379" s="10" t="str">
        <f t="shared" si="11"/>
        <v/>
      </c>
      <c r="I379" s="53"/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2"/>
        <v>368</v>
      </c>
      <c r="E380" s="10" t="str">
        <f t="shared" si="11"/>
        <v/>
      </c>
      <c r="I380" s="53"/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2"/>
        <v>369</v>
      </c>
      <c r="E381" s="10" t="str">
        <f t="shared" si="11"/>
        <v/>
      </c>
      <c r="I381" s="53"/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2"/>
        <v>370</v>
      </c>
      <c r="E382" s="10" t="str">
        <f t="shared" si="11"/>
        <v/>
      </c>
      <c r="I382" s="53"/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2"/>
        <v>371</v>
      </c>
      <c r="E383" s="10" t="str">
        <f t="shared" si="11"/>
        <v/>
      </c>
      <c r="I383" s="53"/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2"/>
        <v>372</v>
      </c>
      <c r="E384" s="10" t="str">
        <f t="shared" si="11"/>
        <v/>
      </c>
      <c r="I384" s="53"/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2"/>
        <v>373</v>
      </c>
      <c r="E385" s="10" t="str">
        <f t="shared" si="11"/>
        <v/>
      </c>
      <c r="I385" s="53"/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2"/>
        <v>374</v>
      </c>
      <c r="E386" s="10" t="str">
        <f t="shared" si="11"/>
        <v/>
      </c>
      <c r="I386" s="53"/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2"/>
        <v>375</v>
      </c>
      <c r="E387" s="10" t="str">
        <f t="shared" si="11"/>
        <v/>
      </c>
      <c r="I387" s="53"/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2"/>
        <v>376</v>
      </c>
      <c r="E388" s="10" t="str">
        <f t="shared" si="11"/>
        <v/>
      </c>
      <c r="I388" s="53"/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2"/>
        <v>377</v>
      </c>
      <c r="E389" s="10" t="str">
        <f t="shared" si="11"/>
        <v/>
      </c>
      <c r="I389" s="53"/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2"/>
        <v>378</v>
      </c>
      <c r="E390" s="10" t="str">
        <f t="shared" si="11"/>
        <v/>
      </c>
      <c r="I390" s="53"/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2"/>
        <v>379</v>
      </c>
      <c r="E391" s="10" t="str">
        <f t="shared" si="11"/>
        <v/>
      </c>
      <c r="I391" s="53"/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2"/>
        <v>380</v>
      </c>
      <c r="E392" s="10" t="str">
        <f t="shared" si="11"/>
        <v/>
      </c>
      <c r="I392" s="53"/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2"/>
        <v>381</v>
      </c>
      <c r="E393" s="10" t="str">
        <f t="shared" si="11"/>
        <v/>
      </c>
      <c r="I393" s="53"/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2"/>
        <v>382</v>
      </c>
      <c r="E394" s="10" t="str">
        <f t="shared" si="11"/>
        <v/>
      </c>
      <c r="I394" s="53"/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2"/>
        <v>383</v>
      </c>
      <c r="E395" s="10" t="str">
        <f t="shared" si="11"/>
        <v/>
      </c>
      <c r="I395" s="53"/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2"/>
        <v>384</v>
      </c>
      <c r="E396" s="10" t="str">
        <f t="shared" si="11"/>
        <v/>
      </c>
      <c r="I396" s="53"/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2"/>
        <v>385</v>
      </c>
      <c r="E397" s="10" t="str">
        <f t="shared" ref="E397:E460" si="13">IF($C$8&gt;=A397,$E$1&amp;" "&amp;A397,"")</f>
        <v/>
      </c>
      <c r="I397" s="53"/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2"/>
        <v>386</v>
      </c>
      <c r="E398" s="10" t="str">
        <f t="shared" si="13"/>
        <v/>
      </c>
      <c r="I398" s="53"/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14">A398+1</f>
        <v>387</v>
      </c>
      <c r="E399" s="10" t="str">
        <f t="shared" si="13"/>
        <v/>
      </c>
      <c r="I399" s="53"/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14"/>
        <v>388</v>
      </c>
      <c r="E400" s="10" t="str">
        <f t="shared" si="13"/>
        <v/>
      </c>
      <c r="I400" s="53"/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14"/>
        <v>389</v>
      </c>
      <c r="E401" s="10" t="str">
        <f t="shared" si="13"/>
        <v/>
      </c>
      <c r="I401" s="53"/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14"/>
        <v>390</v>
      </c>
      <c r="E402" s="10" t="str">
        <f t="shared" si="13"/>
        <v/>
      </c>
      <c r="I402" s="53"/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14"/>
        <v>391</v>
      </c>
      <c r="E403" s="10" t="str">
        <f t="shared" si="13"/>
        <v/>
      </c>
      <c r="I403" s="53"/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14"/>
        <v>392</v>
      </c>
      <c r="E404" s="10" t="str">
        <f t="shared" si="13"/>
        <v/>
      </c>
      <c r="I404" s="53"/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14"/>
        <v>393</v>
      </c>
      <c r="E405" s="10" t="str">
        <f t="shared" si="13"/>
        <v/>
      </c>
      <c r="I405" s="53"/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14"/>
        <v>394</v>
      </c>
      <c r="E406" s="10" t="str">
        <f t="shared" si="13"/>
        <v/>
      </c>
      <c r="I406" s="53"/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14"/>
        <v>395</v>
      </c>
      <c r="E407" s="10" t="str">
        <f t="shared" si="13"/>
        <v/>
      </c>
      <c r="I407" s="53"/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14"/>
        <v>396</v>
      </c>
      <c r="E408" s="10" t="str">
        <f t="shared" si="13"/>
        <v/>
      </c>
      <c r="I408" s="53"/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14"/>
        <v>397</v>
      </c>
      <c r="E409" s="10" t="str">
        <f t="shared" si="13"/>
        <v/>
      </c>
      <c r="I409" s="53"/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14"/>
        <v>398</v>
      </c>
      <c r="E410" s="10" t="str">
        <f t="shared" si="13"/>
        <v/>
      </c>
      <c r="I410" s="53"/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14"/>
        <v>399</v>
      </c>
      <c r="E411" s="10" t="str">
        <f t="shared" si="13"/>
        <v/>
      </c>
      <c r="I411" s="53"/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14"/>
        <v>400</v>
      </c>
      <c r="E412" s="10" t="str">
        <f t="shared" si="13"/>
        <v/>
      </c>
      <c r="I412" s="53"/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14"/>
        <v>401</v>
      </c>
      <c r="E413" s="10" t="str">
        <f t="shared" si="13"/>
        <v/>
      </c>
      <c r="I413" s="53"/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14"/>
        <v>402</v>
      </c>
      <c r="E414" s="10" t="str">
        <f t="shared" si="13"/>
        <v/>
      </c>
      <c r="I414" s="53"/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14"/>
        <v>403</v>
      </c>
      <c r="E415" s="10" t="str">
        <f t="shared" si="13"/>
        <v/>
      </c>
      <c r="I415" s="53"/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14"/>
        <v>404</v>
      </c>
      <c r="E416" s="10" t="str">
        <f t="shared" si="13"/>
        <v/>
      </c>
      <c r="I416" s="53"/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14"/>
        <v>405</v>
      </c>
      <c r="E417" s="10" t="str">
        <f t="shared" si="13"/>
        <v/>
      </c>
      <c r="I417" s="53"/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14"/>
        <v>406</v>
      </c>
      <c r="E418" s="10" t="str">
        <f t="shared" si="13"/>
        <v/>
      </c>
      <c r="I418" s="53"/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14"/>
        <v>407</v>
      </c>
      <c r="E419" s="10" t="str">
        <f t="shared" si="13"/>
        <v/>
      </c>
      <c r="I419" s="53"/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14"/>
        <v>408</v>
      </c>
      <c r="E420" s="10" t="str">
        <f t="shared" si="13"/>
        <v/>
      </c>
      <c r="I420" s="53"/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14"/>
        <v>409</v>
      </c>
      <c r="E421" s="10" t="str">
        <f t="shared" si="13"/>
        <v/>
      </c>
      <c r="I421" s="53"/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14"/>
        <v>410</v>
      </c>
      <c r="E422" s="10" t="str">
        <f t="shared" si="13"/>
        <v/>
      </c>
      <c r="I422" s="53"/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14"/>
        <v>411</v>
      </c>
      <c r="E423" s="10" t="str">
        <f t="shared" si="13"/>
        <v/>
      </c>
      <c r="I423" s="53"/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14"/>
        <v>412</v>
      </c>
      <c r="E424" s="10" t="str">
        <f t="shared" si="13"/>
        <v/>
      </c>
      <c r="I424" s="53"/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14"/>
        <v>413</v>
      </c>
      <c r="E425" s="10" t="str">
        <f t="shared" si="13"/>
        <v/>
      </c>
      <c r="I425" s="53"/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14"/>
        <v>414</v>
      </c>
      <c r="E426" s="10" t="str">
        <f t="shared" si="13"/>
        <v/>
      </c>
      <c r="I426" s="53"/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14"/>
        <v>415</v>
      </c>
      <c r="E427" s="10" t="str">
        <f t="shared" si="13"/>
        <v/>
      </c>
      <c r="I427" s="53"/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14"/>
        <v>416</v>
      </c>
      <c r="E428" s="10" t="str">
        <f t="shared" si="13"/>
        <v/>
      </c>
      <c r="I428" s="53"/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14"/>
        <v>417</v>
      </c>
      <c r="E429" s="10" t="str">
        <f t="shared" si="13"/>
        <v/>
      </c>
      <c r="I429" s="53"/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14"/>
        <v>418</v>
      </c>
      <c r="E430" s="10" t="str">
        <f t="shared" si="13"/>
        <v/>
      </c>
      <c r="I430" s="53"/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14"/>
        <v>419</v>
      </c>
      <c r="E431" s="10" t="str">
        <f t="shared" si="13"/>
        <v/>
      </c>
      <c r="I431" s="53"/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14"/>
        <v>420</v>
      </c>
      <c r="E432" s="10" t="str">
        <f t="shared" si="13"/>
        <v/>
      </c>
      <c r="I432" s="53"/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14"/>
        <v>421</v>
      </c>
      <c r="E433" s="10" t="str">
        <f t="shared" si="13"/>
        <v/>
      </c>
      <c r="I433" s="53"/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14"/>
        <v>422</v>
      </c>
      <c r="E434" s="10" t="str">
        <f t="shared" si="13"/>
        <v/>
      </c>
      <c r="I434" s="53"/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14"/>
        <v>423</v>
      </c>
      <c r="E435" s="10" t="str">
        <f t="shared" si="13"/>
        <v/>
      </c>
      <c r="I435" s="53"/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14"/>
        <v>424</v>
      </c>
      <c r="E436" s="10" t="str">
        <f t="shared" si="13"/>
        <v/>
      </c>
      <c r="I436" s="53"/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14"/>
        <v>425</v>
      </c>
      <c r="E437" s="10" t="str">
        <f t="shared" si="13"/>
        <v/>
      </c>
      <c r="I437" s="53"/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14"/>
        <v>426</v>
      </c>
      <c r="E438" s="10" t="str">
        <f t="shared" si="13"/>
        <v/>
      </c>
      <c r="I438" s="53"/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14"/>
        <v>427</v>
      </c>
      <c r="E439" s="10" t="str">
        <f t="shared" si="13"/>
        <v/>
      </c>
      <c r="I439" s="53"/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14"/>
        <v>428</v>
      </c>
      <c r="E440" s="10" t="str">
        <f t="shared" si="13"/>
        <v/>
      </c>
      <c r="I440" s="53"/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14"/>
        <v>429</v>
      </c>
      <c r="E441" s="10" t="str">
        <f t="shared" si="13"/>
        <v/>
      </c>
      <c r="I441" s="53"/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14"/>
        <v>430</v>
      </c>
      <c r="E442" s="10" t="str">
        <f t="shared" si="13"/>
        <v/>
      </c>
      <c r="I442" s="53"/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14"/>
        <v>431</v>
      </c>
      <c r="E443" s="10" t="str">
        <f t="shared" si="13"/>
        <v/>
      </c>
      <c r="I443" s="53"/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14"/>
        <v>432</v>
      </c>
      <c r="E444" s="10" t="str">
        <f t="shared" si="13"/>
        <v/>
      </c>
      <c r="I444" s="53"/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14"/>
        <v>433</v>
      </c>
      <c r="E445" s="10" t="str">
        <f t="shared" si="13"/>
        <v/>
      </c>
      <c r="I445" s="53"/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14"/>
        <v>434</v>
      </c>
      <c r="E446" s="10" t="str">
        <f t="shared" si="13"/>
        <v/>
      </c>
      <c r="I446" s="53"/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14"/>
        <v>435</v>
      </c>
      <c r="E447" s="10" t="str">
        <f t="shared" si="13"/>
        <v/>
      </c>
      <c r="I447" s="53"/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14"/>
        <v>436</v>
      </c>
      <c r="E448" s="10" t="str">
        <f t="shared" si="13"/>
        <v/>
      </c>
      <c r="I448" s="53"/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14"/>
        <v>437</v>
      </c>
      <c r="E449" s="10" t="str">
        <f t="shared" si="13"/>
        <v/>
      </c>
      <c r="I449" s="53"/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14"/>
        <v>438</v>
      </c>
      <c r="E450" s="10" t="str">
        <f t="shared" si="13"/>
        <v/>
      </c>
      <c r="I450" s="53"/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14"/>
        <v>439</v>
      </c>
      <c r="E451" s="10" t="str">
        <f t="shared" si="13"/>
        <v/>
      </c>
      <c r="I451" s="53"/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14"/>
        <v>440</v>
      </c>
      <c r="E452" s="10" t="str">
        <f t="shared" si="13"/>
        <v/>
      </c>
      <c r="I452" s="53"/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14"/>
        <v>441</v>
      </c>
      <c r="E453" s="10" t="str">
        <f t="shared" si="13"/>
        <v/>
      </c>
      <c r="I453" s="53"/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14"/>
        <v>442</v>
      </c>
      <c r="E454" s="10" t="str">
        <f t="shared" si="13"/>
        <v/>
      </c>
      <c r="I454" s="53"/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14"/>
        <v>443</v>
      </c>
      <c r="E455" s="10" t="str">
        <f t="shared" si="13"/>
        <v/>
      </c>
      <c r="I455" s="53"/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14"/>
        <v>444</v>
      </c>
      <c r="E456" s="10" t="str">
        <f t="shared" si="13"/>
        <v/>
      </c>
      <c r="I456" s="53"/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14"/>
        <v>445</v>
      </c>
      <c r="E457" s="10" t="str">
        <f t="shared" si="13"/>
        <v/>
      </c>
      <c r="I457" s="53"/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14"/>
        <v>446</v>
      </c>
      <c r="E458" s="10" t="str">
        <f t="shared" si="13"/>
        <v/>
      </c>
      <c r="I458" s="53"/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14"/>
        <v>447</v>
      </c>
      <c r="E459" s="10" t="str">
        <f t="shared" si="13"/>
        <v/>
      </c>
      <c r="I459" s="53"/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14"/>
        <v>448</v>
      </c>
      <c r="E460" s="10" t="str">
        <f t="shared" si="13"/>
        <v/>
      </c>
      <c r="I460" s="53"/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14"/>
        <v>449</v>
      </c>
      <c r="E461" s="10" t="str">
        <f t="shared" ref="E461:E524" si="15">IF($C$8&gt;=A461,$E$1&amp;" "&amp;A461,"")</f>
        <v/>
      </c>
      <c r="I461" s="53"/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14"/>
        <v>450</v>
      </c>
      <c r="E462" s="10" t="str">
        <f t="shared" si="15"/>
        <v/>
      </c>
      <c r="I462" s="53"/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16">A462+1</f>
        <v>451</v>
      </c>
      <c r="E463" s="10" t="str">
        <f t="shared" si="15"/>
        <v/>
      </c>
      <c r="I463" s="53"/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16"/>
        <v>452</v>
      </c>
      <c r="E464" s="10" t="str">
        <f t="shared" si="15"/>
        <v/>
      </c>
      <c r="I464" s="53"/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16"/>
        <v>453</v>
      </c>
      <c r="E465" s="10" t="str">
        <f t="shared" si="15"/>
        <v/>
      </c>
      <c r="I465" s="53"/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16"/>
        <v>454</v>
      </c>
      <c r="E466" s="10" t="str">
        <f t="shared" si="15"/>
        <v/>
      </c>
      <c r="I466" s="53"/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16"/>
        <v>455</v>
      </c>
      <c r="E467" s="10" t="str">
        <f t="shared" si="15"/>
        <v/>
      </c>
      <c r="I467" s="53"/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16"/>
        <v>456</v>
      </c>
      <c r="E468" s="10" t="str">
        <f t="shared" si="15"/>
        <v/>
      </c>
      <c r="I468" s="53"/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16"/>
        <v>457</v>
      </c>
      <c r="E469" s="10" t="str">
        <f t="shared" si="15"/>
        <v/>
      </c>
      <c r="I469" s="53"/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16"/>
        <v>458</v>
      </c>
      <c r="E470" s="10" t="str">
        <f t="shared" si="15"/>
        <v/>
      </c>
      <c r="I470" s="53"/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16"/>
        <v>459</v>
      </c>
      <c r="E471" s="10" t="str">
        <f t="shared" si="15"/>
        <v/>
      </c>
      <c r="I471" s="53"/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16"/>
        <v>460</v>
      </c>
      <c r="E472" s="10" t="str">
        <f t="shared" si="15"/>
        <v/>
      </c>
      <c r="I472" s="53"/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16"/>
        <v>461</v>
      </c>
      <c r="E473" s="10" t="str">
        <f t="shared" si="15"/>
        <v/>
      </c>
      <c r="I473" s="53"/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16"/>
        <v>462</v>
      </c>
      <c r="E474" s="10" t="str">
        <f t="shared" si="15"/>
        <v/>
      </c>
      <c r="I474" s="53"/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16"/>
        <v>463</v>
      </c>
      <c r="E475" s="10" t="str">
        <f t="shared" si="15"/>
        <v/>
      </c>
      <c r="I475" s="53"/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16"/>
        <v>464</v>
      </c>
      <c r="E476" s="10" t="str">
        <f t="shared" si="15"/>
        <v/>
      </c>
      <c r="I476" s="53"/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16"/>
        <v>465</v>
      </c>
      <c r="E477" s="10" t="str">
        <f t="shared" si="15"/>
        <v/>
      </c>
      <c r="I477" s="53"/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16"/>
        <v>466</v>
      </c>
      <c r="E478" s="10" t="str">
        <f t="shared" si="15"/>
        <v/>
      </c>
      <c r="I478" s="53"/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16"/>
        <v>467</v>
      </c>
      <c r="E479" s="10" t="str">
        <f t="shared" si="15"/>
        <v/>
      </c>
      <c r="I479" s="53"/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16"/>
        <v>468</v>
      </c>
      <c r="E480" s="10" t="str">
        <f t="shared" si="15"/>
        <v/>
      </c>
      <c r="I480" s="53"/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16"/>
        <v>469</v>
      </c>
      <c r="E481" s="10" t="str">
        <f t="shared" si="15"/>
        <v/>
      </c>
      <c r="I481" s="53"/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16"/>
        <v>470</v>
      </c>
      <c r="E482" s="10" t="str">
        <f t="shared" si="15"/>
        <v/>
      </c>
      <c r="I482" s="53"/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16"/>
        <v>471</v>
      </c>
      <c r="E483" s="10" t="str">
        <f t="shared" si="15"/>
        <v/>
      </c>
      <c r="I483" s="53"/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16"/>
        <v>472</v>
      </c>
      <c r="E484" s="10" t="str">
        <f t="shared" si="15"/>
        <v/>
      </c>
      <c r="I484" s="53"/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16"/>
        <v>473</v>
      </c>
      <c r="E485" s="10" t="str">
        <f t="shared" si="15"/>
        <v/>
      </c>
      <c r="I485" s="53"/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16"/>
        <v>474</v>
      </c>
      <c r="E486" s="10" t="str">
        <f t="shared" si="15"/>
        <v/>
      </c>
      <c r="I486" s="53"/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16"/>
        <v>475</v>
      </c>
      <c r="E487" s="10" t="str">
        <f t="shared" si="15"/>
        <v/>
      </c>
      <c r="I487" s="53"/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16"/>
        <v>476</v>
      </c>
      <c r="E488" s="10" t="str">
        <f t="shared" si="15"/>
        <v/>
      </c>
      <c r="I488" s="53"/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16"/>
        <v>477</v>
      </c>
      <c r="E489" s="10" t="str">
        <f t="shared" si="15"/>
        <v/>
      </c>
      <c r="I489" s="53"/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16"/>
        <v>478</v>
      </c>
      <c r="E490" s="10" t="str">
        <f t="shared" si="15"/>
        <v/>
      </c>
      <c r="I490" s="53"/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16"/>
        <v>479</v>
      </c>
      <c r="E491" s="10" t="str">
        <f t="shared" si="15"/>
        <v/>
      </c>
      <c r="I491" s="53"/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16"/>
        <v>480</v>
      </c>
      <c r="E492" s="10" t="str">
        <f t="shared" si="15"/>
        <v/>
      </c>
      <c r="I492" s="53"/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16"/>
        <v>481</v>
      </c>
      <c r="E493" s="10" t="str">
        <f t="shared" si="15"/>
        <v/>
      </c>
      <c r="I493" s="53"/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16"/>
        <v>482</v>
      </c>
      <c r="E494" s="10" t="str">
        <f t="shared" si="15"/>
        <v/>
      </c>
      <c r="I494" s="53"/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16"/>
        <v>483</v>
      </c>
      <c r="E495" s="10" t="str">
        <f t="shared" si="15"/>
        <v/>
      </c>
      <c r="I495" s="53"/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16"/>
        <v>484</v>
      </c>
      <c r="E496" s="10" t="str">
        <f t="shared" si="15"/>
        <v/>
      </c>
      <c r="I496" s="53"/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16"/>
        <v>485</v>
      </c>
      <c r="E497" s="10" t="str">
        <f t="shared" si="15"/>
        <v/>
      </c>
      <c r="I497" s="53"/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16"/>
        <v>486</v>
      </c>
      <c r="E498" s="10" t="str">
        <f t="shared" si="15"/>
        <v/>
      </c>
      <c r="I498" s="53"/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16"/>
        <v>487</v>
      </c>
      <c r="E499" s="10" t="str">
        <f t="shared" si="15"/>
        <v/>
      </c>
      <c r="I499" s="53"/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16"/>
        <v>488</v>
      </c>
      <c r="E500" s="10" t="str">
        <f t="shared" si="15"/>
        <v/>
      </c>
      <c r="I500" s="53"/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16"/>
        <v>489</v>
      </c>
      <c r="E501" s="10" t="str">
        <f t="shared" si="15"/>
        <v/>
      </c>
      <c r="I501" s="53"/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16"/>
        <v>490</v>
      </c>
      <c r="E502" s="10" t="str">
        <f t="shared" si="15"/>
        <v/>
      </c>
      <c r="I502" s="53"/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16"/>
        <v>491</v>
      </c>
      <c r="E503" s="10" t="str">
        <f t="shared" si="15"/>
        <v/>
      </c>
      <c r="I503" s="53"/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16"/>
        <v>492</v>
      </c>
      <c r="E504" s="10" t="str">
        <f t="shared" si="15"/>
        <v/>
      </c>
      <c r="I504" s="53"/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16"/>
        <v>493</v>
      </c>
      <c r="E505" s="10" t="str">
        <f t="shared" si="15"/>
        <v/>
      </c>
      <c r="I505" s="53"/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16"/>
        <v>494</v>
      </c>
      <c r="E506" s="10" t="str">
        <f t="shared" si="15"/>
        <v/>
      </c>
      <c r="I506" s="53"/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16"/>
        <v>495</v>
      </c>
      <c r="E507" s="10" t="str">
        <f t="shared" si="15"/>
        <v/>
      </c>
      <c r="I507" s="53"/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16"/>
        <v>496</v>
      </c>
      <c r="E508" s="10" t="str">
        <f t="shared" si="15"/>
        <v/>
      </c>
      <c r="I508" s="53"/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16"/>
        <v>497</v>
      </c>
      <c r="E509" s="10" t="str">
        <f t="shared" si="15"/>
        <v/>
      </c>
      <c r="I509" s="53"/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16"/>
        <v>498</v>
      </c>
      <c r="E510" s="10" t="str">
        <f t="shared" si="15"/>
        <v/>
      </c>
      <c r="I510" s="53"/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16"/>
        <v>499</v>
      </c>
      <c r="E511" s="10" t="str">
        <f t="shared" si="15"/>
        <v/>
      </c>
      <c r="I511" s="53"/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16"/>
        <v>500</v>
      </c>
      <c r="E512" s="10" t="str">
        <f t="shared" si="15"/>
        <v/>
      </c>
      <c r="I512" s="53"/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16"/>
        <v>501</v>
      </c>
      <c r="E513" s="10" t="str">
        <f t="shared" si="15"/>
        <v/>
      </c>
      <c r="I513" s="53"/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16"/>
        <v>502</v>
      </c>
      <c r="E514" s="10" t="str">
        <f t="shared" si="15"/>
        <v/>
      </c>
      <c r="I514" s="53"/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16"/>
        <v>503</v>
      </c>
      <c r="E515" s="10" t="str">
        <f t="shared" si="15"/>
        <v/>
      </c>
      <c r="I515" s="53"/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16"/>
        <v>504</v>
      </c>
      <c r="E516" s="10" t="str">
        <f t="shared" si="15"/>
        <v/>
      </c>
      <c r="I516" s="53"/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16"/>
        <v>505</v>
      </c>
      <c r="E517" s="10" t="str">
        <f t="shared" si="15"/>
        <v/>
      </c>
      <c r="I517" s="53"/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16"/>
        <v>506</v>
      </c>
      <c r="E518" s="10" t="str">
        <f t="shared" si="15"/>
        <v/>
      </c>
      <c r="I518" s="53"/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16"/>
        <v>507</v>
      </c>
      <c r="E519" s="10" t="str">
        <f t="shared" si="15"/>
        <v/>
      </c>
      <c r="I519" s="53"/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16"/>
        <v>508</v>
      </c>
      <c r="E520" s="10" t="str">
        <f t="shared" si="15"/>
        <v/>
      </c>
      <c r="I520" s="53"/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16"/>
        <v>509</v>
      </c>
      <c r="E521" s="10" t="str">
        <f t="shared" si="15"/>
        <v/>
      </c>
      <c r="I521" s="53"/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16"/>
        <v>510</v>
      </c>
      <c r="E522" s="10" t="str">
        <f t="shared" si="15"/>
        <v/>
      </c>
      <c r="I522" s="53"/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16"/>
        <v>511</v>
      </c>
      <c r="E523" s="10" t="str">
        <f t="shared" si="15"/>
        <v/>
      </c>
      <c r="I523" s="53"/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16"/>
        <v>512</v>
      </c>
      <c r="E524" s="10" t="str">
        <f t="shared" si="15"/>
        <v/>
      </c>
      <c r="I524" s="53"/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16"/>
        <v>513</v>
      </c>
      <c r="E525" s="10" t="str">
        <f t="shared" ref="E525:E588" si="17">IF($C$8&gt;=A525,$E$1&amp;" "&amp;A525,"")</f>
        <v/>
      </c>
      <c r="I525" s="53"/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16"/>
        <v>514</v>
      </c>
      <c r="E526" s="10" t="str">
        <f t="shared" si="17"/>
        <v/>
      </c>
      <c r="I526" s="53"/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18">A526+1</f>
        <v>515</v>
      </c>
      <c r="E527" s="10" t="str">
        <f t="shared" si="17"/>
        <v/>
      </c>
      <c r="I527" s="53"/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18"/>
        <v>516</v>
      </c>
      <c r="E528" s="10" t="str">
        <f t="shared" si="17"/>
        <v/>
      </c>
      <c r="I528" s="53"/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18"/>
        <v>517</v>
      </c>
      <c r="E529" s="10" t="str">
        <f t="shared" si="17"/>
        <v/>
      </c>
      <c r="I529" s="53"/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18"/>
        <v>518</v>
      </c>
      <c r="E530" s="10" t="str">
        <f t="shared" si="17"/>
        <v/>
      </c>
      <c r="I530" s="53"/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18"/>
        <v>519</v>
      </c>
      <c r="E531" s="10" t="str">
        <f t="shared" si="17"/>
        <v/>
      </c>
      <c r="I531" s="53"/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18"/>
        <v>520</v>
      </c>
      <c r="E532" s="10" t="str">
        <f t="shared" si="17"/>
        <v/>
      </c>
      <c r="I532" s="53"/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18"/>
        <v>521</v>
      </c>
      <c r="E533" s="10" t="str">
        <f t="shared" si="17"/>
        <v/>
      </c>
      <c r="I533" s="53"/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18"/>
        <v>522</v>
      </c>
      <c r="E534" s="10" t="str">
        <f t="shared" si="17"/>
        <v/>
      </c>
      <c r="I534" s="53"/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18"/>
        <v>523</v>
      </c>
      <c r="E535" s="10" t="str">
        <f t="shared" si="17"/>
        <v/>
      </c>
      <c r="I535" s="53"/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18"/>
        <v>524</v>
      </c>
      <c r="E536" s="10" t="str">
        <f t="shared" si="17"/>
        <v/>
      </c>
      <c r="I536" s="53"/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18"/>
        <v>525</v>
      </c>
      <c r="E537" s="10" t="str">
        <f t="shared" si="17"/>
        <v/>
      </c>
      <c r="I537" s="53"/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18"/>
        <v>526</v>
      </c>
      <c r="E538" s="10" t="str">
        <f t="shared" si="17"/>
        <v/>
      </c>
      <c r="I538" s="53"/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18"/>
        <v>527</v>
      </c>
      <c r="E539" s="10" t="str">
        <f t="shared" si="17"/>
        <v/>
      </c>
      <c r="I539" s="53"/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18"/>
        <v>528</v>
      </c>
      <c r="E540" s="10" t="str">
        <f t="shared" si="17"/>
        <v/>
      </c>
      <c r="I540" s="53"/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18"/>
        <v>529</v>
      </c>
      <c r="E541" s="10" t="str">
        <f t="shared" si="17"/>
        <v/>
      </c>
      <c r="I541" s="53"/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18"/>
        <v>530</v>
      </c>
      <c r="E542" s="10" t="str">
        <f t="shared" si="17"/>
        <v/>
      </c>
      <c r="I542" s="53"/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18"/>
        <v>531</v>
      </c>
      <c r="E543" s="10" t="str">
        <f t="shared" si="17"/>
        <v/>
      </c>
      <c r="I543" s="53"/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18"/>
        <v>532</v>
      </c>
      <c r="E544" s="10" t="str">
        <f t="shared" si="17"/>
        <v/>
      </c>
      <c r="I544" s="53"/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18"/>
        <v>533</v>
      </c>
      <c r="E545" s="10" t="str">
        <f t="shared" si="17"/>
        <v/>
      </c>
      <c r="I545" s="53"/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18"/>
        <v>534</v>
      </c>
      <c r="E546" s="10" t="str">
        <f t="shared" si="17"/>
        <v/>
      </c>
      <c r="I546" s="53"/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18"/>
        <v>535</v>
      </c>
      <c r="E547" s="10" t="str">
        <f t="shared" si="17"/>
        <v/>
      </c>
      <c r="I547" s="53"/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18"/>
        <v>536</v>
      </c>
      <c r="E548" s="10" t="str">
        <f t="shared" si="17"/>
        <v/>
      </c>
      <c r="I548" s="53"/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18"/>
        <v>537</v>
      </c>
      <c r="E549" s="10" t="str">
        <f t="shared" si="17"/>
        <v/>
      </c>
      <c r="I549" s="53"/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18"/>
        <v>538</v>
      </c>
      <c r="E550" s="10" t="str">
        <f t="shared" si="17"/>
        <v/>
      </c>
      <c r="I550" s="53"/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18"/>
        <v>539</v>
      </c>
      <c r="E551" s="10" t="str">
        <f t="shared" si="17"/>
        <v/>
      </c>
      <c r="I551" s="53"/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18"/>
        <v>540</v>
      </c>
      <c r="E552" s="10" t="str">
        <f t="shared" si="17"/>
        <v/>
      </c>
      <c r="I552" s="53"/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18"/>
        <v>541</v>
      </c>
      <c r="E553" s="10" t="str">
        <f t="shared" si="17"/>
        <v/>
      </c>
      <c r="I553" s="53"/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18"/>
        <v>542</v>
      </c>
      <c r="E554" s="10" t="str">
        <f t="shared" si="17"/>
        <v/>
      </c>
      <c r="I554" s="53"/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18"/>
        <v>543</v>
      </c>
      <c r="E555" s="10" t="str">
        <f t="shared" si="17"/>
        <v/>
      </c>
      <c r="I555" s="53"/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18"/>
        <v>544</v>
      </c>
      <c r="E556" s="10" t="str">
        <f t="shared" si="17"/>
        <v/>
      </c>
      <c r="I556" s="53"/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18"/>
        <v>545</v>
      </c>
      <c r="E557" s="10" t="str">
        <f t="shared" si="17"/>
        <v/>
      </c>
      <c r="I557" s="53"/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18"/>
        <v>546</v>
      </c>
      <c r="E558" s="10" t="str">
        <f t="shared" si="17"/>
        <v/>
      </c>
      <c r="I558" s="53"/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18"/>
        <v>547</v>
      </c>
      <c r="E559" s="10" t="str">
        <f t="shared" si="17"/>
        <v/>
      </c>
      <c r="I559" s="53"/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18"/>
        <v>548</v>
      </c>
      <c r="E560" s="10" t="str">
        <f t="shared" si="17"/>
        <v/>
      </c>
      <c r="I560" s="53"/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18"/>
        <v>549</v>
      </c>
      <c r="E561" s="10" t="str">
        <f t="shared" si="17"/>
        <v/>
      </c>
      <c r="I561" s="53"/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18"/>
        <v>550</v>
      </c>
      <c r="E562" s="10" t="str">
        <f t="shared" si="17"/>
        <v/>
      </c>
      <c r="I562" s="53"/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18"/>
        <v>551</v>
      </c>
      <c r="E563" s="10" t="str">
        <f t="shared" si="17"/>
        <v/>
      </c>
      <c r="I563" s="53"/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18"/>
        <v>552</v>
      </c>
      <c r="E564" s="10" t="str">
        <f t="shared" si="17"/>
        <v/>
      </c>
      <c r="I564" s="53"/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18"/>
        <v>553</v>
      </c>
      <c r="E565" s="10" t="str">
        <f t="shared" si="17"/>
        <v/>
      </c>
      <c r="I565" s="53"/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18"/>
        <v>554</v>
      </c>
      <c r="E566" s="10" t="str">
        <f t="shared" si="17"/>
        <v/>
      </c>
      <c r="I566" s="53"/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18"/>
        <v>555</v>
      </c>
      <c r="E567" s="10" t="str">
        <f t="shared" si="17"/>
        <v/>
      </c>
      <c r="I567" s="53"/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18"/>
        <v>556</v>
      </c>
      <c r="E568" s="10" t="str">
        <f t="shared" si="17"/>
        <v/>
      </c>
      <c r="I568" s="53"/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18"/>
        <v>557</v>
      </c>
      <c r="E569" s="10" t="str">
        <f t="shared" si="17"/>
        <v/>
      </c>
      <c r="I569" s="53"/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18"/>
        <v>558</v>
      </c>
      <c r="E570" s="10" t="str">
        <f t="shared" si="17"/>
        <v/>
      </c>
      <c r="I570" s="53"/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18"/>
        <v>559</v>
      </c>
      <c r="E571" s="10" t="str">
        <f t="shared" si="17"/>
        <v/>
      </c>
      <c r="I571" s="53"/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18"/>
        <v>560</v>
      </c>
      <c r="E572" s="10" t="str">
        <f t="shared" si="17"/>
        <v/>
      </c>
      <c r="I572" s="53"/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18"/>
        <v>561</v>
      </c>
      <c r="E573" s="10" t="str">
        <f t="shared" si="17"/>
        <v/>
      </c>
      <c r="I573" s="53"/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18"/>
        <v>562</v>
      </c>
      <c r="E574" s="10" t="str">
        <f t="shared" si="17"/>
        <v/>
      </c>
      <c r="I574" s="53"/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18"/>
        <v>563</v>
      </c>
      <c r="E575" s="10" t="str">
        <f t="shared" si="17"/>
        <v/>
      </c>
      <c r="I575" s="53"/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18"/>
        <v>564</v>
      </c>
      <c r="E576" s="10" t="str">
        <f t="shared" si="17"/>
        <v/>
      </c>
      <c r="I576" s="53"/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18"/>
        <v>565</v>
      </c>
      <c r="E577" s="10" t="str">
        <f t="shared" si="17"/>
        <v/>
      </c>
      <c r="I577" s="53"/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18"/>
        <v>566</v>
      </c>
      <c r="E578" s="10" t="str">
        <f t="shared" si="17"/>
        <v/>
      </c>
      <c r="I578" s="53"/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18"/>
        <v>567</v>
      </c>
      <c r="E579" s="10" t="str">
        <f t="shared" si="17"/>
        <v/>
      </c>
      <c r="I579" s="53"/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18"/>
        <v>568</v>
      </c>
      <c r="E580" s="10" t="str">
        <f t="shared" si="17"/>
        <v/>
      </c>
      <c r="I580" s="53"/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18"/>
        <v>569</v>
      </c>
      <c r="E581" s="10" t="str">
        <f t="shared" si="17"/>
        <v/>
      </c>
      <c r="I581" s="53"/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18"/>
        <v>570</v>
      </c>
      <c r="E582" s="10" t="str">
        <f t="shared" si="17"/>
        <v/>
      </c>
      <c r="I582" s="53"/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18"/>
        <v>571</v>
      </c>
      <c r="E583" s="10" t="str">
        <f t="shared" si="17"/>
        <v/>
      </c>
      <c r="I583" s="53"/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18"/>
        <v>572</v>
      </c>
      <c r="E584" s="10" t="str">
        <f t="shared" si="17"/>
        <v/>
      </c>
      <c r="I584" s="53"/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18"/>
        <v>573</v>
      </c>
      <c r="E585" s="10" t="str">
        <f t="shared" si="17"/>
        <v/>
      </c>
      <c r="I585" s="53"/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18"/>
        <v>574</v>
      </c>
      <c r="E586" s="10" t="str">
        <f t="shared" si="17"/>
        <v/>
      </c>
      <c r="I586" s="53"/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18"/>
        <v>575</v>
      </c>
      <c r="E587" s="10" t="str">
        <f t="shared" si="17"/>
        <v/>
      </c>
      <c r="I587" s="53"/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18"/>
        <v>576</v>
      </c>
      <c r="E588" s="10" t="str">
        <f t="shared" si="17"/>
        <v/>
      </c>
      <c r="I588" s="53"/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18"/>
        <v>577</v>
      </c>
      <c r="E589" s="10" t="str">
        <f t="shared" ref="E589:E652" si="19">IF($C$8&gt;=A589,$E$1&amp;" "&amp;A589,"")</f>
        <v/>
      </c>
      <c r="I589" s="53"/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18"/>
        <v>578</v>
      </c>
      <c r="E590" s="10" t="str">
        <f t="shared" si="19"/>
        <v/>
      </c>
      <c r="I590" s="53"/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0">A590+1</f>
        <v>579</v>
      </c>
      <c r="E591" s="10" t="str">
        <f t="shared" si="19"/>
        <v/>
      </c>
      <c r="I591" s="53"/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0"/>
        <v>580</v>
      </c>
      <c r="E592" s="10" t="str">
        <f t="shared" si="19"/>
        <v/>
      </c>
      <c r="I592" s="53"/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0"/>
        <v>581</v>
      </c>
      <c r="E593" s="10" t="str">
        <f t="shared" si="19"/>
        <v/>
      </c>
      <c r="I593" s="53"/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0"/>
        <v>582</v>
      </c>
      <c r="E594" s="10" t="str">
        <f t="shared" si="19"/>
        <v/>
      </c>
      <c r="I594" s="53"/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0"/>
        <v>583</v>
      </c>
      <c r="E595" s="10" t="str">
        <f t="shared" si="19"/>
        <v/>
      </c>
      <c r="I595" s="53"/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0"/>
        <v>584</v>
      </c>
      <c r="E596" s="10" t="str">
        <f t="shared" si="19"/>
        <v/>
      </c>
      <c r="I596" s="53"/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0"/>
        <v>585</v>
      </c>
      <c r="E597" s="10" t="str">
        <f t="shared" si="19"/>
        <v/>
      </c>
      <c r="I597" s="53"/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0"/>
        <v>586</v>
      </c>
      <c r="E598" s="10" t="str">
        <f t="shared" si="19"/>
        <v/>
      </c>
      <c r="I598" s="53"/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0"/>
        <v>587</v>
      </c>
      <c r="E599" s="10" t="str">
        <f t="shared" si="19"/>
        <v/>
      </c>
      <c r="I599" s="53"/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0"/>
        <v>588</v>
      </c>
      <c r="E600" s="10" t="str">
        <f t="shared" si="19"/>
        <v/>
      </c>
      <c r="I600" s="53"/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0"/>
        <v>589</v>
      </c>
      <c r="E601" s="10" t="str">
        <f t="shared" si="19"/>
        <v/>
      </c>
      <c r="I601" s="53"/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0"/>
        <v>590</v>
      </c>
      <c r="E602" s="10" t="str">
        <f t="shared" si="19"/>
        <v/>
      </c>
      <c r="I602" s="53"/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0"/>
        <v>591</v>
      </c>
      <c r="E603" s="10" t="str">
        <f t="shared" si="19"/>
        <v/>
      </c>
      <c r="I603" s="53"/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0"/>
        <v>592</v>
      </c>
      <c r="E604" s="10" t="str">
        <f t="shared" si="19"/>
        <v/>
      </c>
      <c r="I604" s="53"/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0"/>
        <v>593</v>
      </c>
      <c r="E605" s="10" t="str">
        <f t="shared" si="19"/>
        <v/>
      </c>
      <c r="I605" s="53"/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0"/>
        <v>594</v>
      </c>
      <c r="E606" s="10" t="str">
        <f t="shared" si="19"/>
        <v/>
      </c>
      <c r="I606" s="53"/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0"/>
        <v>595</v>
      </c>
      <c r="E607" s="10" t="str">
        <f t="shared" si="19"/>
        <v/>
      </c>
      <c r="I607" s="53"/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0"/>
        <v>596</v>
      </c>
      <c r="E608" s="10" t="str">
        <f t="shared" si="19"/>
        <v/>
      </c>
      <c r="I608" s="53"/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0"/>
        <v>597</v>
      </c>
      <c r="E609" s="10" t="str">
        <f t="shared" si="19"/>
        <v/>
      </c>
      <c r="I609" s="53"/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0"/>
        <v>598</v>
      </c>
      <c r="E610" s="10" t="str">
        <f t="shared" si="19"/>
        <v/>
      </c>
      <c r="I610" s="53"/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0"/>
        <v>599</v>
      </c>
      <c r="E611" s="10" t="str">
        <f t="shared" si="19"/>
        <v/>
      </c>
      <c r="I611" s="53"/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0"/>
        <v>600</v>
      </c>
      <c r="E612" s="10" t="str">
        <f t="shared" si="19"/>
        <v/>
      </c>
      <c r="I612" s="53"/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0"/>
        <v>601</v>
      </c>
      <c r="E613" s="10" t="str">
        <f t="shared" si="19"/>
        <v/>
      </c>
      <c r="I613" s="53"/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0"/>
        <v>602</v>
      </c>
      <c r="E614" s="10" t="str">
        <f t="shared" si="19"/>
        <v/>
      </c>
      <c r="I614" s="53"/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0"/>
        <v>603</v>
      </c>
      <c r="E615" s="10" t="str">
        <f t="shared" si="19"/>
        <v/>
      </c>
      <c r="I615" s="53"/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0"/>
        <v>604</v>
      </c>
      <c r="E616" s="10" t="str">
        <f t="shared" si="19"/>
        <v/>
      </c>
      <c r="I616" s="53"/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0"/>
        <v>605</v>
      </c>
      <c r="E617" s="10" t="str">
        <f t="shared" si="19"/>
        <v/>
      </c>
      <c r="I617" s="53"/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0"/>
        <v>606</v>
      </c>
      <c r="E618" s="10" t="str">
        <f t="shared" si="19"/>
        <v/>
      </c>
      <c r="I618" s="53"/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0"/>
        <v>607</v>
      </c>
      <c r="E619" s="10" t="str">
        <f t="shared" si="19"/>
        <v/>
      </c>
      <c r="I619" s="53"/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0"/>
        <v>608</v>
      </c>
      <c r="E620" s="10" t="str">
        <f t="shared" si="19"/>
        <v/>
      </c>
      <c r="I620" s="53"/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0"/>
        <v>609</v>
      </c>
      <c r="E621" s="10" t="str">
        <f t="shared" si="19"/>
        <v/>
      </c>
      <c r="I621" s="53"/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0"/>
        <v>610</v>
      </c>
      <c r="E622" s="10" t="str">
        <f t="shared" si="19"/>
        <v/>
      </c>
      <c r="I622" s="53"/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0"/>
        <v>611</v>
      </c>
      <c r="E623" s="10" t="str">
        <f t="shared" si="19"/>
        <v/>
      </c>
      <c r="I623" s="53"/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0"/>
        <v>612</v>
      </c>
      <c r="E624" s="10" t="str">
        <f t="shared" si="19"/>
        <v/>
      </c>
      <c r="I624" s="53"/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0"/>
        <v>613</v>
      </c>
      <c r="E625" s="10" t="str">
        <f t="shared" si="19"/>
        <v/>
      </c>
      <c r="I625" s="53"/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0"/>
        <v>614</v>
      </c>
      <c r="E626" s="10" t="str">
        <f t="shared" si="19"/>
        <v/>
      </c>
      <c r="I626" s="53"/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0"/>
        <v>615</v>
      </c>
      <c r="E627" s="10" t="str">
        <f t="shared" si="19"/>
        <v/>
      </c>
      <c r="I627" s="53"/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0"/>
        <v>616</v>
      </c>
      <c r="E628" s="10" t="str">
        <f t="shared" si="19"/>
        <v/>
      </c>
      <c r="I628" s="53"/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0"/>
        <v>617</v>
      </c>
      <c r="E629" s="10" t="str">
        <f t="shared" si="19"/>
        <v/>
      </c>
      <c r="I629" s="53"/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0"/>
        <v>618</v>
      </c>
      <c r="E630" s="10" t="str">
        <f t="shared" si="19"/>
        <v/>
      </c>
      <c r="I630" s="53"/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0"/>
        <v>619</v>
      </c>
      <c r="E631" s="10" t="str">
        <f t="shared" si="19"/>
        <v/>
      </c>
      <c r="I631" s="53"/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0"/>
        <v>620</v>
      </c>
      <c r="E632" s="10" t="str">
        <f t="shared" si="19"/>
        <v/>
      </c>
      <c r="I632" s="53"/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0"/>
        <v>621</v>
      </c>
      <c r="E633" s="10" t="str">
        <f t="shared" si="19"/>
        <v/>
      </c>
      <c r="I633" s="53"/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0"/>
        <v>622</v>
      </c>
      <c r="E634" s="10" t="str">
        <f t="shared" si="19"/>
        <v/>
      </c>
      <c r="I634" s="53"/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0"/>
        <v>623</v>
      </c>
      <c r="E635" s="10" t="str">
        <f t="shared" si="19"/>
        <v/>
      </c>
      <c r="I635" s="53"/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0"/>
        <v>624</v>
      </c>
      <c r="E636" s="10" t="str">
        <f t="shared" si="19"/>
        <v/>
      </c>
      <c r="I636" s="53"/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0"/>
        <v>625</v>
      </c>
      <c r="E637" s="10" t="str">
        <f t="shared" si="19"/>
        <v/>
      </c>
      <c r="I637" s="53"/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0"/>
        <v>626</v>
      </c>
      <c r="E638" s="10" t="str">
        <f t="shared" si="19"/>
        <v/>
      </c>
      <c r="I638" s="53"/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0"/>
        <v>627</v>
      </c>
      <c r="E639" s="10" t="str">
        <f t="shared" si="19"/>
        <v/>
      </c>
      <c r="I639" s="53"/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0"/>
        <v>628</v>
      </c>
      <c r="E640" s="10" t="str">
        <f t="shared" si="19"/>
        <v/>
      </c>
      <c r="I640" s="53"/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0"/>
        <v>629</v>
      </c>
      <c r="E641" s="10" t="str">
        <f t="shared" si="19"/>
        <v/>
      </c>
      <c r="I641" s="53"/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0"/>
        <v>630</v>
      </c>
      <c r="E642" s="10" t="str">
        <f t="shared" si="19"/>
        <v/>
      </c>
      <c r="I642" s="53"/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0"/>
        <v>631</v>
      </c>
      <c r="E643" s="10" t="str">
        <f t="shared" si="19"/>
        <v/>
      </c>
      <c r="I643" s="53"/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0"/>
        <v>632</v>
      </c>
      <c r="E644" s="10" t="str">
        <f t="shared" si="19"/>
        <v/>
      </c>
      <c r="I644" s="53"/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0"/>
        <v>633</v>
      </c>
      <c r="E645" s="10" t="str">
        <f t="shared" si="19"/>
        <v/>
      </c>
      <c r="I645" s="53"/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0"/>
        <v>634</v>
      </c>
      <c r="E646" s="10" t="str">
        <f t="shared" si="19"/>
        <v/>
      </c>
      <c r="I646" s="53"/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0"/>
        <v>635</v>
      </c>
      <c r="E647" s="10" t="str">
        <f t="shared" si="19"/>
        <v/>
      </c>
      <c r="I647" s="53"/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0"/>
        <v>636</v>
      </c>
      <c r="E648" s="10" t="str">
        <f t="shared" si="19"/>
        <v/>
      </c>
      <c r="I648" s="53"/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0"/>
        <v>637</v>
      </c>
      <c r="E649" s="10" t="str">
        <f t="shared" si="19"/>
        <v/>
      </c>
      <c r="I649" s="53"/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0"/>
        <v>638</v>
      </c>
      <c r="E650" s="10" t="str">
        <f t="shared" si="19"/>
        <v/>
      </c>
      <c r="I650" s="53"/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0"/>
        <v>639</v>
      </c>
      <c r="E651" s="10" t="str">
        <f t="shared" si="19"/>
        <v/>
      </c>
      <c r="I651" s="53"/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0"/>
        <v>640</v>
      </c>
      <c r="E652" s="10" t="str">
        <f t="shared" si="19"/>
        <v/>
      </c>
      <c r="I652" s="53"/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0"/>
        <v>641</v>
      </c>
      <c r="E653" s="10" t="str">
        <f t="shared" ref="E653:E716" si="21">IF($C$8&gt;=A653,$E$1&amp;" "&amp;A653,"")</f>
        <v/>
      </c>
      <c r="I653" s="53"/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0"/>
        <v>642</v>
      </c>
      <c r="E654" s="10" t="str">
        <f t="shared" si="21"/>
        <v/>
      </c>
      <c r="I654" s="53"/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22">A654+1</f>
        <v>643</v>
      </c>
      <c r="E655" s="10" t="str">
        <f t="shared" si="21"/>
        <v/>
      </c>
      <c r="I655" s="53"/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22"/>
        <v>644</v>
      </c>
      <c r="E656" s="10" t="str">
        <f t="shared" si="21"/>
        <v/>
      </c>
      <c r="I656" s="53"/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22"/>
        <v>645</v>
      </c>
      <c r="E657" s="10" t="str">
        <f t="shared" si="21"/>
        <v/>
      </c>
      <c r="I657" s="53"/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22"/>
        <v>646</v>
      </c>
      <c r="E658" s="10" t="str">
        <f t="shared" si="21"/>
        <v/>
      </c>
      <c r="I658" s="53"/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22"/>
        <v>647</v>
      </c>
      <c r="E659" s="10" t="str">
        <f t="shared" si="21"/>
        <v/>
      </c>
      <c r="I659" s="53"/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22"/>
        <v>648</v>
      </c>
      <c r="E660" s="10" t="str">
        <f t="shared" si="21"/>
        <v/>
      </c>
      <c r="I660" s="53"/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22"/>
        <v>649</v>
      </c>
      <c r="E661" s="10" t="str">
        <f t="shared" si="21"/>
        <v/>
      </c>
      <c r="I661" s="53"/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22"/>
        <v>650</v>
      </c>
      <c r="E662" s="10" t="str">
        <f t="shared" si="21"/>
        <v/>
      </c>
      <c r="I662" s="53"/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22"/>
        <v>651</v>
      </c>
      <c r="E663" s="10" t="str">
        <f t="shared" si="21"/>
        <v/>
      </c>
      <c r="I663" s="53"/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22"/>
        <v>652</v>
      </c>
      <c r="E664" s="10" t="str">
        <f t="shared" si="21"/>
        <v/>
      </c>
      <c r="I664" s="53"/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22"/>
        <v>653</v>
      </c>
      <c r="E665" s="10" t="str">
        <f t="shared" si="21"/>
        <v/>
      </c>
      <c r="I665" s="53"/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22"/>
        <v>654</v>
      </c>
      <c r="E666" s="10" t="str">
        <f t="shared" si="21"/>
        <v/>
      </c>
      <c r="I666" s="53"/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22"/>
        <v>655</v>
      </c>
      <c r="E667" s="10" t="str">
        <f t="shared" si="21"/>
        <v/>
      </c>
      <c r="I667" s="53"/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22"/>
        <v>656</v>
      </c>
      <c r="E668" s="10" t="str">
        <f t="shared" si="21"/>
        <v/>
      </c>
      <c r="I668" s="53"/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22"/>
        <v>657</v>
      </c>
      <c r="E669" s="10" t="str">
        <f t="shared" si="21"/>
        <v/>
      </c>
      <c r="I669" s="53"/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22"/>
        <v>658</v>
      </c>
      <c r="E670" s="10" t="str">
        <f t="shared" si="21"/>
        <v/>
      </c>
      <c r="I670" s="53"/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22"/>
        <v>659</v>
      </c>
      <c r="E671" s="10" t="str">
        <f t="shared" si="21"/>
        <v/>
      </c>
      <c r="I671" s="53"/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22"/>
        <v>660</v>
      </c>
      <c r="E672" s="10" t="str">
        <f t="shared" si="21"/>
        <v/>
      </c>
      <c r="I672" s="53"/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22"/>
        <v>661</v>
      </c>
      <c r="E673" s="10" t="str">
        <f t="shared" si="21"/>
        <v/>
      </c>
      <c r="I673" s="53"/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22"/>
        <v>662</v>
      </c>
      <c r="E674" s="10" t="str">
        <f t="shared" si="21"/>
        <v/>
      </c>
      <c r="I674" s="53"/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22"/>
        <v>663</v>
      </c>
      <c r="E675" s="10" t="str">
        <f t="shared" si="21"/>
        <v/>
      </c>
      <c r="I675" s="53"/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22"/>
        <v>664</v>
      </c>
      <c r="E676" s="10" t="str">
        <f t="shared" si="21"/>
        <v/>
      </c>
      <c r="I676" s="53"/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22"/>
        <v>665</v>
      </c>
      <c r="E677" s="10" t="str">
        <f t="shared" si="21"/>
        <v/>
      </c>
      <c r="I677" s="53"/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22"/>
        <v>666</v>
      </c>
      <c r="E678" s="10" t="str">
        <f t="shared" si="21"/>
        <v/>
      </c>
      <c r="I678" s="53"/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22"/>
        <v>667</v>
      </c>
      <c r="E679" s="10" t="str">
        <f t="shared" si="21"/>
        <v/>
      </c>
      <c r="I679" s="53"/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22"/>
        <v>668</v>
      </c>
      <c r="E680" s="10" t="str">
        <f t="shared" si="21"/>
        <v/>
      </c>
      <c r="I680" s="53"/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22"/>
        <v>669</v>
      </c>
      <c r="E681" s="10" t="str">
        <f t="shared" si="21"/>
        <v/>
      </c>
      <c r="I681" s="53"/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22"/>
        <v>670</v>
      </c>
      <c r="E682" s="10" t="str">
        <f t="shared" si="21"/>
        <v/>
      </c>
      <c r="I682" s="53"/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22"/>
        <v>671</v>
      </c>
      <c r="E683" s="10" t="str">
        <f t="shared" si="21"/>
        <v/>
      </c>
      <c r="I683" s="53"/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22"/>
        <v>672</v>
      </c>
      <c r="E684" s="10" t="str">
        <f t="shared" si="21"/>
        <v/>
      </c>
      <c r="I684" s="53"/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22"/>
        <v>673</v>
      </c>
      <c r="E685" s="10" t="str">
        <f t="shared" si="21"/>
        <v/>
      </c>
      <c r="I685" s="53"/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22"/>
        <v>674</v>
      </c>
      <c r="E686" s="10" t="str">
        <f t="shared" si="21"/>
        <v/>
      </c>
      <c r="I686" s="53"/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22"/>
        <v>675</v>
      </c>
      <c r="E687" s="10" t="str">
        <f t="shared" si="21"/>
        <v/>
      </c>
      <c r="I687" s="53"/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22"/>
        <v>676</v>
      </c>
      <c r="E688" s="10" t="str">
        <f t="shared" si="21"/>
        <v/>
      </c>
      <c r="I688" s="53"/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22"/>
        <v>677</v>
      </c>
      <c r="E689" s="10" t="str">
        <f t="shared" si="21"/>
        <v/>
      </c>
      <c r="I689" s="53"/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22"/>
        <v>678</v>
      </c>
      <c r="E690" s="10" t="str">
        <f t="shared" si="21"/>
        <v/>
      </c>
      <c r="I690" s="53"/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22"/>
        <v>679</v>
      </c>
      <c r="E691" s="10" t="str">
        <f t="shared" si="21"/>
        <v/>
      </c>
      <c r="I691" s="53"/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22"/>
        <v>680</v>
      </c>
      <c r="E692" s="10" t="str">
        <f t="shared" si="21"/>
        <v/>
      </c>
      <c r="I692" s="53"/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22"/>
        <v>681</v>
      </c>
      <c r="E693" s="10" t="str">
        <f t="shared" si="21"/>
        <v/>
      </c>
      <c r="I693" s="53"/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22"/>
        <v>682</v>
      </c>
      <c r="E694" s="10" t="str">
        <f t="shared" si="21"/>
        <v/>
      </c>
      <c r="I694" s="53"/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22"/>
        <v>683</v>
      </c>
      <c r="E695" s="10" t="str">
        <f t="shared" si="21"/>
        <v/>
      </c>
      <c r="I695" s="53"/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22"/>
        <v>684</v>
      </c>
      <c r="E696" s="10" t="str">
        <f t="shared" si="21"/>
        <v/>
      </c>
      <c r="I696" s="53"/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22"/>
        <v>685</v>
      </c>
      <c r="E697" s="10" t="str">
        <f t="shared" si="21"/>
        <v/>
      </c>
      <c r="I697" s="53"/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22"/>
        <v>686</v>
      </c>
      <c r="E698" s="10" t="str">
        <f t="shared" si="21"/>
        <v/>
      </c>
      <c r="I698" s="53"/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22"/>
        <v>687</v>
      </c>
      <c r="E699" s="10" t="str">
        <f t="shared" si="21"/>
        <v/>
      </c>
      <c r="I699" s="53"/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22"/>
        <v>688</v>
      </c>
      <c r="E700" s="10" t="str">
        <f t="shared" si="21"/>
        <v/>
      </c>
      <c r="I700" s="53"/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22"/>
        <v>689</v>
      </c>
      <c r="E701" s="10" t="str">
        <f t="shared" si="21"/>
        <v/>
      </c>
      <c r="I701" s="53"/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22"/>
        <v>690</v>
      </c>
      <c r="E702" s="10" t="str">
        <f t="shared" si="21"/>
        <v/>
      </c>
      <c r="I702" s="53"/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22"/>
        <v>691</v>
      </c>
      <c r="E703" s="10" t="str">
        <f t="shared" si="21"/>
        <v/>
      </c>
      <c r="I703" s="53"/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22"/>
        <v>692</v>
      </c>
      <c r="E704" s="10" t="str">
        <f t="shared" si="21"/>
        <v/>
      </c>
      <c r="I704" s="53"/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22"/>
        <v>693</v>
      </c>
      <c r="E705" s="10" t="str">
        <f t="shared" si="21"/>
        <v/>
      </c>
      <c r="I705" s="53"/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22"/>
        <v>694</v>
      </c>
      <c r="E706" s="10" t="str">
        <f t="shared" si="21"/>
        <v/>
      </c>
      <c r="I706" s="53"/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22"/>
        <v>695</v>
      </c>
      <c r="E707" s="10" t="str">
        <f t="shared" si="21"/>
        <v/>
      </c>
      <c r="I707" s="53"/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22"/>
        <v>696</v>
      </c>
      <c r="E708" s="10" t="str">
        <f t="shared" si="21"/>
        <v/>
      </c>
      <c r="I708" s="53"/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22"/>
        <v>697</v>
      </c>
      <c r="E709" s="10" t="str">
        <f t="shared" si="21"/>
        <v/>
      </c>
      <c r="I709" s="53"/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22"/>
        <v>698</v>
      </c>
      <c r="E710" s="10" t="str">
        <f t="shared" si="21"/>
        <v/>
      </c>
      <c r="I710" s="53"/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22"/>
        <v>699</v>
      </c>
      <c r="E711" s="10" t="str">
        <f t="shared" si="21"/>
        <v/>
      </c>
      <c r="I711" s="53"/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22"/>
        <v>700</v>
      </c>
      <c r="E712" s="10" t="str">
        <f t="shared" si="21"/>
        <v/>
      </c>
      <c r="I712" s="53"/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22"/>
        <v>701</v>
      </c>
      <c r="E713" s="10" t="str">
        <f t="shared" si="21"/>
        <v/>
      </c>
      <c r="I713" s="53"/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22"/>
        <v>702</v>
      </c>
      <c r="E714" s="10" t="str">
        <f t="shared" si="21"/>
        <v/>
      </c>
      <c r="I714" s="53"/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22"/>
        <v>703</v>
      </c>
      <c r="E715" s="10" t="str">
        <f t="shared" si="21"/>
        <v/>
      </c>
      <c r="I715" s="53"/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22"/>
        <v>704</v>
      </c>
      <c r="E716" s="10" t="str">
        <f t="shared" si="21"/>
        <v/>
      </c>
      <c r="I716" s="53"/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22"/>
        <v>705</v>
      </c>
      <c r="E717" s="10" t="str">
        <f t="shared" ref="E717:E780" si="23">IF($C$8&gt;=A717,$E$1&amp;" "&amp;A717,"")</f>
        <v/>
      </c>
      <c r="I717" s="53"/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22"/>
        <v>706</v>
      </c>
      <c r="E718" s="10" t="str">
        <f t="shared" si="23"/>
        <v/>
      </c>
      <c r="I718" s="53"/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24">A718+1</f>
        <v>707</v>
      </c>
      <c r="E719" s="10" t="str">
        <f t="shared" si="23"/>
        <v/>
      </c>
      <c r="I719" s="53"/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24"/>
        <v>708</v>
      </c>
      <c r="E720" s="10" t="str">
        <f t="shared" si="23"/>
        <v/>
      </c>
      <c r="I720" s="53"/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24"/>
        <v>709</v>
      </c>
      <c r="E721" s="10" t="str">
        <f t="shared" si="23"/>
        <v/>
      </c>
      <c r="I721" s="53"/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24"/>
        <v>710</v>
      </c>
      <c r="E722" s="10" t="str">
        <f t="shared" si="23"/>
        <v/>
      </c>
      <c r="I722" s="53"/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24"/>
        <v>711</v>
      </c>
      <c r="E723" s="10" t="str">
        <f t="shared" si="23"/>
        <v/>
      </c>
      <c r="I723" s="53"/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24"/>
        <v>712</v>
      </c>
      <c r="E724" s="10" t="str">
        <f t="shared" si="23"/>
        <v/>
      </c>
      <c r="I724" s="53"/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24"/>
        <v>713</v>
      </c>
      <c r="E725" s="10" t="str">
        <f t="shared" si="23"/>
        <v/>
      </c>
      <c r="I725" s="53"/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24"/>
        <v>714</v>
      </c>
      <c r="E726" s="10" t="str">
        <f t="shared" si="23"/>
        <v/>
      </c>
      <c r="I726" s="53"/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24"/>
        <v>715</v>
      </c>
      <c r="E727" s="10" t="str">
        <f t="shared" si="23"/>
        <v/>
      </c>
      <c r="I727" s="53"/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24"/>
        <v>716</v>
      </c>
      <c r="E728" s="10" t="str">
        <f t="shared" si="23"/>
        <v/>
      </c>
      <c r="I728" s="53"/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24"/>
        <v>717</v>
      </c>
      <c r="E729" s="10" t="str">
        <f t="shared" si="23"/>
        <v/>
      </c>
      <c r="I729" s="53"/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24"/>
        <v>718</v>
      </c>
      <c r="E730" s="10" t="str">
        <f t="shared" si="23"/>
        <v/>
      </c>
      <c r="I730" s="53"/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24"/>
        <v>719</v>
      </c>
      <c r="E731" s="10" t="str">
        <f t="shared" si="23"/>
        <v/>
      </c>
      <c r="I731" s="53"/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24"/>
        <v>720</v>
      </c>
      <c r="E732" s="10" t="str">
        <f t="shared" si="23"/>
        <v/>
      </c>
      <c r="I732" s="53"/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24"/>
        <v>721</v>
      </c>
      <c r="E733" s="10" t="str">
        <f t="shared" si="23"/>
        <v/>
      </c>
      <c r="I733" s="53"/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24"/>
        <v>722</v>
      </c>
      <c r="E734" s="10" t="str">
        <f t="shared" si="23"/>
        <v/>
      </c>
      <c r="I734" s="53"/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24"/>
        <v>723</v>
      </c>
      <c r="E735" s="10" t="str">
        <f t="shared" si="23"/>
        <v/>
      </c>
      <c r="I735" s="53"/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24"/>
        <v>724</v>
      </c>
      <c r="E736" s="10" t="str">
        <f t="shared" si="23"/>
        <v/>
      </c>
      <c r="I736" s="53"/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24"/>
        <v>725</v>
      </c>
      <c r="E737" s="10" t="str">
        <f t="shared" si="23"/>
        <v/>
      </c>
      <c r="I737" s="53"/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24"/>
        <v>726</v>
      </c>
      <c r="E738" s="10" t="str">
        <f t="shared" si="23"/>
        <v/>
      </c>
      <c r="I738" s="53"/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24"/>
        <v>727</v>
      </c>
      <c r="E739" s="10" t="str">
        <f t="shared" si="23"/>
        <v/>
      </c>
      <c r="I739" s="53"/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24"/>
        <v>728</v>
      </c>
      <c r="E740" s="10" t="str">
        <f t="shared" si="23"/>
        <v/>
      </c>
      <c r="I740" s="53"/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24"/>
        <v>729</v>
      </c>
      <c r="E741" s="10" t="str">
        <f t="shared" si="23"/>
        <v/>
      </c>
      <c r="I741" s="53"/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24"/>
        <v>730</v>
      </c>
      <c r="E742" s="10" t="str">
        <f t="shared" si="23"/>
        <v/>
      </c>
      <c r="I742" s="53"/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24"/>
        <v>731</v>
      </c>
      <c r="E743" s="10" t="str">
        <f t="shared" si="23"/>
        <v/>
      </c>
      <c r="I743" s="53"/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24"/>
        <v>732</v>
      </c>
      <c r="E744" s="10" t="str">
        <f t="shared" si="23"/>
        <v/>
      </c>
      <c r="I744" s="53"/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24"/>
        <v>733</v>
      </c>
      <c r="E745" s="10" t="str">
        <f t="shared" si="23"/>
        <v/>
      </c>
      <c r="I745" s="53"/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24"/>
        <v>734</v>
      </c>
      <c r="E746" s="10" t="str">
        <f t="shared" si="23"/>
        <v/>
      </c>
      <c r="I746" s="53"/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24"/>
        <v>735</v>
      </c>
      <c r="E747" s="10" t="str">
        <f t="shared" si="23"/>
        <v/>
      </c>
      <c r="I747" s="53"/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24"/>
        <v>736</v>
      </c>
      <c r="E748" s="10" t="str">
        <f t="shared" si="23"/>
        <v/>
      </c>
      <c r="I748" s="53"/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24"/>
        <v>737</v>
      </c>
      <c r="E749" s="10" t="str">
        <f t="shared" si="23"/>
        <v/>
      </c>
      <c r="I749" s="53"/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24"/>
        <v>738</v>
      </c>
      <c r="E750" s="10" t="str">
        <f t="shared" si="23"/>
        <v/>
      </c>
      <c r="I750" s="53"/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24"/>
        <v>739</v>
      </c>
      <c r="E751" s="10" t="str">
        <f t="shared" si="23"/>
        <v/>
      </c>
      <c r="I751" s="53"/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24"/>
        <v>740</v>
      </c>
      <c r="E752" s="10" t="str">
        <f t="shared" si="23"/>
        <v/>
      </c>
      <c r="I752" s="53"/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24"/>
        <v>741</v>
      </c>
      <c r="E753" s="10" t="str">
        <f t="shared" si="23"/>
        <v/>
      </c>
      <c r="I753" s="53"/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24"/>
        <v>742</v>
      </c>
      <c r="E754" s="10" t="str">
        <f t="shared" si="23"/>
        <v/>
      </c>
      <c r="I754" s="53"/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24"/>
        <v>743</v>
      </c>
      <c r="E755" s="10" t="str">
        <f t="shared" si="23"/>
        <v/>
      </c>
      <c r="I755" s="53"/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24"/>
        <v>744</v>
      </c>
      <c r="E756" s="10" t="str">
        <f t="shared" si="23"/>
        <v/>
      </c>
      <c r="I756" s="53"/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24"/>
        <v>745</v>
      </c>
      <c r="E757" s="10" t="str">
        <f t="shared" si="23"/>
        <v/>
      </c>
      <c r="I757" s="53"/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24"/>
        <v>746</v>
      </c>
      <c r="E758" s="10" t="str">
        <f t="shared" si="23"/>
        <v/>
      </c>
      <c r="I758" s="53"/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24"/>
        <v>747</v>
      </c>
      <c r="E759" s="10" t="str">
        <f t="shared" si="23"/>
        <v/>
      </c>
      <c r="I759" s="53"/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24"/>
        <v>748</v>
      </c>
      <c r="E760" s="10" t="str">
        <f t="shared" si="23"/>
        <v/>
      </c>
      <c r="I760" s="53"/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24"/>
        <v>749</v>
      </c>
      <c r="E761" s="10" t="str">
        <f t="shared" si="23"/>
        <v/>
      </c>
      <c r="I761" s="53"/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24"/>
        <v>750</v>
      </c>
      <c r="E762" s="10" t="str">
        <f t="shared" si="23"/>
        <v/>
      </c>
      <c r="I762" s="53"/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24"/>
        <v>751</v>
      </c>
      <c r="E763" s="10" t="str">
        <f t="shared" si="23"/>
        <v/>
      </c>
      <c r="I763" s="53"/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24"/>
        <v>752</v>
      </c>
      <c r="E764" s="10" t="str">
        <f t="shared" si="23"/>
        <v/>
      </c>
      <c r="I764" s="53"/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24"/>
        <v>753</v>
      </c>
      <c r="E765" s="10" t="str">
        <f t="shared" si="23"/>
        <v/>
      </c>
      <c r="I765" s="53"/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24"/>
        <v>754</v>
      </c>
      <c r="E766" s="10" t="str">
        <f t="shared" si="23"/>
        <v/>
      </c>
      <c r="I766" s="53"/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24"/>
        <v>755</v>
      </c>
      <c r="E767" s="10" t="str">
        <f t="shared" si="23"/>
        <v/>
      </c>
      <c r="I767" s="53"/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24"/>
        <v>756</v>
      </c>
      <c r="E768" s="10" t="str">
        <f t="shared" si="23"/>
        <v/>
      </c>
      <c r="I768" s="53"/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24"/>
        <v>757</v>
      </c>
      <c r="E769" s="10" t="str">
        <f t="shared" si="23"/>
        <v/>
      </c>
      <c r="I769" s="53"/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24"/>
        <v>758</v>
      </c>
      <c r="E770" s="10" t="str">
        <f t="shared" si="23"/>
        <v/>
      </c>
      <c r="I770" s="53"/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24"/>
        <v>759</v>
      </c>
      <c r="E771" s="10" t="str">
        <f t="shared" si="23"/>
        <v/>
      </c>
      <c r="I771" s="53"/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24"/>
        <v>760</v>
      </c>
      <c r="E772" s="10" t="str">
        <f t="shared" si="23"/>
        <v/>
      </c>
      <c r="I772" s="53"/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24"/>
        <v>761</v>
      </c>
      <c r="E773" s="10" t="str">
        <f t="shared" si="23"/>
        <v/>
      </c>
      <c r="I773" s="53"/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24"/>
        <v>762</v>
      </c>
      <c r="E774" s="10" t="str">
        <f t="shared" si="23"/>
        <v/>
      </c>
      <c r="I774" s="53"/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24"/>
        <v>763</v>
      </c>
      <c r="E775" s="10" t="str">
        <f t="shared" si="23"/>
        <v/>
      </c>
      <c r="I775" s="53"/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24"/>
        <v>764</v>
      </c>
      <c r="E776" s="10" t="str">
        <f t="shared" si="23"/>
        <v/>
      </c>
      <c r="I776" s="53"/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24"/>
        <v>765</v>
      </c>
      <c r="E777" s="10" t="str">
        <f t="shared" si="23"/>
        <v/>
      </c>
      <c r="I777" s="53"/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24"/>
        <v>766</v>
      </c>
      <c r="E778" s="10" t="str">
        <f t="shared" si="23"/>
        <v/>
      </c>
      <c r="I778" s="53"/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24"/>
        <v>767</v>
      </c>
      <c r="E779" s="10" t="str">
        <f t="shared" si="23"/>
        <v/>
      </c>
      <c r="I779" s="53"/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24"/>
        <v>768</v>
      </c>
      <c r="E780" s="10" t="str">
        <f t="shared" si="23"/>
        <v/>
      </c>
      <c r="I780" s="53"/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24"/>
        <v>769</v>
      </c>
      <c r="E781" s="10" t="str">
        <f t="shared" ref="E781:E844" si="25">IF($C$8&gt;=A781,$E$1&amp;" "&amp;A781,"")</f>
        <v/>
      </c>
      <c r="I781" s="53"/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24"/>
        <v>770</v>
      </c>
      <c r="E782" s="10" t="str">
        <f t="shared" si="25"/>
        <v/>
      </c>
      <c r="I782" s="53"/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26">A782+1</f>
        <v>771</v>
      </c>
      <c r="E783" s="10" t="str">
        <f t="shared" si="25"/>
        <v/>
      </c>
      <c r="I783" s="53"/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26"/>
        <v>772</v>
      </c>
      <c r="E784" s="10" t="str">
        <f t="shared" si="25"/>
        <v/>
      </c>
      <c r="I784" s="53"/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26"/>
        <v>773</v>
      </c>
      <c r="E785" s="10" t="str">
        <f t="shared" si="25"/>
        <v/>
      </c>
      <c r="I785" s="53"/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26"/>
        <v>774</v>
      </c>
      <c r="E786" s="10" t="str">
        <f t="shared" si="25"/>
        <v/>
      </c>
      <c r="I786" s="53"/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26"/>
        <v>775</v>
      </c>
      <c r="E787" s="10" t="str">
        <f t="shared" si="25"/>
        <v/>
      </c>
      <c r="I787" s="53"/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26"/>
        <v>776</v>
      </c>
      <c r="E788" s="10" t="str">
        <f t="shared" si="25"/>
        <v/>
      </c>
      <c r="I788" s="53"/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26"/>
        <v>777</v>
      </c>
      <c r="E789" s="10" t="str">
        <f t="shared" si="25"/>
        <v/>
      </c>
      <c r="I789" s="53"/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26"/>
        <v>778</v>
      </c>
      <c r="E790" s="10" t="str">
        <f t="shared" si="25"/>
        <v/>
      </c>
      <c r="I790" s="53"/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26"/>
        <v>779</v>
      </c>
      <c r="E791" s="10" t="str">
        <f t="shared" si="25"/>
        <v/>
      </c>
      <c r="I791" s="53"/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26"/>
        <v>780</v>
      </c>
      <c r="E792" s="10" t="str">
        <f t="shared" si="25"/>
        <v/>
      </c>
      <c r="I792" s="53"/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26"/>
        <v>781</v>
      </c>
      <c r="E793" s="10" t="str">
        <f t="shared" si="25"/>
        <v/>
      </c>
      <c r="I793" s="53"/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26"/>
        <v>782</v>
      </c>
      <c r="E794" s="10" t="str">
        <f t="shared" si="25"/>
        <v/>
      </c>
      <c r="I794" s="53"/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26"/>
        <v>783</v>
      </c>
      <c r="E795" s="10" t="str">
        <f t="shared" si="25"/>
        <v/>
      </c>
      <c r="I795" s="53"/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26"/>
        <v>784</v>
      </c>
      <c r="E796" s="10" t="str">
        <f t="shared" si="25"/>
        <v/>
      </c>
      <c r="I796" s="53"/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26"/>
        <v>785</v>
      </c>
      <c r="E797" s="10" t="str">
        <f t="shared" si="25"/>
        <v/>
      </c>
      <c r="I797" s="53"/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26"/>
        <v>786</v>
      </c>
      <c r="E798" s="10" t="str">
        <f t="shared" si="25"/>
        <v/>
      </c>
      <c r="I798" s="53"/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26"/>
        <v>787</v>
      </c>
      <c r="E799" s="10" t="str">
        <f t="shared" si="25"/>
        <v/>
      </c>
      <c r="I799" s="53"/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26"/>
        <v>788</v>
      </c>
      <c r="E800" s="10" t="str">
        <f t="shared" si="25"/>
        <v/>
      </c>
      <c r="I800" s="53"/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26"/>
        <v>789</v>
      </c>
      <c r="E801" s="10" t="str">
        <f t="shared" si="25"/>
        <v/>
      </c>
      <c r="I801" s="53"/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26"/>
        <v>790</v>
      </c>
      <c r="E802" s="10" t="str">
        <f t="shared" si="25"/>
        <v/>
      </c>
      <c r="I802" s="53"/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26"/>
        <v>791</v>
      </c>
      <c r="E803" s="10" t="str">
        <f t="shared" si="25"/>
        <v/>
      </c>
      <c r="I803" s="53"/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26"/>
        <v>792</v>
      </c>
      <c r="E804" s="10" t="str">
        <f t="shared" si="25"/>
        <v/>
      </c>
      <c r="I804" s="53"/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26"/>
        <v>793</v>
      </c>
      <c r="E805" s="10" t="str">
        <f t="shared" si="25"/>
        <v/>
      </c>
      <c r="I805" s="53"/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26"/>
        <v>794</v>
      </c>
      <c r="E806" s="10" t="str">
        <f t="shared" si="25"/>
        <v/>
      </c>
      <c r="I806" s="53"/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26"/>
        <v>795</v>
      </c>
      <c r="E807" s="10" t="str">
        <f t="shared" si="25"/>
        <v/>
      </c>
      <c r="I807" s="53"/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26"/>
        <v>796</v>
      </c>
      <c r="E808" s="10" t="str">
        <f t="shared" si="25"/>
        <v/>
      </c>
      <c r="I808" s="53"/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26"/>
        <v>797</v>
      </c>
      <c r="E809" s="10" t="str">
        <f t="shared" si="25"/>
        <v/>
      </c>
      <c r="I809" s="53"/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26"/>
        <v>798</v>
      </c>
      <c r="E810" s="10" t="str">
        <f t="shared" si="25"/>
        <v/>
      </c>
      <c r="I810" s="53"/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26"/>
        <v>799</v>
      </c>
      <c r="E811" s="10" t="str">
        <f t="shared" si="25"/>
        <v/>
      </c>
      <c r="I811" s="53"/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26"/>
        <v>800</v>
      </c>
      <c r="E812" s="10" t="str">
        <f t="shared" si="25"/>
        <v/>
      </c>
      <c r="I812" s="53"/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26"/>
        <v>801</v>
      </c>
      <c r="E813" s="10" t="str">
        <f t="shared" si="25"/>
        <v/>
      </c>
      <c r="I813" s="53"/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26"/>
        <v>802</v>
      </c>
      <c r="E814" s="10" t="str">
        <f t="shared" si="25"/>
        <v/>
      </c>
      <c r="I814" s="53"/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26"/>
        <v>803</v>
      </c>
      <c r="E815" s="10" t="str">
        <f t="shared" si="25"/>
        <v/>
      </c>
      <c r="I815" s="53"/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26"/>
        <v>804</v>
      </c>
      <c r="E816" s="10" t="str">
        <f t="shared" si="25"/>
        <v/>
      </c>
      <c r="I816" s="53"/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26"/>
        <v>805</v>
      </c>
      <c r="E817" s="10" t="str">
        <f t="shared" si="25"/>
        <v/>
      </c>
      <c r="I817" s="53"/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26"/>
        <v>806</v>
      </c>
      <c r="E818" s="10" t="str">
        <f t="shared" si="25"/>
        <v/>
      </c>
      <c r="I818" s="53"/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26"/>
        <v>807</v>
      </c>
      <c r="E819" s="10" t="str">
        <f t="shared" si="25"/>
        <v/>
      </c>
      <c r="I819" s="53"/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26"/>
        <v>808</v>
      </c>
      <c r="E820" s="10" t="str">
        <f t="shared" si="25"/>
        <v/>
      </c>
      <c r="I820" s="53"/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26"/>
        <v>809</v>
      </c>
      <c r="E821" s="10" t="str">
        <f t="shared" si="25"/>
        <v/>
      </c>
      <c r="I821" s="53"/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26"/>
        <v>810</v>
      </c>
      <c r="E822" s="10" t="str">
        <f t="shared" si="25"/>
        <v/>
      </c>
      <c r="I822" s="53"/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26"/>
        <v>811</v>
      </c>
      <c r="E823" s="10" t="str">
        <f t="shared" si="25"/>
        <v/>
      </c>
      <c r="I823" s="53"/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26"/>
        <v>812</v>
      </c>
      <c r="E824" s="10" t="str">
        <f t="shared" si="25"/>
        <v/>
      </c>
      <c r="I824" s="53"/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26"/>
        <v>813</v>
      </c>
      <c r="E825" s="10" t="str">
        <f t="shared" si="25"/>
        <v/>
      </c>
      <c r="I825" s="53"/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26"/>
        <v>814</v>
      </c>
      <c r="E826" s="10" t="str">
        <f t="shared" si="25"/>
        <v/>
      </c>
      <c r="I826" s="53"/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26"/>
        <v>815</v>
      </c>
      <c r="E827" s="10" t="str">
        <f t="shared" si="25"/>
        <v/>
      </c>
      <c r="I827" s="53"/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26"/>
        <v>816</v>
      </c>
      <c r="E828" s="10" t="str">
        <f t="shared" si="25"/>
        <v/>
      </c>
      <c r="I828" s="53"/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26"/>
        <v>817</v>
      </c>
      <c r="E829" s="10" t="str">
        <f t="shared" si="25"/>
        <v/>
      </c>
      <c r="I829" s="53"/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26"/>
        <v>818</v>
      </c>
      <c r="E830" s="10" t="str">
        <f t="shared" si="25"/>
        <v/>
      </c>
      <c r="I830" s="53"/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26"/>
        <v>819</v>
      </c>
      <c r="E831" s="10" t="str">
        <f t="shared" si="25"/>
        <v/>
      </c>
      <c r="I831" s="53"/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26"/>
        <v>820</v>
      </c>
      <c r="E832" s="10" t="str">
        <f t="shared" si="25"/>
        <v/>
      </c>
      <c r="I832" s="53"/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26"/>
        <v>821</v>
      </c>
      <c r="E833" s="10" t="str">
        <f t="shared" si="25"/>
        <v/>
      </c>
      <c r="I833" s="53"/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26"/>
        <v>822</v>
      </c>
      <c r="E834" s="10" t="str">
        <f t="shared" si="25"/>
        <v/>
      </c>
      <c r="I834" s="53"/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26"/>
        <v>823</v>
      </c>
      <c r="E835" s="10" t="str">
        <f t="shared" si="25"/>
        <v/>
      </c>
      <c r="I835" s="53"/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26"/>
        <v>824</v>
      </c>
      <c r="E836" s="10" t="str">
        <f t="shared" si="25"/>
        <v/>
      </c>
      <c r="I836" s="53"/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26"/>
        <v>825</v>
      </c>
      <c r="E837" s="10" t="str">
        <f t="shared" si="25"/>
        <v/>
      </c>
      <c r="I837" s="53"/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26"/>
        <v>826</v>
      </c>
      <c r="E838" s="10" t="str">
        <f t="shared" si="25"/>
        <v/>
      </c>
      <c r="I838" s="53"/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26"/>
        <v>827</v>
      </c>
      <c r="E839" s="10" t="str">
        <f t="shared" si="25"/>
        <v/>
      </c>
      <c r="I839" s="53"/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26"/>
        <v>828</v>
      </c>
      <c r="E840" s="10" t="str">
        <f t="shared" si="25"/>
        <v/>
      </c>
      <c r="I840" s="53"/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26"/>
        <v>829</v>
      </c>
      <c r="E841" s="10" t="str">
        <f t="shared" si="25"/>
        <v/>
      </c>
      <c r="I841" s="53"/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26"/>
        <v>830</v>
      </c>
      <c r="E842" s="10" t="str">
        <f t="shared" si="25"/>
        <v/>
      </c>
      <c r="I842" s="53"/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26"/>
        <v>831</v>
      </c>
      <c r="E843" s="10" t="str">
        <f t="shared" si="25"/>
        <v/>
      </c>
      <c r="I843" s="53"/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26"/>
        <v>832</v>
      </c>
      <c r="E844" s="10" t="str">
        <f t="shared" si="25"/>
        <v/>
      </c>
      <c r="I844" s="53"/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26"/>
        <v>833</v>
      </c>
      <c r="E845" s="10" t="str">
        <f t="shared" ref="E845:E908" si="27">IF($C$8&gt;=A845,$E$1&amp;" "&amp;A845,"")</f>
        <v/>
      </c>
      <c r="I845" s="53"/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26"/>
        <v>834</v>
      </c>
      <c r="E846" s="10" t="str">
        <f t="shared" si="27"/>
        <v/>
      </c>
      <c r="I846" s="53"/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28">A846+1</f>
        <v>835</v>
      </c>
      <c r="E847" s="10" t="str">
        <f t="shared" si="27"/>
        <v/>
      </c>
      <c r="I847" s="53"/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28"/>
        <v>836</v>
      </c>
      <c r="E848" s="10" t="str">
        <f t="shared" si="27"/>
        <v/>
      </c>
      <c r="I848" s="53"/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28"/>
        <v>837</v>
      </c>
      <c r="E849" s="10" t="str">
        <f t="shared" si="27"/>
        <v/>
      </c>
      <c r="I849" s="53"/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28"/>
        <v>838</v>
      </c>
      <c r="E850" s="10" t="str">
        <f t="shared" si="27"/>
        <v/>
      </c>
      <c r="I850" s="53"/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28"/>
        <v>839</v>
      </c>
      <c r="E851" s="10" t="str">
        <f t="shared" si="27"/>
        <v/>
      </c>
      <c r="I851" s="53"/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28"/>
        <v>840</v>
      </c>
      <c r="E852" s="10" t="str">
        <f t="shared" si="27"/>
        <v/>
      </c>
      <c r="I852" s="53"/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28"/>
        <v>841</v>
      </c>
      <c r="E853" s="10" t="str">
        <f t="shared" si="27"/>
        <v/>
      </c>
      <c r="I853" s="53"/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28"/>
        <v>842</v>
      </c>
      <c r="E854" s="10" t="str">
        <f t="shared" si="27"/>
        <v/>
      </c>
      <c r="I854" s="53"/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28"/>
        <v>843</v>
      </c>
      <c r="E855" s="10" t="str">
        <f t="shared" si="27"/>
        <v/>
      </c>
      <c r="I855" s="53"/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28"/>
        <v>844</v>
      </c>
      <c r="E856" s="10" t="str">
        <f t="shared" si="27"/>
        <v/>
      </c>
      <c r="I856" s="53"/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28"/>
        <v>845</v>
      </c>
      <c r="E857" s="10" t="str">
        <f t="shared" si="27"/>
        <v/>
      </c>
      <c r="I857" s="53"/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28"/>
        <v>846</v>
      </c>
      <c r="E858" s="10" t="str">
        <f t="shared" si="27"/>
        <v/>
      </c>
      <c r="I858" s="53"/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28"/>
        <v>847</v>
      </c>
      <c r="E859" s="10" t="str">
        <f t="shared" si="27"/>
        <v/>
      </c>
      <c r="I859" s="53"/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28"/>
        <v>848</v>
      </c>
      <c r="E860" s="10" t="str">
        <f t="shared" si="27"/>
        <v/>
      </c>
      <c r="I860" s="53"/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28"/>
        <v>849</v>
      </c>
      <c r="E861" s="10" t="str">
        <f t="shared" si="27"/>
        <v/>
      </c>
      <c r="I861" s="53"/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28"/>
        <v>850</v>
      </c>
      <c r="E862" s="10" t="str">
        <f t="shared" si="27"/>
        <v/>
      </c>
      <c r="I862" s="53"/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28"/>
        <v>851</v>
      </c>
      <c r="E863" s="10" t="str">
        <f t="shared" si="27"/>
        <v/>
      </c>
      <c r="I863" s="53"/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28"/>
        <v>852</v>
      </c>
      <c r="E864" s="10" t="str">
        <f t="shared" si="27"/>
        <v/>
      </c>
      <c r="I864" s="53"/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28"/>
        <v>853</v>
      </c>
      <c r="E865" s="10" t="str">
        <f t="shared" si="27"/>
        <v/>
      </c>
      <c r="I865" s="53"/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28"/>
        <v>854</v>
      </c>
      <c r="E866" s="10" t="str">
        <f t="shared" si="27"/>
        <v/>
      </c>
      <c r="I866" s="53"/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28"/>
        <v>855</v>
      </c>
      <c r="E867" s="10" t="str">
        <f t="shared" si="27"/>
        <v/>
      </c>
      <c r="I867" s="53"/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28"/>
        <v>856</v>
      </c>
      <c r="E868" s="10" t="str">
        <f t="shared" si="27"/>
        <v/>
      </c>
      <c r="I868" s="53"/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28"/>
        <v>857</v>
      </c>
      <c r="E869" s="10" t="str">
        <f t="shared" si="27"/>
        <v/>
      </c>
      <c r="I869" s="53"/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28"/>
        <v>858</v>
      </c>
      <c r="E870" s="10" t="str">
        <f t="shared" si="27"/>
        <v/>
      </c>
      <c r="I870" s="53"/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28"/>
        <v>859</v>
      </c>
      <c r="E871" s="10" t="str">
        <f t="shared" si="27"/>
        <v/>
      </c>
      <c r="I871" s="53"/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28"/>
        <v>860</v>
      </c>
      <c r="E872" s="10" t="str">
        <f t="shared" si="27"/>
        <v/>
      </c>
      <c r="I872" s="53"/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28"/>
        <v>861</v>
      </c>
      <c r="E873" s="10" t="str">
        <f t="shared" si="27"/>
        <v/>
      </c>
      <c r="I873" s="53"/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28"/>
        <v>862</v>
      </c>
      <c r="E874" s="10" t="str">
        <f t="shared" si="27"/>
        <v/>
      </c>
      <c r="I874" s="53"/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28"/>
        <v>863</v>
      </c>
      <c r="E875" s="10" t="str">
        <f t="shared" si="27"/>
        <v/>
      </c>
      <c r="I875" s="53"/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28"/>
        <v>864</v>
      </c>
      <c r="E876" s="10" t="str">
        <f t="shared" si="27"/>
        <v/>
      </c>
      <c r="I876" s="53"/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28"/>
        <v>865</v>
      </c>
      <c r="E877" s="10" t="str">
        <f t="shared" si="27"/>
        <v/>
      </c>
      <c r="I877" s="53"/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28"/>
        <v>866</v>
      </c>
      <c r="E878" s="10" t="str">
        <f t="shared" si="27"/>
        <v/>
      </c>
      <c r="I878" s="53"/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28"/>
        <v>867</v>
      </c>
      <c r="E879" s="10" t="str">
        <f t="shared" si="27"/>
        <v/>
      </c>
      <c r="I879" s="53"/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28"/>
        <v>868</v>
      </c>
      <c r="E880" s="10" t="str">
        <f t="shared" si="27"/>
        <v/>
      </c>
      <c r="I880" s="53"/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28"/>
        <v>869</v>
      </c>
      <c r="E881" s="10" t="str">
        <f t="shared" si="27"/>
        <v/>
      </c>
      <c r="I881" s="53"/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28"/>
        <v>870</v>
      </c>
      <c r="E882" s="10" t="str">
        <f t="shared" si="27"/>
        <v/>
      </c>
      <c r="I882" s="53"/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28"/>
        <v>871</v>
      </c>
      <c r="E883" s="10" t="str">
        <f t="shared" si="27"/>
        <v/>
      </c>
      <c r="I883" s="53"/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28"/>
        <v>872</v>
      </c>
      <c r="E884" s="10" t="str">
        <f t="shared" si="27"/>
        <v/>
      </c>
      <c r="I884" s="53"/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28"/>
        <v>873</v>
      </c>
      <c r="E885" s="10" t="str">
        <f t="shared" si="27"/>
        <v/>
      </c>
      <c r="I885" s="53"/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28"/>
        <v>874</v>
      </c>
      <c r="E886" s="10" t="str">
        <f t="shared" si="27"/>
        <v/>
      </c>
      <c r="I886" s="53"/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28"/>
        <v>875</v>
      </c>
      <c r="E887" s="10" t="str">
        <f t="shared" si="27"/>
        <v/>
      </c>
      <c r="I887" s="53"/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28"/>
        <v>876</v>
      </c>
      <c r="E888" s="10" t="str">
        <f t="shared" si="27"/>
        <v/>
      </c>
      <c r="I888" s="53"/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28"/>
        <v>877</v>
      </c>
      <c r="E889" s="10" t="str">
        <f t="shared" si="27"/>
        <v/>
      </c>
      <c r="I889" s="53"/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28"/>
        <v>878</v>
      </c>
      <c r="E890" s="10" t="str">
        <f t="shared" si="27"/>
        <v/>
      </c>
      <c r="I890" s="53"/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28"/>
        <v>879</v>
      </c>
      <c r="E891" s="10" t="str">
        <f t="shared" si="27"/>
        <v/>
      </c>
      <c r="I891" s="53"/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28"/>
        <v>880</v>
      </c>
      <c r="E892" s="10" t="str">
        <f t="shared" si="27"/>
        <v/>
      </c>
      <c r="I892" s="53"/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28"/>
        <v>881</v>
      </c>
      <c r="E893" s="10" t="str">
        <f t="shared" si="27"/>
        <v/>
      </c>
      <c r="I893" s="53"/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28"/>
        <v>882</v>
      </c>
      <c r="E894" s="10" t="str">
        <f t="shared" si="27"/>
        <v/>
      </c>
      <c r="I894" s="53"/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28"/>
        <v>883</v>
      </c>
      <c r="E895" s="10" t="str">
        <f t="shared" si="27"/>
        <v/>
      </c>
      <c r="I895" s="53"/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28"/>
        <v>884</v>
      </c>
      <c r="E896" s="10" t="str">
        <f t="shared" si="27"/>
        <v/>
      </c>
      <c r="I896" s="53"/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28"/>
        <v>885</v>
      </c>
      <c r="E897" s="10" t="str">
        <f t="shared" si="27"/>
        <v/>
      </c>
      <c r="I897" s="53"/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28"/>
        <v>886</v>
      </c>
      <c r="E898" s="10" t="str">
        <f t="shared" si="27"/>
        <v/>
      </c>
      <c r="I898" s="53"/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28"/>
        <v>887</v>
      </c>
      <c r="E899" s="10" t="str">
        <f t="shared" si="27"/>
        <v/>
      </c>
      <c r="I899" s="53"/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28"/>
        <v>888</v>
      </c>
      <c r="E900" s="10" t="str">
        <f t="shared" si="27"/>
        <v/>
      </c>
      <c r="I900" s="53"/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28"/>
        <v>889</v>
      </c>
      <c r="E901" s="10" t="str">
        <f t="shared" si="27"/>
        <v/>
      </c>
      <c r="I901" s="53"/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28"/>
        <v>890</v>
      </c>
      <c r="E902" s="10" t="str">
        <f t="shared" si="27"/>
        <v/>
      </c>
      <c r="I902" s="53"/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28"/>
        <v>891</v>
      </c>
      <c r="E903" s="10" t="str">
        <f t="shared" si="27"/>
        <v/>
      </c>
      <c r="I903" s="53"/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28"/>
        <v>892</v>
      </c>
      <c r="E904" s="10" t="str">
        <f t="shared" si="27"/>
        <v/>
      </c>
      <c r="I904" s="53"/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28"/>
        <v>893</v>
      </c>
      <c r="E905" s="10" t="str">
        <f t="shared" si="27"/>
        <v/>
      </c>
      <c r="I905" s="53"/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28"/>
        <v>894</v>
      </c>
      <c r="E906" s="10" t="str">
        <f t="shared" si="27"/>
        <v/>
      </c>
      <c r="I906" s="53"/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28"/>
        <v>895</v>
      </c>
      <c r="E907" s="10" t="str">
        <f t="shared" si="27"/>
        <v/>
      </c>
      <c r="I907" s="53"/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28"/>
        <v>896</v>
      </c>
      <c r="E908" s="10" t="str">
        <f t="shared" si="27"/>
        <v/>
      </c>
      <c r="I908" s="53"/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28"/>
        <v>897</v>
      </c>
      <c r="E909" s="10" t="str">
        <f t="shared" ref="E909:E972" si="29">IF($C$8&gt;=A909,$E$1&amp;" "&amp;A909,"")</f>
        <v/>
      </c>
      <c r="I909" s="53"/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28"/>
        <v>898</v>
      </c>
      <c r="E910" s="10" t="str">
        <f t="shared" si="29"/>
        <v/>
      </c>
      <c r="I910" s="53"/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30">A910+1</f>
        <v>899</v>
      </c>
      <c r="E911" s="10" t="str">
        <f t="shared" si="29"/>
        <v/>
      </c>
      <c r="I911" s="53"/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30"/>
        <v>900</v>
      </c>
      <c r="E912" s="10" t="str">
        <f t="shared" si="29"/>
        <v/>
      </c>
      <c r="I912" s="53"/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30"/>
        <v>901</v>
      </c>
      <c r="E913" s="10" t="str">
        <f t="shared" si="29"/>
        <v/>
      </c>
      <c r="I913" s="53"/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30"/>
        <v>902</v>
      </c>
      <c r="E914" s="10" t="str">
        <f t="shared" si="29"/>
        <v/>
      </c>
      <c r="I914" s="53"/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30"/>
        <v>903</v>
      </c>
      <c r="E915" s="10" t="str">
        <f t="shared" si="29"/>
        <v/>
      </c>
      <c r="I915" s="53"/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30"/>
        <v>904</v>
      </c>
      <c r="E916" s="10" t="str">
        <f t="shared" si="29"/>
        <v/>
      </c>
      <c r="I916" s="53"/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30"/>
        <v>905</v>
      </c>
      <c r="E917" s="10" t="str">
        <f t="shared" si="29"/>
        <v/>
      </c>
      <c r="I917" s="53"/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30"/>
        <v>906</v>
      </c>
      <c r="E918" s="10" t="str">
        <f t="shared" si="29"/>
        <v/>
      </c>
      <c r="I918" s="53"/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30"/>
        <v>907</v>
      </c>
      <c r="E919" s="10" t="str">
        <f t="shared" si="29"/>
        <v/>
      </c>
      <c r="I919" s="53"/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30"/>
        <v>908</v>
      </c>
      <c r="E920" s="10" t="str">
        <f t="shared" si="29"/>
        <v/>
      </c>
      <c r="I920" s="53"/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30"/>
        <v>909</v>
      </c>
      <c r="E921" s="10" t="str">
        <f t="shared" si="29"/>
        <v/>
      </c>
      <c r="I921" s="53"/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30"/>
        <v>910</v>
      </c>
      <c r="E922" s="10" t="str">
        <f t="shared" si="29"/>
        <v/>
      </c>
      <c r="I922" s="53"/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30"/>
        <v>911</v>
      </c>
      <c r="E923" s="10" t="str">
        <f t="shared" si="29"/>
        <v/>
      </c>
      <c r="I923" s="53"/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30"/>
        <v>912</v>
      </c>
      <c r="E924" s="10" t="str">
        <f t="shared" si="29"/>
        <v/>
      </c>
      <c r="I924" s="53"/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30"/>
        <v>913</v>
      </c>
      <c r="E925" s="10" t="str">
        <f t="shared" si="29"/>
        <v/>
      </c>
      <c r="I925" s="53"/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30"/>
        <v>914</v>
      </c>
      <c r="E926" s="10" t="str">
        <f t="shared" si="29"/>
        <v/>
      </c>
      <c r="I926" s="53"/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30"/>
        <v>915</v>
      </c>
      <c r="E927" s="10" t="str">
        <f t="shared" si="29"/>
        <v/>
      </c>
      <c r="I927" s="53"/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30"/>
        <v>916</v>
      </c>
      <c r="E928" s="10" t="str">
        <f t="shared" si="29"/>
        <v/>
      </c>
      <c r="I928" s="53"/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30"/>
        <v>917</v>
      </c>
      <c r="E929" s="10" t="str">
        <f t="shared" si="29"/>
        <v/>
      </c>
      <c r="I929" s="53"/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30"/>
        <v>918</v>
      </c>
      <c r="E930" s="10" t="str">
        <f t="shared" si="29"/>
        <v/>
      </c>
      <c r="I930" s="53"/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30"/>
        <v>919</v>
      </c>
      <c r="E931" s="10" t="str">
        <f t="shared" si="29"/>
        <v/>
      </c>
      <c r="I931" s="53"/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30"/>
        <v>920</v>
      </c>
      <c r="E932" s="10" t="str">
        <f t="shared" si="29"/>
        <v/>
      </c>
      <c r="I932" s="53"/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30"/>
        <v>921</v>
      </c>
      <c r="E933" s="10" t="str">
        <f t="shared" si="29"/>
        <v/>
      </c>
      <c r="I933" s="53"/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30"/>
        <v>922</v>
      </c>
      <c r="E934" s="10" t="str">
        <f t="shared" si="29"/>
        <v/>
      </c>
      <c r="I934" s="53"/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30"/>
        <v>923</v>
      </c>
      <c r="E935" s="10" t="str">
        <f t="shared" si="29"/>
        <v/>
      </c>
      <c r="I935" s="53"/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30"/>
        <v>924</v>
      </c>
      <c r="E936" s="10" t="str">
        <f t="shared" si="29"/>
        <v/>
      </c>
      <c r="I936" s="53"/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30"/>
        <v>925</v>
      </c>
      <c r="E937" s="10" t="str">
        <f t="shared" si="29"/>
        <v/>
      </c>
      <c r="I937" s="53"/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30"/>
        <v>926</v>
      </c>
      <c r="E938" s="10" t="str">
        <f t="shared" si="29"/>
        <v/>
      </c>
      <c r="I938" s="53"/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30"/>
        <v>927</v>
      </c>
      <c r="E939" s="10" t="str">
        <f t="shared" si="29"/>
        <v/>
      </c>
      <c r="I939" s="53"/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30"/>
        <v>928</v>
      </c>
      <c r="E940" s="10" t="str">
        <f t="shared" si="29"/>
        <v/>
      </c>
      <c r="I940" s="53"/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30"/>
        <v>929</v>
      </c>
      <c r="E941" s="10" t="str">
        <f t="shared" si="29"/>
        <v/>
      </c>
      <c r="I941" s="53"/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30"/>
        <v>930</v>
      </c>
      <c r="E942" s="10" t="str">
        <f t="shared" si="29"/>
        <v/>
      </c>
      <c r="I942" s="53"/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30"/>
        <v>931</v>
      </c>
      <c r="E943" s="10" t="str">
        <f t="shared" si="29"/>
        <v/>
      </c>
      <c r="I943" s="53"/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30"/>
        <v>932</v>
      </c>
      <c r="E944" s="10" t="str">
        <f t="shared" si="29"/>
        <v/>
      </c>
      <c r="I944" s="53"/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30"/>
        <v>933</v>
      </c>
      <c r="E945" s="10" t="str">
        <f t="shared" si="29"/>
        <v/>
      </c>
      <c r="I945" s="53"/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30"/>
        <v>934</v>
      </c>
      <c r="E946" s="10" t="str">
        <f t="shared" si="29"/>
        <v/>
      </c>
      <c r="I946" s="53"/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30"/>
        <v>935</v>
      </c>
      <c r="E947" s="10" t="str">
        <f t="shared" si="29"/>
        <v/>
      </c>
      <c r="I947" s="53"/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30"/>
        <v>936</v>
      </c>
      <c r="E948" s="10" t="str">
        <f t="shared" si="29"/>
        <v/>
      </c>
      <c r="I948" s="53"/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30"/>
        <v>937</v>
      </c>
      <c r="E949" s="10" t="str">
        <f t="shared" si="29"/>
        <v/>
      </c>
      <c r="I949" s="53"/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30"/>
        <v>938</v>
      </c>
      <c r="E950" s="10" t="str">
        <f t="shared" si="29"/>
        <v/>
      </c>
      <c r="I950" s="53"/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30"/>
        <v>939</v>
      </c>
      <c r="E951" s="10" t="str">
        <f t="shared" si="29"/>
        <v/>
      </c>
      <c r="I951" s="53"/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30"/>
        <v>940</v>
      </c>
      <c r="E952" s="10" t="str">
        <f t="shared" si="29"/>
        <v/>
      </c>
      <c r="I952" s="53"/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30"/>
        <v>941</v>
      </c>
      <c r="E953" s="10" t="str">
        <f t="shared" si="29"/>
        <v/>
      </c>
      <c r="I953" s="53"/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30"/>
        <v>942</v>
      </c>
      <c r="E954" s="10" t="str">
        <f t="shared" si="29"/>
        <v/>
      </c>
      <c r="I954" s="53"/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30"/>
        <v>943</v>
      </c>
      <c r="E955" s="10" t="str">
        <f t="shared" si="29"/>
        <v/>
      </c>
      <c r="I955" s="53"/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30"/>
        <v>944</v>
      </c>
      <c r="E956" s="10" t="str">
        <f t="shared" si="29"/>
        <v/>
      </c>
      <c r="I956" s="53"/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30"/>
        <v>945</v>
      </c>
      <c r="E957" s="10" t="str">
        <f t="shared" si="29"/>
        <v/>
      </c>
      <c r="I957" s="53"/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30"/>
        <v>946</v>
      </c>
      <c r="E958" s="10" t="str">
        <f t="shared" si="29"/>
        <v/>
      </c>
      <c r="I958" s="53"/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30"/>
        <v>947</v>
      </c>
      <c r="E959" s="10" t="str">
        <f t="shared" si="29"/>
        <v/>
      </c>
      <c r="I959" s="53"/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30"/>
        <v>948</v>
      </c>
      <c r="E960" s="10" t="str">
        <f t="shared" si="29"/>
        <v/>
      </c>
      <c r="I960" s="53"/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30"/>
        <v>949</v>
      </c>
      <c r="E961" s="10" t="str">
        <f t="shared" si="29"/>
        <v/>
      </c>
      <c r="I961" s="53"/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30"/>
        <v>950</v>
      </c>
      <c r="E962" s="10" t="str">
        <f t="shared" si="29"/>
        <v/>
      </c>
      <c r="I962" s="53"/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30"/>
        <v>951</v>
      </c>
      <c r="E963" s="10" t="str">
        <f t="shared" si="29"/>
        <v/>
      </c>
      <c r="I963" s="53"/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30"/>
        <v>952</v>
      </c>
      <c r="E964" s="10" t="str">
        <f t="shared" si="29"/>
        <v/>
      </c>
      <c r="I964" s="53"/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30"/>
        <v>953</v>
      </c>
      <c r="E965" s="10" t="str">
        <f t="shared" si="29"/>
        <v/>
      </c>
      <c r="I965" s="53"/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30"/>
        <v>954</v>
      </c>
      <c r="E966" s="10" t="str">
        <f t="shared" si="29"/>
        <v/>
      </c>
      <c r="I966" s="53"/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30"/>
        <v>955</v>
      </c>
      <c r="E967" s="10" t="str">
        <f t="shared" si="29"/>
        <v/>
      </c>
      <c r="I967" s="53"/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30"/>
        <v>956</v>
      </c>
      <c r="E968" s="10" t="str">
        <f t="shared" si="29"/>
        <v/>
      </c>
      <c r="I968" s="53"/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30"/>
        <v>957</v>
      </c>
      <c r="E969" s="10" t="str">
        <f t="shared" si="29"/>
        <v/>
      </c>
      <c r="I969" s="53"/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30"/>
        <v>958</v>
      </c>
      <c r="E970" s="10" t="str">
        <f t="shared" si="29"/>
        <v/>
      </c>
      <c r="I970" s="53"/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30"/>
        <v>959</v>
      </c>
      <c r="E971" s="10" t="str">
        <f t="shared" si="29"/>
        <v/>
      </c>
      <c r="I971" s="53"/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30"/>
        <v>960</v>
      </c>
      <c r="E972" s="10" t="str">
        <f t="shared" si="29"/>
        <v/>
      </c>
      <c r="I972" s="53"/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30"/>
        <v>961</v>
      </c>
      <c r="E973" s="10" t="str">
        <f t="shared" ref="E973:E1036" si="31">IF($C$8&gt;=A973,$E$1&amp;" "&amp;A973,"")</f>
        <v/>
      </c>
      <c r="I973" s="53"/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30"/>
        <v>962</v>
      </c>
      <c r="E974" s="10" t="str">
        <f t="shared" si="31"/>
        <v/>
      </c>
      <c r="I974" s="53"/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32">A974+1</f>
        <v>963</v>
      </c>
      <c r="E975" s="10" t="str">
        <f t="shared" si="31"/>
        <v/>
      </c>
      <c r="I975" s="53"/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32"/>
        <v>964</v>
      </c>
      <c r="E976" s="10" t="str">
        <f t="shared" si="31"/>
        <v/>
      </c>
      <c r="I976" s="53"/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32"/>
        <v>965</v>
      </c>
      <c r="E977" s="10" t="str">
        <f t="shared" si="31"/>
        <v/>
      </c>
      <c r="I977" s="53"/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32"/>
        <v>966</v>
      </c>
      <c r="E978" s="10" t="str">
        <f t="shared" si="31"/>
        <v/>
      </c>
      <c r="I978" s="53"/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32"/>
        <v>967</v>
      </c>
      <c r="E979" s="10" t="str">
        <f t="shared" si="31"/>
        <v/>
      </c>
      <c r="I979" s="53"/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32"/>
        <v>968</v>
      </c>
      <c r="E980" s="10" t="str">
        <f t="shared" si="31"/>
        <v/>
      </c>
      <c r="I980" s="53"/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32"/>
        <v>969</v>
      </c>
      <c r="E981" s="10" t="str">
        <f t="shared" si="31"/>
        <v/>
      </c>
      <c r="I981" s="53"/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32"/>
        <v>970</v>
      </c>
      <c r="E982" s="10" t="str">
        <f t="shared" si="31"/>
        <v/>
      </c>
      <c r="I982" s="53"/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32"/>
        <v>971</v>
      </c>
      <c r="E983" s="10" t="str">
        <f t="shared" si="31"/>
        <v/>
      </c>
      <c r="I983" s="53"/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32"/>
        <v>972</v>
      </c>
      <c r="E984" s="10" t="str">
        <f t="shared" si="31"/>
        <v/>
      </c>
      <c r="I984" s="53"/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32"/>
        <v>973</v>
      </c>
      <c r="E985" s="10" t="str">
        <f t="shared" si="31"/>
        <v/>
      </c>
      <c r="I985" s="53"/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32"/>
        <v>974</v>
      </c>
      <c r="E986" s="10" t="str">
        <f t="shared" si="31"/>
        <v/>
      </c>
      <c r="I986" s="53"/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32"/>
        <v>975</v>
      </c>
      <c r="E987" s="10" t="str">
        <f t="shared" si="31"/>
        <v/>
      </c>
      <c r="I987" s="53"/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32"/>
        <v>976</v>
      </c>
      <c r="E988" s="10" t="str">
        <f t="shared" si="31"/>
        <v/>
      </c>
      <c r="I988" s="53"/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32"/>
        <v>977</v>
      </c>
      <c r="E989" s="10" t="str">
        <f t="shared" si="31"/>
        <v/>
      </c>
      <c r="I989" s="53"/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32"/>
        <v>978</v>
      </c>
      <c r="E990" s="10" t="str">
        <f t="shared" si="31"/>
        <v/>
      </c>
      <c r="I990" s="53"/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32"/>
        <v>979</v>
      </c>
      <c r="E991" s="10" t="str">
        <f t="shared" si="31"/>
        <v/>
      </c>
      <c r="I991" s="53"/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32"/>
        <v>980</v>
      </c>
      <c r="E992" s="10" t="str">
        <f t="shared" si="31"/>
        <v/>
      </c>
      <c r="I992" s="53"/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32"/>
        <v>981</v>
      </c>
      <c r="E993" s="10" t="str">
        <f t="shared" si="31"/>
        <v/>
      </c>
      <c r="I993" s="53"/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32"/>
        <v>982</v>
      </c>
      <c r="E994" s="10" t="str">
        <f t="shared" si="31"/>
        <v/>
      </c>
      <c r="I994" s="53"/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32"/>
        <v>983</v>
      </c>
      <c r="E995" s="10" t="str">
        <f t="shared" si="31"/>
        <v/>
      </c>
      <c r="I995" s="53"/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32"/>
        <v>984</v>
      </c>
      <c r="E996" s="10" t="str">
        <f t="shared" si="31"/>
        <v/>
      </c>
      <c r="I996" s="53"/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32"/>
        <v>985</v>
      </c>
      <c r="E997" s="10" t="str">
        <f t="shared" si="31"/>
        <v/>
      </c>
      <c r="I997" s="53"/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32"/>
        <v>986</v>
      </c>
      <c r="E998" s="10" t="str">
        <f t="shared" si="31"/>
        <v/>
      </c>
      <c r="I998" s="53"/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32"/>
        <v>987</v>
      </c>
      <c r="E999" s="10" t="str">
        <f t="shared" si="31"/>
        <v/>
      </c>
      <c r="I999" s="53"/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32"/>
        <v>988</v>
      </c>
      <c r="E1000" s="10" t="str">
        <f t="shared" si="31"/>
        <v/>
      </c>
      <c r="I1000" s="53"/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32"/>
        <v>989</v>
      </c>
      <c r="E1001" s="10" t="str">
        <f t="shared" si="31"/>
        <v/>
      </c>
      <c r="I1001" s="53"/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32"/>
        <v>990</v>
      </c>
      <c r="E1002" s="10" t="str">
        <f t="shared" si="31"/>
        <v/>
      </c>
      <c r="I1002" s="53"/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32"/>
        <v>991</v>
      </c>
      <c r="E1003" s="10" t="str">
        <f t="shared" si="31"/>
        <v/>
      </c>
      <c r="I1003" s="53"/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32"/>
        <v>992</v>
      </c>
      <c r="E1004" s="10" t="str">
        <f t="shared" si="31"/>
        <v/>
      </c>
      <c r="I1004" s="53"/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32"/>
        <v>993</v>
      </c>
      <c r="E1005" s="10" t="str">
        <f t="shared" si="31"/>
        <v/>
      </c>
      <c r="I1005" s="53"/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32"/>
        <v>994</v>
      </c>
      <c r="E1006" s="10" t="str">
        <f t="shared" si="31"/>
        <v/>
      </c>
      <c r="I1006" s="53"/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32"/>
        <v>995</v>
      </c>
      <c r="E1007" s="10" t="str">
        <f t="shared" si="31"/>
        <v/>
      </c>
      <c r="I1007" s="53"/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32"/>
        <v>996</v>
      </c>
      <c r="E1008" s="10" t="str">
        <f t="shared" si="31"/>
        <v/>
      </c>
      <c r="I1008" s="53"/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32"/>
        <v>997</v>
      </c>
      <c r="E1009" s="10" t="str">
        <f t="shared" si="31"/>
        <v/>
      </c>
      <c r="I1009" s="53"/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32"/>
        <v>998</v>
      </c>
      <c r="E1010" s="10" t="str">
        <f t="shared" si="31"/>
        <v/>
      </c>
      <c r="I1010" s="53"/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32"/>
        <v>999</v>
      </c>
      <c r="E1011" s="10" t="str">
        <f t="shared" si="31"/>
        <v/>
      </c>
      <c r="I1011" s="53"/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32"/>
        <v>1000</v>
      </c>
      <c r="E1012" s="10" t="str">
        <f t="shared" si="31"/>
        <v/>
      </c>
      <c r="I1012" s="53"/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32"/>
        <v>1001</v>
      </c>
      <c r="E1013" s="10" t="str">
        <f t="shared" si="31"/>
        <v/>
      </c>
      <c r="I1013" s="53"/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32"/>
        <v>1002</v>
      </c>
      <c r="E1014" s="10" t="str">
        <f t="shared" si="31"/>
        <v/>
      </c>
      <c r="I1014" s="53"/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32"/>
        <v>1003</v>
      </c>
      <c r="E1015" s="10" t="str">
        <f t="shared" si="31"/>
        <v/>
      </c>
      <c r="I1015" s="53"/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32"/>
        <v>1004</v>
      </c>
      <c r="E1016" s="10" t="str">
        <f t="shared" si="31"/>
        <v/>
      </c>
      <c r="I1016" s="53"/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32"/>
        <v>1005</v>
      </c>
      <c r="E1017" s="10" t="str">
        <f t="shared" si="31"/>
        <v/>
      </c>
      <c r="I1017" s="53"/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32"/>
        <v>1006</v>
      </c>
      <c r="E1018" s="10" t="str">
        <f t="shared" si="31"/>
        <v/>
      </c>
      <c r="I1018" s="53"/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32"/>
        <v>1007</v>
      </c>
      <c r="E1019" s="10" t="str">
        <f t="shared" si="31"/>
        <v/>
      </c>
      <c r="I1019" s="53"/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32"/>
        <v>1008</v>
      </c>
      <c r="E1020" s="10" t="str">
        <f t="shared" si="31"/>
        <v/>
      </c>
      <c r="I1020" s="53"/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32"/>
        <v>1009</v>
      </c>
      <c r="E1021" s="10" t="str">
        <f t="shared" si="31"/>
        <v/>
      </c>
      <c r="I1021" s="53"/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32"/>
        <v>1010</v>
      </c>
      <c r="E1022" s="10" t="str">
        <f t="shared" si="31"/>
        <v/>
      </c>
      <c r="I1022" s="53"/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32"/>
        <v>1011</v>
      </c>
      <c r="E1023" s="10" t="str">
        <f t="shared" si="31"/>
        <v/>
      </c>
      <c r="I1023" s="53"/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32"/>
        <v>1012</v>
      </c>
      <c r="E1024" s="10" t="str">
        <f t="shared" si="31"/>
        <v/>
      </c>
      <c r="I1024" s="53"/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32"/>
        <v>1013</v>
      </c>
      <c r="E1025" s="10" t="str">
        <f t="shared" si="31"/>
        <v/>
      </c>
      <c r="I1025" s="53"/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32"/>
        <v>1014</v>
      </c>
      <c r="E1026" s="10" t="str">
        <f t="shared" si="31"/>
        <v/>
      </c>
      <c r="I1026" s="53"/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32"/>
        <v>1015</v>
      </c>
      <c r="E1027" s="10" t="str">
        <f t="shared" si="31"/>
        <v/>
      </c>
      <c r="I1027" s="53"/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32"/>
        <v>1016</v>
      </c>
      <c r="E1028" s="10" t="str">
        <f t="shared" si="31"/>
        <v/>
      </c>
      <c r="I1028" s="53"/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32"/>
        <v>1017</v>
      </c>
      <c r="E1029" s="10" t="str">
        <f t="shared" si="31"/>
        <v/>
      </c>
      <c r="I1029" s="53"/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32"/>
        <v>1018</v>
      </c>
      <c r="E1030" s="10" t="str">
        <f t="shared" si="31"/>
        <v/>
      </c>
      <c r="I1030" s="53"/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32"/>
        <v>1019</v>
      </c>
      <c r="E1031" s="10" t="str">
        <f t="shared" si="31"/>
        <v/>
      </c>
      <c r="I1031" s="53"/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32"/>
        <v>1020</v>
      </c>
      <c r="E1032" s="10" t="str">
        <f t="shared" si="31"/>
        <v/>
      </c>
      <c r="I1032" s="53"/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32"/>
        <v>1021</v>
      </c>
      <c r="E1033" s="10" t="str">
        <f t="shared" si="31"/>
        <v/>
      </c>
      <c r="I1033" s="53"/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32"/>
        <v>1022</v>
      </c>
      <c r="E1034" s="10" t="str">
        <f t="shared" si="31"/>
        <v/>
      </c>
      <c r="I1034" s="53"/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32"/>
        <v>1023</v>
      </c>
      <c r="E1035" s="10" t="str">
        <f t="shared" si="31"/>
        <v/>
      </c>
      <c r="I1035" s="53"/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32"/>
        <v>1024</v>
      </c>
      <c r="E1036" s="10" t="str">
        <f t="shared" si="31"/>
        <v/>
      </c>
      <c r="I1036" s="53"/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32"/>
        <v>1025</v>
      </c>
      <c r="E1037" s="10" t="str">
        <f t="shared" ref="E1037:E1100" si="33">IF($C$8&gt;=A1037,$E$1&amp;" "&amp;A1037,"")</f>
        <v/>
      </c>
      <c r="I1037" s="53"/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32"/>
        <v>1026</v>
      </c>
      <c r="E1038" s="10" t="str">
        <f t="shared" si="33"/>
        <v/>
      </c>
      <c r="I1038" s="53"/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34">A1038+1</f>
        <v>1027</v>
      </c>
      <c r="E1039" s="10" t="str">
        <f t="shared" si="33"/>
        <v/>
      </c>
      <c r="I1039" s="53"/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34"/>
        <v>1028</v>
      </c>
      <c r="E1040" s="10" t="str">
        <f t="shared" si="33"/>
        <v/>
      </c>
      <c r="I1040" s="53"/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34"/>
        <v>1029</v>
      </c>
      <c r="E1041" s="10" t="str">
        <f t="shared" si="33"/>
        <v/>
      </c>
      <c r="I1041" s="53"/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34"/>
        <v>1030</v>
      </c>
      <c r="E1042" s="10" t="str">
        <f t="shared" si="33"/>
        <v/>
      </c>
      <c r="I1042" s="53"/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34"/>
        <v>1031</v>
      </c>
      <c r="E1043" s="10" t="str">
        <f t="shared" si="33"/>
        <v/>
      </c>
      <c r="I1043" s="53"/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34"/>
        <v>1032</v>
      </c>
      <c r="E1044" s="10" t="str">
        <f t="shared" si="33"/>
        <v/>
      </c>
      <c r="I1044" s="53"/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34"/>
        <v>1033</v>
      </c>
      <c r="E1045" s="10" t="str">
        <f t="shared" si="33"/>
        <v/>
      </c>
      <c r="I1045" s="53"/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34"/>
        <v>1034</v>
      </c>
      <c r="E1046" s="10" t="str">
        <f t="shared" si="33"/>
        <v/>
      </c>
      <c r="I1046" s="53"/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34"/>
        <v>1035</v>
      </c>
      <c r="E1047" s="10" t="str">
        <f t="shared" si="33"/>
        <v/>
      </c>
      <c r="I1047" s="53"/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34"/>
        <v>1036</v>
      </c>
      <c r="E1048" s="10" t="str">
        <f t="shared" si="33"/>
        <v/>
      </c>
      <c r="I1048" s="53"/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34"/>
        <v>1037</v>
      </c>
      <c r="E1049" s="10" t="str">
        <f t="shared" si="33"/>
        <v/>
      </c>
      <c r="I1049" s="53"/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34"/>
        <v>1038</v>
      </c>
      <c r="E1050" s="10" t="str">
        <f t="shared" si="33"/>
        <v/>
      </c>
      <c r="I1050" s="53"/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34"/>
        <v>1039</v>
      </c>
      <c r="E1051" s="10" t="str">
        <f t="shared" si="33"/>
        <v/>
      </c>
      <c r="I1051" s="53"/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34"/>
        <v>1040</v>
      </c>
      <c r="E1052" s="10" t="str">
        <f t="shared" si="33"/>
        <v/>
      </c>
      <c r="I1052" s="53"/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34"/>
        <v>1041</v>
      </c>
      <c r="E1053" s="10" t="str">
        <f t="shared" si="33"/>
        <v/>
      </c>
      <c r="I1053" s="53"/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34"/>
        <v>1042</v>
      </c>
      <c r="E1054" s="10" t="str">
        <f t="shared" si="33"/>
        <v/>
      </c>
      <c r="I1054" s="53"/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34"/>
        <v>1043</v>
      </c>
      <c r="E1055" s="10" t="str">
        <f t="shared" si="33"/>
        <v/>
      </c>
      <c r="I1055" s="53"/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34"/>
        <v>1044</v>
      </c>
      <c r="E1056" s="10" t="str">
        <f t="shared" si="33"/>
        <v/>
      </c>
      <c r="I1056" s="53"/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34"/>
        <v>1045</v>
      </c>
      <c r="E1057" s="10" t="str">
        <f t="shared" si="33"/>
        <v/>
      </c>
      <c r="I1057" s="53"/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34"/>
        <v>1046</v>
      </c>
      <c r="E1058" s="10" t="str">
        <f t="shared" si="33"/>
        <v/>
      </c>
      <c r="I1058" s="53"/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34"/>
        <v>1047</v>
      </c>
      <c r="E1059" s="10" t="str">
        <f t="shared" si="33"/>
        <v/>
      </c>
      <c r="I1059" s="53"/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34"/>
        <v>1048</v>
      </c>
      <c r="E1060" s="10" t="str">
        <f t="shared" si="33"/>
        <v/>
      </c>
      <c r="I1060" s="53"/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34"/>
        <v>1049</v>
      </c>
      <c r="E1061" s="10" t="str">
        <f t="shared" si="33"/>
        <v/>
      </c>
      <c r="I1061" s="53"/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34"/>
        <v>1050</v>
      </c>
      <c r="E1062" s="10" t="str">
        <f t="shared" si="33"/>
        <v/>
      </c>
      <c r="I1062" s="53"/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34"/>
        <v>1051</v>
      </c>
      <c r="E1063" s="10" t="str">
        <f t="shared" si="33"/>
        <v/>
      </c>
      <c r="I1063" s="53"/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34"/>
        <v>1052</v>
      </c>
      <c r="E1064" s="10" t="str">
        <f t="shared" si="33"/>
        <v/>
      </c>
      <c r="I1064" s="53"/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34"/>
        <v>1053</v>
      </c>
      <c r="E1065" s="10" t="str">
        <f t="shared" si="33"/>
        <v/>
      </c>
      <c r="I1065" s="53"/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34"/>
        <v>1054</v>
      </c>
      <c r="E1066" s="10" t="str">
        <f t="shared" si="33"/>
        <v/>
      </c>
      <c r="I1066" s="53"/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34"/>
        <v>1055</v>
      </c>
      <c r="E1067" s="10" t="str">
        <f t="shared" si="33"/>
        <v/>
      </c>
      <c r="I1067" s="53"/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34"/>
        <v>1056</v>
      </c>
      <c r="E1068" s="10" t="str">
        <f t="shared" si="33"/>
        <v/>
      </c>
      <c r="I1068" s="53"/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34"/>
        <v>1057</v>
      </c>
      <c r="E1069" s="10" t="str">
        <f t="shared" si="33"/>
        <v/>
      </c>
      <c r="I1069" s="53"/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34"/>
        <v>1058</v>
      </c>
      <c r="E1070" s="10" t="str">
        <f t="shared" si="33"/>
        <v/>
      </c>
      <c r="I1070" s="53"/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34"/>
        <v>1059</v>
      </c>
      <c r="E1071" s="10" t="str">
        <f t="shared" si="33"/>
        <v/>
      </c>
      <c r="I1071" s="53"/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34"/>
        <v>1060</v>
      </c>
      <c r="E1072" s="10" t="str">
        <f t="shared" si="33"/>
        <v/>
      </c>
      <c r="I1072" s="53"/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34"/>
        <v>1061</v>
      </c>
      <c r="E1073" s="10" t="str">
        <f t="shared" si="33"/>
        <v/>
      </c>
      <c r="I1073" s="53"/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34"/>
        <v>1062</v>
      </c>
      <c r="E1074" s="10" t="str">
        <f t="shared" si="33"/>
        <v/>
      </c>
      <c r="I1074" s="53"/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34"/>
        <v>1063</v>
      </c>
      <c r="E1075" s="10" t="str">
        <f t="shared" si="33"/>
        <v/>
      </c>
      <c r="I1075" s="53"/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34"/>
        <v>1064</v>
      </c>
      <c r="E1076" s="10" t="str">
        <f t="shared" si="33"/>
        <v/>
      </c>
      <c r="I1076" s="53"/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34"/>
        <v>1065</v>
      </c>
      <c r="E1077" s="10" t="str">
        <f t="shared" si="33"/>
        <v/>
      </c>
      <c r="I1077" s="53"/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34"/>
        <v>1066</v>
      </c>
      <c r="E1078" s="10" t="str">
        <f t="shared" si="33"/>
        <v/>
      </c>
      <c r="I1078" s="53"/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34"/>
        <v>1067</v>
      </c>
      <c r="E1079" s="10" t="str">
        <f t="shared" si="33"/>
        <v/>
      </c>
      <c r="I1079" s="53"/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34"/>
        <v>1068</v>
      </c>
      <c r="E1080" s="10" t="str">
        <f t="shared" si="33"/>
        <v/>
      </c>
      <c r="I1080" s="53"/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34"/>
        <v>1069</v>
      </c>
      <c r="E1081" s="10" t="str">
        <f t="shared" si="33"/>
        <v/>
      </c>
      <c r="I1081" s="53"/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34"/>
        <v>1070</v>
      </c>
      <c r="E1082" s="10" t="str">
        <f t="shared" si="33"/>
        <v/>
      </c>
      <c r="I1082" s="53"/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34"/>
        <v>1071</v>
      </c>
      <c r="E1083" s="10" t="str">
        <f t="shared" si="33"/>
        <v/>
      </c>
      <c r="I1083" s="53"/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34"/>
        <v>1072</v>
      </c>
      <c r="E1084" s="10" t="str">
        <f t="shared" si="33"/>
        <v/>
      </c>
      <c r="I1084" s="53"/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34"/>
        <v>1073</v>
      </c>
      <c r="E1085" s="10" t="str">
        <f t="shared" si="33"/>
        <v/>
      </c>
      <c r="I1085" s="53"/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34"/>
        <v>1074</v>
      </c>
      <c r="E1086" s="10" t="str">
        <f t="shared" si="33"/>
        <v/>
      </c>
      <c r="I1086" s="53"/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34"/>
        <v>1075</v>
      </c>
      <c r="E1087" s="10" t="str">
        <f t="shared" si="33"/>
        <v/>
      </c>
      <c r="I1087" s="53"/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34"/>
        <v>1076</v>
      </c>
      <c r="E1088" s="10" t="str">
        <f t="shared" si="33"/>
        <v/>
      </c>
      <c r="I1088" s="53"/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34"/>
        <v>1077</v>
      </c>
      <c r="E1089" s="10" t="str">
        <f t="shared" si="33"/>
        <v/>
      </c>
      <c r="I1089" s="53"/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34"/>
        <v>1078</v>
      </c>
      <c r="E1090" s="10" t="str">
        <f t="shared" si="33"/>
        <v/>
      </c>
      <c r="I1090" s="53"/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34"/>
        <v>1079</v>
      </c>
      <c r="E1091" s="10" t="str">
        <f t="shared" si="33"/>
        <v/>
      </c>
      <c r="I1091" s="53"/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34"/>
        <v>1080</v>
      </c>
      <c r="E1092" s="10" t="str">
        <f t="shared" si="33"/>
        <v/>
      </c>
      <c r="I1092" s="53"/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34"/>
        <v>1081</v>
      </c>
      <c r="E1093" s="10" t="str">
        <f t="shared" si="33"/>
        <v/>
      </c>
      <c r="I1093" s="53"/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34"/>
        <v>1082</v>
      </c>
      <c r="E1094" s="10" t="str">
        <f t="shared" si="33"/>
        <v/>
      </c>
      <c r="I1094" s="53"/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34"/>
        <v>1083</v>
      </c>
      <c r="E1095" s="10" t="str">
        <f t="shared" si="33"/>
        <v/>
      </c>
      <c r="I1095" s="53"/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34"/>
        <v>1084</v>
      </c>
      <c r="E1096" s="10" t="str">
        <f t="shared" si="33"/>
        <v/>
      </c>
      <c r="I1096" s="53"/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34"/>
        <v>1085</v>
      </c>
      <c r="E1097" s="10" t="str">
        <f t="shared" si="33"/>
        <v/>
      </c>
      <c r="I1097" s="53"/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34"/>
        <v>1086</v>
      </c>
      <c r="E1098" s="10" t="str">
        <f t="shared" si="33"/>
        <v/>
      </c>
      <c r="I1098" s="53"/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34"/>
        <v>1087</v>
      </c>
      <c r="E1099" s="10" t="str">
        <f t="shared" si="33"/>
        <v/>
      </c>
      <c r="I1099" s="53"/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34"/>
        <v>1088</v>
      </c>
      <c r="E1100" s="10" t="str">
        <f t="shared" si="33"/>
        <v/>
      </c>
      <c r="I1100" s="53"/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34"/>
        <v>1089</v>
      </c>
      <c r="E1101" s="10" t="str">
        <f t="shared" ref="E1101:E1164" si="35">IF($C$8&gt;=A1101,$E$1&amp;" "&amp;A1101,"")</f>
        <v/>
      </c>
      <c r="I1101" s="53"/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34"/>
        <v>1090</v>
      </c>
      <c r="E1102" s="10" t="str">
        <f t="shared" si="35"/>
        <v/>
      </c>
      <c r="I1102" s="53"/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36">A1102+1</f>
        <v>1091</v>
      </c>
      <c r="E1103" s="10" t="str">
        <f t="shared" si="35"/>
        <v/>
      </c>
      <c r="I1103" s="53"/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36"/>
        <v>1092</v>
      </c>
      <c r="E1104" s="10" t="str">
        <f t="shared" si="35"/>
        <v/>
      </c>
      <c r="I1104" s="53"/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36"/>
        <v>1093</v>
      </c>
      <c r="E1105" s="10" t="str">
        <f t="shared" si="35"/>
        <v/>
      </c>
      <c r="I1105" s="53"/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36"/>
        <v>1094</v>
      </c>
      <c r="E1106" s="10" t="str">
        <f t="shared" si="35"/>
        <v/>
      </c>
      <c r="I1106" s="53"/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36"/>
        <v>1095</v>
      </c>
      <c r="E1107" s="10" t="str">
        <f t="shared" si="35"/>
        <v/>
      </c>
      <c r="I1107" s="53"/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36"/>
        <v>1096</v>
      </c>
      <c r="E1108" s="10" t="str">
        <f t="shared" si="35"/>
        <v/>
      </c>
      <c r="I1108" s="53"/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36"/>
        <v>1097</v>
      </c>
      <c r="E1109" s="10" t="str">
        <f t="shared" si="35"/>
        <v/>
      </c>
      <c r="I1109" s="53"/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36"/>
        <v>1098</v>
      </c>
      <c r="E1110" s="10" t="str">
        <f t="shared" si="35"/>
        <v/>
      </c>
      <c r="I1110" s="53"/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36"/>
        <v>1099</v>
      </c>
      <c r="E1111" s="10" t="str">
        <f t="shared" si="35"/>
        <v/>
      </c>
      <c r="I1111" s="53"/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36"/>
        <v>1100</v>
      </c>
      <c r="E1112" s="10" t="str">
        <f t="shared" si="35"/>
        <v/>
      </c>
      <c r="I1112" s="53"/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36"/>
        <v>1101</v>
      </c>
      <c r="E1113" s="10" t="str">
        <f t="shared" si="35"/>
        <v/>
      </c>
      <c r="I1113" s="53"/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36"/>
        <v>1102</v>
      </c>
      <c r="E1114" s="10" t="str">
        <f t="shared" si="35"/>
        <v/>
      </c>
      <c r="I1114" s="53"/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36"/>
        <v>1103</v>
      </c>
      <c r="E1115" s="10" t="str">
        <f t="shared" si="35"/>
        <v/>
      </c>
      <c r="I1115" s="53"/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36"/>
        <v>1104</v>
      </c>
      <c r="E1116" s="10" t="str">
        <f t="shared" si="35"/>
        <v/>
      </c>
      <c r="I1116" s="53"/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36"/>
        <v>1105</v>
      </c>
      <c r="E1117" s="10" t="str">
        <f t="shared" si="35"/>
        <v/>
      </c>
      <c r="I1117" s="53"/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36"/>
        <v>1106</v>
      </c>
      <c r="E1118" s="10" t="str">
        <f t="shared" si="35"/>
        <v/>
      </c>
      <c r="I1118" s="53"/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36"/>
        <v>1107</v>
      </c>
      <c r="E1119" s="10" t="str">
        <f t="shared" si="35"/>
        <v/>
      </c>
      <c r="I1119" s="53"/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36"/>
        <v>1108</v>
      </c>
      <c r="E1120" s="10" t="str">
        <f t="shared" si="35"/>
        <v/>
      </c>
      <c r="I1120" s="53"/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36"/>
        <v>1109</v>
      </c>
      <c r="E1121" s="10" t="str">
        <f t="shared" si="35"/>
        <v/>
      </c>
      <c r="I1121" s="53"/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36"/>
        <v>1110</v>
      </c>
      <c r="E1122" s="10" t="str">
        <f t="shared" si="35"/>
        <v/>
      </c>
      <c r="I1122" s="53"/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36"/>
        <v>1111</v>
      </c>
      <c r="E1123" s="10" t="str">
        <f t="shared" si="35"/>
        <v/>
      </c>
      <c r="I1123" s="53"/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36"/>
        <v>1112</v>
      </c>
      <c r="E1124" s="10" t="str">
        <f t="shared" si="35"/>
        <v/>
      </c>
      <c r="I1124" s="53"/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36"/>
        <v>1113</v>
      </c>
      <c r="E1125" s="10" t="str">
        <f t="shared" si="35"/>
        <v/>
      </c>
      <c r="I1125" s="53"/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36"/>
        <v>1114</v>
      </c>
      <c r="E1126" s="10" t="str">
        <f t="shared" si="35"/>
        <v/>
      </c>
      <c r="I1126" s="53"/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36"/>
        <v>1115</v>
      </c>
      <c r="E1127" s="10" t="str">
        <f t="shared" si="35"/>
        <v/>
      </c>
      <c r="I1127" s="53"/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36"/>
        <v>1116</v>
      </c>
      <c r="E1128" s="10" t="str">
        <f t="shared" si="35"/>
        <v/>
      </c>
      <c r="I1128" s="53"/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36"/>
        <v>1117</v>
      </c>
      <c r="E1129" s="10" t="str">
        <f t="shared" si="35"/>
        <v/>
      </c>
      <c r="I1129" s="53"/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36"/>
        <v>1118</v>
      </c>
      <c r="E1130" s="10" t="str">
        <f t="shared" si="35"/>
        <v/>
      </c>
      <c r="I1130" s="53"/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36"/>
        <v>1119</v>
      </c>
      <c r="E1131" s="10" t="str">
        <f t="shared" si="35"/>
        <v/>
      </c>
      <c r="I1131" s="53"/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36"/>
        <v>1120</v>
      </c>
      <c r="E1132" s="10" t="str">
        <f t="shared" si="35"/>
        <v/>
      </c>
      <c r="I1132" s="53"/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36"/>
        <v>1121</v>
      </c>
      <c r="E1133" s="10" t="str">
        <f t="shared" si="35"/>
        <v/>
      </c>
      <c r="I1133" s="53"/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36"/>
        <v>1122</v>
      </c>
      <c r="E1134" s="10" t="str">
        <f t="shared" si="35"/>
        <v/>
      </c>
      <c r="I1134" s="53"/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36"/>
        <v>1123</v>
      </c>
      <c r="E1135" s="10" t="str">
        <f t="shared" si="35"/>
        <v/>
      </c>
      <c r="I1135" s="53"/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36"/>
        <v>1124</v>
      </c>
      <c r="E1136" s="10" t="str">
        <f t="shared" si="35"/>
        <v/>
      </c>
      <c r="I1136" s="53"/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36"/>
        <v>1125</v>
      </c>
      <c r="E1137" s="10" t="str">
        <f t="shared" si="35"/>
        <v/>
      </c>
      <c r="I1137" s="53"/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36"/>
        <v>1126</v>
      </c>
      <c r="E1138" s="10" t="str">
        <f t="shared" si="35"/>
        <v/>
      </c>
      <c r="I1138" s="53"/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36"/>
        <v>1127</v>
      </c>
      <c r="E1139" s="10" t="str">
        <f t="shared" si="35"/>
        <v/>
      </c>
      <c r="I1139" s="53"/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36"/>
        <v>1128</v>
      </c>
      <c r="E1140" s="10" t="str">
        <f t="shared" si="35"/>
        <v/>
      </c>
      <c r="I1140" s="53"/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36"/>
        <v>1129</v>
      </c>
      <c r="E1141" s="10" t="str">
        <f t="shared" si="35"/>
        <v/>
      </c>
      <c r="I1141" s="53"/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36"/>
        <v>1130</v>
      </c>
      <c r="E1142" s="10" t="str">
        <f t="shared" si="35"/>
        <v/>
      </c>
      <c r="I1142" s="53"/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36"/>
        <v>1131</v>
      </c>
      <c r="E1143" s="10" t="str">
        <f t="shared" si="35"/>
        <v/>
      </c>
      <c r="I1143" s="53"/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36"/>
        <v>1132</v>
      </c>
      <c r="E1144" s="10" t="str">
        <f t="shared" si="35"/>
        <v/>
      </c>
      <c r="I1144" s="53"/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36"/>
        <v>1133</v>
      </c>
      <c r="E1145" s="10" t="str">
        <f t="shared" si="35"/>
        <v/>
      </c>
      <c r="I1145" s="53"/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36"/>
        <v>1134</v>
      </c>
      <c r="E1146" s="10" t="str">
        <f t="shared" si="35"/>
        <v/>
      </c>
      <c r="I1146" s="53"/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36"/>
        <v>1135</v>
      </c>
      <c r="E1147" s="10" t="str">
        <f t="shared" si="35"/>
        <v/>
      </c>
      <c r="I1147" s="53"/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36"/>
        <v>1136</v>
      </c>
      <c r="E1148" s="10" t="str">
        <f t="shared" si="35"/>
        <v/>
      </c>
      <c r="I1148" s="53"/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36"/>
        <v>1137</v>
      </c>
      <c r="E1149" s="10" t="str">
        <f t="shared" si="35"/>
        <v/>
      </c>
      <c r="I1149" s="53"/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36"/>
        <v>1138</v>
      </c>
      <c r="E1150" s="10" t="str">
        <f t="shared" si="35"/>
        <v/>
      </c>
      <c r="I1150" s="53"/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36"/>
        <v>1139</v>
      </c>
      <c r="E1151" s="10" t="str">
        <f t="shared" si="35"/>
        <v/>
      </c>
      <c r="I1151" s="53"/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36"/>
        <v>1140</v>
      </c>
      <c r="E1152" s="10" t="str">
        <f t="shared" si="35"/>
        <v/>
      </c>
      <c r="I1152" s="53"/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36"/>
        <v>1141</v>
      </c>
      <c r="E1153" s="10" t="str">
        <f t="shared" si="35"/>
        <v/>
      </c>
      <c r="I1153" s="53"/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36"/>
        <v>1142</v>
      </c>
      <c r="E1154" s="10" t="str">
        <f t="shared" si="35"/>
        <v/>
      </c>
      <c r="I1154" s="53"/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36"/>
        <v>1143</v>
      </c>
      <c r="E1155" s="10" t="str">
        <f t="shared" si="35"/>
        <v/>
      </c>
      <c r="I1155" s="53"/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36"/>
        <v>1144</v>
      </c>
      <c r="E1156" s="10" t="str">
        <f t="shared" si="35"/>
        <v/>
      </c>
      <c r="I1156" s="53"/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36"/>
        <v>1145</v>
      </c>
      <c r="E1157" s="10" t="str">
        <f t="shared" si="35"/>
        <v/>
      </c>
      <c r="I1157" s="53"/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36"/>
        <v>1146</v>
      </c>
      <c r="E1158" s="10" t="str">
        <f t="shared" si="35"/>
        <v/>
      </c>
      <c r="I1158" s="53"/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36"/>
        <v>1147</v>
      </c>
      <c r="E1159" s="10" t="str">
        <f t="shared" si="35"/>
        <v/>
      </c>
      <c r="I1159" s="53"/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36"/>
        <v>1148</v>
      </c>
      <c r="E1160" s="10" t="str">
        <f t="shared" si="35"/>
        <v/>
      </c>
      <c r="I1160" s="53"/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36"/>
        <v>1149</v>
      </c>
      <c r="E1161" s="10" t="str">
        <f t="shared" si="35"/>
        <v/>
      </c>
      <c r="I1161" s="53"/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36"/>
        <v>1150</v>
      </c>
      <c r="E1162" s="10" t="str">
        <f t="shared" si="35"/>
        <v/>
      </c>
      <c r="I1162" s="53"/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36"/>
        <v>1151</v>
      </c>
      <c r="E1163" s="10" t="str">
        <f t="shared" si="35"/>
        <v/>
      </c>
      <c r="I1163" s="53"/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36"/>
        <v>1152</v>
      </c>
      <c r="E1164" s="10" t="str">
        <f t="shared" si="35"/>
        <v/>
      </c>
      <c r="I1164" s="53"/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36"/>
        <v>1153</v>
      </c>
      <c r="E1165" s="10" t="str">
        <f t="shared" ref="E1165:E1228" si="37">IF($C$8&gt;=A1165,$E$1&amp;" "&amp;A1165,"")</f>
        <v/>
      </c>
      <c r="I1165" s="53"/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36"/>
        <v>1154</v>
      </c>
      <c r="E1166" s="10" t="str">
        <f t="shared" si="37"/>
        <v/>
      </c>
      <c r="I1166" s="53"/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38">A1166+1</f>
        <v>1155</v>
      </c>
      <c r="E1167" s="10" t="str">
        <f t="shared" si="37"/>
        <v/>
      </c>
      <c r="I1167" s="53"/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38"/>
        <v>1156</v>
      </c>
      <c r="E1168" s="10" t="str">
        <f t="shared" si="37"/>
        <v/>
      </c>
      <c r="I1168" s="53"/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38"/>
        <v>1157</v>
      </c>
      <c r="E1169" s="10" t="str">
        <f t="shared" si="37"/>
        <v/>
      </c>
      <c r="I1169" s="53"/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38"/>
        <v>1158</v>
      </c>
      <c r="E1170" s="10" t="str">
        <f t="shared" si="37"/>
        <v/>
      </c>
      <c r="I1170" s="53"/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38"/>
        <v>1159</v>
      </c>
      <c r="E1171" s="10" t="str">
        <f t="shared" si="37"/>
        <v/>
      </c>
      <c r="I1171" s="53"/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38"/>
        <v>1160</v>
      </c>
      <c r="E1172" s="10" t="str">
        <f t="shared" si="37"/>
        <v/>
      </c>
      <c r="I1172" s="53"/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38"/>
        <v>1161</v>
      </c>
      <c r="E1173" s="10" t="str">
        <f t="shared" si="37"/>
        <v/>
      </c>
      <c r="I1173" s="53"/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38"/>
        <v>1162</v>
      </c>
      <c r="E1174" s="10" t="str">
        <f t="shared" si="37"/>
        <v/>
      </c>
      <c r="I1174" s="53"/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38"/>
        <v>1163</v>
      </c>
      <c r="E1175" s="10" t="str">
        <f t="shared" si="37"/>
        <v/>
      </c>
      <c r="I1175" s="53"/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38"/>
        <v>1164</v>
      </c>
      <c r="E1176" s="10" t="str">
        <f t="shared" si="37"/>
        <v/>
      </c>
      <c r="I1176" s="53"/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38"/>
        <v>1165</v>
      </c>
      <c r="E1177" s="10" t="str">
        <f t="shared" si="37"/>
        <v/>
      </c>
      <c r="I1177" s="53"/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38"/>
        <v>1166</v>
      </c>
      <c r="E1178" s="10" t="str">
        <f t="shared" si="37"/>
        <v/>
      </c>
      <c r="I1178" s="53"/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38"/>
        <v>1167</v>
      </c>
      <c r="E1179" s="10" t="str">
        <f t="shared" si="37"/>
        <v/>
      </c>
      <c r="I1179" s="53"/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38"/>
        <v>1168</v>
      </c>
      <c r="E1180" s="10" t="str">
        <f t="shared" si="37"/>
        <v/>
      </c>
      <c r="I1180" s="53"/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38"/>
        <v>1169</v>
      </c>
      <c r="E1181" s="10" t="str">
        <f t="shared" si="37"/>
        <v/>
      </c>
      <c r="I1181" s="53"/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38"/>
        <v>1170</v>
      </c>
      <c r="E1182" s="10" t="str">
        <f t="shared" si="37"/>
        <v/>
      </c>
      <c r="I1182" s="53"/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38"/>
        <v>1171</v>
      </c>
      <c r="E1183" s="10" t="str">
        <f t="shared" si="37"/>
        <v/>
      </c>
      <c r="I1183" s="53"/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38"/>
        <v>1172</v>
      </c>
      <c r="E1184" s="10" t="str">
        <f t="shared" si="37"/>
        <v/>
      </c>
      <c r="I1184" s="53"/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38"/>
        <v>1173</v>
      </c>
      <c r="E1185" s="10" t="str">
        <f t="shared" si="37"/>
        <v/>
      </c>
      <c r="I1185" s="53"/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38"/>
        <v>1174</v>
      </c>
      <c r="E1186" s="10" t="str">
        <f t="shared" si="37"/>
        <v/>
      </c>
      <c r="I1186" s="53"/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38"/>
        <v>1175</v>
      </c>
      <c r="E1187" s="10" t="str">
        <f t="shared" si="37"/>
        <v/>
      </c>
      <c r="I1187" s="53"/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38"/>
        <v>1176</v>
      </c>
      <c r="E1188" s="10" t="str">
        <f t="shared" si="37"/>
        <v/>
      </c>
      <c r="I1188" s="53"/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38"/>
        <v>1177</v>
      </c>
      <c r="E1189" s="10" t="str">
        <f t="shared" si="37"/>
        <v/>
      </c>
      <c r="I1189" s="53"/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38"/>
        <v>1178</v>
      </c>
      <c r="E1190" s="10" t="str">
        <f t="shared" si="37"/>
        <v/>
      </c>
      <c r="I1190" s="53"/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38"/>
        <v>1179</v>
      </c>
      <c r="E1191" s="10" t="str">
        <f t="shared" si="37"/>
        <v/>
      </c>
      <c r="I1191" s="53"/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38"/>
        <v>1180</v>
      </c>
      <c r="E1192" s="10" t="str">
        <f t="shared" si="37"/>
        <v/>
      </c>
      <c r="I1192" s="53"/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38"/>
        <v>1181</v>
      </c>
      <c r="E1193" s="10" t="str">
        <f t="shared" si="37"/>
        <v/>
      </c>
      <c r="I1193" s="53"/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38"/>
        <v>1182</v>
      </c>
      <c r="E1194" s="10" t="str">
        <f t="shared" si="37"/>
        <v/>
      </c>
      <c r="I1194" s="53"/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38"/>
        <v>1183</v>
      </c>
      <c r="E1195" s="10" t="str">
        <f t="shared" si="37"/>
        <v/>
      </c>
      <c r="I1195" s="53"/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38"/>
        <v>1184</v>
      </c>
      <c r="E1196" s="10" t="str">
        <f t="shared" si="37"/>
        <v/>
      </c>
      <c r="I1196" s="53"/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38"/>
        <v>1185</v>
      </c>
      <c r="E1197" s="10" t="str">
        <f t="shared" si="37"/>
        <v/>
      </c>
      <c r="I1197" s="53"/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38"/>
        <v>1186</v>
      </c>
      <c r="E1198" s="10" t="str">
        <f t="shared" si="37"/>
        <v/>
      </c>
      <c r="I1198" s="53"/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38"/>
        <v>1187</v>
      </c>
      <c r="E1199" s="10" t="str">
        <f t="shared" si="37"/>
        <v/>
      </c>
      <c r="I1199" s="53"/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38"/>
        <v>1188</v>
      </c>
      <c r="E1200" s="10" t="str">
        <f t="shared" si="37"/>
        <v/>
      </c>
      <c r="I1200" s="53"/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38"/>
        <v>1189</v>
      </c>
      <c r="E1201" s="10" t="str">
        <f t="shared" si="37"/>
        <v/>
      </c>
      <c r="I1201" s="53"/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38"/>
        <v>1190</v>
      </c>
      <c r="E1202" s="10" t="str">
        <f t="shared" si="37"/>
        <v/>
      </c>
      <c r="I1202" s="53"/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38"/>
        <v>1191</v>
      </c>
      <c r="E1203" s="10" t="str">
        <f t="shared" si="37"/>
        <v/>
      </c>
      <c r="I1203" s="53"/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38"/>
        <v>1192</v>
      </c>
      <c r="E1204" s="10" t="str">
        <f t="shared" si="37"/>
        <v/>
      </c>
      <c r="I1204" s="53"/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38"/>
        <v>1193</v>
      </c>
      <c r="E1205" s="10" t="str">
        <f t="shared" si="37"/>
        <v/>
      </c>
      <c r="I1205" s="53"/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38"/>
        <v>1194</v>
      </c>
      <c r="E1206" s="10" t="str">
        <f t="shared" si="37"/>
        <v/>
      </c>
      <c r="I1206" s="53"/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38"/>
        <v>1195</v>
      </c>
      <c r="E1207" s="10" t="str">
        <f t="shared" si="37"/>
        <v/>
      </c>
      <c r="I1207" s="53"/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38"/>
        <v>1196</v>
      </c>
      <c r="E1208" s="10" t="str">
        <f t="shared" si="37"/>
        <v/>
      </c>
      <c r="I1208" s="53"/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38"/>
        <v>1197</v>
      </c>
      <c r="E1209" s="10" t="str">
        <f t="shared" si="37"/>
        <v/>
      </c>
      <c r="I1209" s="53"/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38"/>
        <v>1198</v>
      </c>
      <c r="E1210" s="10" t="str">
        <f t="shared" si="37"/>
        <v/>
      </c>
      <c r="I1210" s="53"/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38"/>
        <v>1199</v>
      </c>
      <c r="E1211" s="10" t="str">
        <f t="shared" si="37"/>
        <v/>
      </c>
      <c r="I1211" s="53"/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38"/>
        <v>1200</v>
      </c>
      <c r="E1212" s="10" t="str">
        <f t="shared" si="37"/>
        <v/>
      </c>
      <c r="I1212" s="53"/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38"/>
        <v>1201</v>
      </c>
      <c r="E1213" s="10" t="str">
        <f t="shared" si="37"/>
        <v/>
      </c>
      <c r="I1213" s="53"/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38"/>
        <v>1202</v>
      </c>
      <c r="E1214" s="10" t="str">
        <f t="shared" si="37"/>
        <v/>
      </c>
      <c r="I1214" s="53"/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38"/>
        <v>1203</v>
      </c>
      <c r="E1215" s="10" t="str">
        <f t="shared" si="37"/>
        <v/>
      </c>
      <c r="I1215" s="53"/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38"/>
        <v>1204</v>
      </c>
      <c r="E1216" s="10" t="str">
        <f t="shared" si="37"/>
        <v/>
      </c>
      <c r="I1216" s="53"/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38"/>
        <v>1205</v>
      </c>
      <c r="E1217" s="10" t="str">
        <f t="shared" si="37"/>
        <v/>
      </c>
      <c r="I1217" s="53"/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38"/>
        <v>1206</v>
      </c>
      <c r="E1218" s="10" t="str">
        <f t="shared" si="37"/>
        <v/>
      </c>
      <c r="I1218" s="53"/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38"/>
        <v>1207</v>
      </c>
      <c r="E1219" s="10" t="str">
        <f t="shared" si="37"/>
        <v/>
      </c>
      <c r="I1219" s="53"/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38"/>
        <v>1208</v>
      </c>
      <c r="E1220" s="10" t="str">
        <f t="shared" si="37"/>
        <v/>
      </c>
      <c r="I1220" s="53"/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38"/>
        <v>1209</v>
      </c>
      <c r="E1221" s="10" t="str">
        <f t="shared" si="37"/>
        <v/>
      </c>
      <c r="I1221" s="53"/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38"/>
        <v>1210</v>
      </c>
      <c r="E1222" s="10" t="str">
        <f t="shared" si="37"/>
        <v/>
      </c>
      <c r="I1222" s="53"/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38"/>
        <v>1211</v>
      </c>
      <c r="E1223" s="10" t="str">
        <f t="shared" si="37"/>
        <v/>
      </c>
      <c r="I1223" s="53"/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38"/>
        <v>1212</v>
      </c>
      <c r="E1224" s="10" t="str">
        <f t="shared" si="37"/>
        <v/>
      </c>
      <c r="I1224" s="53"/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38"/>
        <v>1213</v>
      </c>
      <c r="E1225" s="10" t="str">
        <f t="shared" si="37"/>
        <v/>
      </c>
      <c r="I1225" s="53"/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38"/>
        <v>1214</v>
      </c>
      <c r="E1226" s="10" t="str">
        <f t="shared" si="37"/>
        <v/>
      </c>
      <c r="I1226" s="53"/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38"/>
        <v>1215</v>
      </c>
      <c r="E1227" s="10" t="str">
        <f t="shared" si="37"/>
        <v/>
      </c>
      <c r="I1227" s="53"/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38"/>
        <v>1216</v>
      </c>
      <c r="E1228" s="10" t="str">
        <f t="shared" si="37"/>
        <v/>
      </c>
      <c r="I1228" s="53"/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38"/>
        <v>1217</v>
      </c>
      <c r="E1229" s="10" t="str">
        <f t="shared" ref="E1229:E1292" si="39">IF($C$8&gt;=A1229,$E$1&amp;" "&amp;A1229,"")</f>
        <v/>
      </c>
      <c r="I1229" s="53"/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38"/>
        <v>1218</v>
      </c>
      <c r="E1230" s="10" t="str">
        <f t="shared" si="39"/>
        <v/>
      </c>
      <c r="I1230" s="53"/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40">A1230+1</f>
        <v>1219</v>
      </c>
      <c r="E1231" s="10" t="str">
        <f t="shared" si="39"/>
        <v/>
      </c>
      <c r="I1231" s="53"/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40"/>
        <v>1220</v>
      </c>
      <c r="E1232" s="10" t="str">
        <f t="shared" si="39"/>
        <v/>
      </c>
      <c r="I1232" s="53"/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40"/>
        <v>1221</v>
      </c>
      <c r="E1233" s="10" t="str">
        <f t="shared" si="39"/>
        <v/>
      </c>
      <c r="I1233" s="53"/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40"/>
        <v>1222</v>
      </c>
      <c r="E1234" s="10" t="str">
        <f t="shared" si="39"/>
        <v/>
      </c>
      <c r="I1234" s="53"/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40"/>
        <v>1223</v>
      </c>
      <c r="E1235" s="10" t="str">
        <f t="shared" si="39"/>
        <v/>
      </c>
      <c r="I1235" s="53"/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40"/>
        <v>1224</v>
      </c>
      <c r="E1236" s="10" t="str">
        <f t="shared" si="39"/>
        <v/>
      </c>
      <c r="I1236" s="53"/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40"/>
        <v>1225</v>
      </c>
      <c r="E1237" s="10" t="str">
        <f t="shared" si="39"/>
        <v/>
      </c>
      <c r="I1237" s="53"/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40"/>
        <v>1226</v>
      </c>
      <c r="E1238" s="10" t="str">
        <f t="shared" si="39"/>
        <v/>
      </c>
      <c r="I1238" s="53"/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40"/>
        <v>1227</v>
      </c>
      <c r="E1239" s="10" t="str">
        <f t="shared" si="39"/>
        <v/>
      </c>
      <c r="I1239" s="53"/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40"/>
        <v>1228</v>
      </c>
      <c r="E1240" s="10" t="str">
        <f t="shared" si="39"/>
        <v/>
      </c>
      <c r="I1240" s="53"/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40"/>
        <v>1229</v>
      </c>
      <c r="E1241" s="10" t="str">
        <f t="shared" si="39"/>
        <v/>
      </c>
      <c r="I1241" s="53"/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40"/>
        <v>1230</v>
      </c>
      <c r="E1242" s="10" t="str">
        <f t="shared" si="39"/>
        <v/>
      </c>
      <c r="I1242" s="53"/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40"/>
        <v>1231</v>
      </c>
      <c r="E1243" s="10" t="str">
        <f t="shared" si="39"/>
        <v/>
      </c>
      <c r="I1243" s="53"/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40"/>
        <v>1232</v>
      </c>
      <c r="E1244" s="10" t="str">
        <f t="shared" si="39"/>
        <v/>
      </c>
      <c r="I1244" s="53"/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40"/>
        <v>1233</v>
      </c>
      <c r="E1245" s="10" t="str">
        <f t="shared" si="39"/>
        <v/>
      </c>
      <c r="I1245" s="53"/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40"/>
        <v>1234</v>
      </c>
      <c r="E1246" s="10" t="str">
        <f t="shared" si="39"/>
        <v/>
      </c>
      <c r="I1246" s="53"/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40"/>
        <v>1235</v>
      </c>
      <c r="E1247" s="10" t="str">
        <f t="shared" si="39"/>
        <v/>
      </c>
      <c r="I1247" s="53"/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40"/>
        <v>1236</v>
      </c>
      <c r="E1248" s="10" t="str">
        <f t="shared" si="39"/>
        <v/>
      </c>
      <c r="I1248" s="53"/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40"/>
        <v>1237</v>
      </c>
      <c r="E1249" s="10" t="str">
        <f t="shared" si="39"/>
        <v/>
      </c>
      <c r="I1249" s="53"/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40"/>
        <v>1238</v>
      </c>
      <c r="E1250" s="10" t="str">
        <f t="shared" si="39"/>
        <v/>
      </c>
      <c r="I1250" s="53"/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40"/>
        <v>1239</v>
      </c>
      <c r="E1251" s="10" t="str">
        <f t="shared" si="39"/>
        <v/>
      </c>
      <c r="I1251" s="53"/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40"/>
        <v>1240</v>
      </c>
      <c r="E1252" s="10" t="str">
        <f t="shared" si="39"/>
        <v/>
      </c>
      <c r="I1252" s="53"/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40"/>
        <v>1241</v>
      </c>
      <c r="E1253" s="10" t="str">
        <f t="shared" si="39"/>
        <v/>
      </c>
      <c r="I1253" s="53"/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40"/>
        <v>1242</v>
      </c>
      <c r="E1254" s="10" t="str">
        <f t="shared" si="39"/>
        <v/>
      </c>
      <c r="I1254" s="53"/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40"/>
        <v>1243</v>
      </c>
      <c r="E1255" s="10" t="str">
        <f t="shared" si="39"/>
        <v/>
      </c>
      <c r="I1255" s="53"/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40"/>
        <v>1244</v>
      </c>
      <c r="E1256" s="10" t="str">
        <f t="shared" si="39"/>
        <v/>
      </c>
      <c r="I1256" s="53"/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40"/>
        <v>1245</v>
      </c>
      <c r="E1257" s="10" t="str">
        <f t="shared" si="39"/>
        <v/>
      </c>
      <c r="I1257" s="53"/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40"/>
        <v>1246</v>
      </c>
      <c r="E1258" s="10" t="str">
        <f t="shared" si="39"/>
        <v/>
      </c>
      <c r="I1258" s="53"/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40"/>
        <v>1247</v>
      </c>
      <c r="E1259" s="10" t="str">
        <f t="shared" si="39"/>
        <v/>
      </c>
      <c r="I1259" s="53"/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40"/>
        <v>1248</v>
      </c>
      <c r="E1260" s="10" t="str">
        <f t="shared" si="39"/>
        <v/>
      </c>
      <c r="I1260" s="53"/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40"/>
        <v>1249</v>
      </c>
      <c r="E1261" s="10" t="str">
        <f t="shared" si="39"/>
        <v/>
      </c>
      <c r="I1261" s="53"/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40"/>
        <v>1250</v>
      </c>
      <c r="E1262" s="10" t="str">
        <f t="shared" si="39"/>
        <v/>
      </c>
      <c r="I1262" s="53"/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40"/>
        <v>1251</v>
      </c>
      <c r="E1263" s="10" t="str">
        <f t="shared" si="39"/>
        <v/>
      </c>
      <c r="I1263" s="53"/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40"/>
        <v>1252</v>
      </c>
      <c r="E1264" s="10" t="str">
        <f t="shared" si="39"/>
        <v/>
      </c>
      <c r="I1264" s="53"/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40"/>
        <v>1253</v>
      </c>
      <c r="E1265" s="10" t="str">
        <f t="shared" si="39"/>
        <v/>
      </c>
      <c r="I1265" s="53"/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40"/>
        <v>1254</v>
      </c>
      <c r="E1266" s="10" t="str">
        <f t="shared" si="39"/>
        <v/>
      </c>
      <c r="I1266" s="53"/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40"/>
        <v>1255</v>
      </c>
      <c r="E1267" s="10" t="str">
        <f t="shared" si="39"/>
        <v/>
      </c>
      <c r="I1267" s="53"/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40"/>
        <v>1256</v>
      </c>
      <c r="E1268" s="10" t="str">
        <f t="shared" si="39"/>
        <v/>
      </c>
      <c r="I1268" s="53"/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40"/>
        <v>1257</v>
      </c>
      <c r="E1269" s="10" t="str">
        <f t="shared" si="39"/>
        <v/>
      </c>
      <c r="I1269" s="53"/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40"/>
        <v>1258</v>
      </c>
      <c r="E1270" s="10" t="str">
        <f t="shared" si="39"/>
        <v/>
      </c>
      <c r="I1270" s="53"/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40"/>
        <v>1259</v>
      </c>
      <c r="E1271" s="10" t="str">
        <f t="shared" si="39"/>
        <v/>
      </c>
      <c r="I1271" s="53"/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40"/>
        <v>1260</v>
      </c>
      <c r="E1272" s="10" t="str">
        <f t="shared" si="39"/>
        <v/>
      </c>
      <c r="I1272" s="53"/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40"/>
        <v>1261</v>
      </c>
      <c r="E1273" s="10" t="str">
        <f t="shared" si="39"/>
        <v/>
      </c>
      <c r="I1273" s="53"/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40"/>
        <v>1262</v>
      </c>
      <c r="E1274" s="10" t="str">
        <f t="shared" si="39"/>
        <v/>
      </c>
      <c r="I1274" s="53"/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40"/>
        <v>1263</v>
      </c>
      <c r="E1275" s="10" t="str">
        <f t="shared" si="39"/>
        <v/>
      </c>
      <c r="I1275" s="53"/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40"/>
        <v>1264</v>
      </c>
      <c r="E1276" s="10" t="str">
        <f t="shared" si="39"/>
        <v/>
      </c>
      <c r="I1276" s="53"/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40"/>
        <v>1265</v>
      </c>
      <c r="E1277" s="10" t="str">
        <f t="shared" si="39"/>
        <v/>
      </c>
      <c r="I1277" s="53"/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40"/>
        <v>1266</v>
      </c>
      <c r="E1278" s="10" t="str">
        <f t="shared" si="39"/>
        <v/>
      </c>
      <c r="I1278" s="53"/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40"/>
        <v>1267</v>
      </c>
      <c r="E1279" s="10" t="str">
        <f t="shared" si="39"/>
        <v/>
      </c>
      <c r="I1279" s="53"/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40"/>
        <v>1268</v>
      </c>
      <c r="E1280" s="10" t="str">
        <f t="shared" si="39"/>
        <v/>
      </c>
      <c r="I1280" s="53"/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40"/>
        <v>1269</v>
      </c>
      <c r="E1281" s="10" t="str">
        <f t="shared" si="39"/>
        <v/>
      </c>
      <c r="I1281" s="53"/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40"/>
        <v>1270</v>
      </c>
      <c r="E1282" s="10" t="str">
        <f t="shared" si="39"/>
        <v/>
      </c>
      <c r="I1282" s="53"/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40"/>
        <v>1271</v>
      </c>
      <c r="E1283" s="10" t="str">
        <f t="shared" si="39"/>
        <v/>
      </c>
      <c r="I1283" s="53"/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40"/>
        <v>1272</v>
      </c>
      <c r="E1284" s="10" t="str">
        <f t="shared" si="39"/>
        <v/>
      </c>
      <c r="I1284" s="53"/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40"/>
        <v>1273</v>
      </c>
      <c r="E1285" s="10" t="str">
        <f t="shared" si="39"/>
        <v/>
      </c>
      <c r="I1285" s="53"/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40"/>
        <v>1274</v>
      </c>
      <c r="E1286" s="10" t="str">
        <f t="shared" si="39"/>
        <v/>
      </c>
      <c r="I1286" s="53"/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40"/>
        <v>1275</v>
      </c>
      <c r="E1287" s="10" t="str">
        <f t="shared" si="39"/>
        <v/>
      </c>
      <c r="I1287" s="53"/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40"/>
        <v>1276</v>
      </c>
      <c r="E1288" s="10" t="str">
        <f t="shared" si="39"/>
        <v/>
      </c>
      <c r="I1288" s="53"/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40"/>
        <v>1277</v>
      </c>
      <c r="E1289" s="10" t="str">
        <f t="shared" si="39"/>
        <v/>
      </c>
      <c r="I1289" s="53"/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40"/>
        <v>1278</v>
      </c>
      <c r="E1290" s="10" t="str">
        <f t="shared" si="39"/>
        <v/>
      </c>
      <c r="I1290" s="53"/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40"/>
        <v>1279</v>
      </c>
      <c r="E1291" s="10" t="str">
        <f t="shared" si="39"/>
        <v/>
      </c>
      <c r="I1291" s="53"/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40"/>
        <v>1280</v>
      </c>
      <c r="E1292" s="10" t="str">
        <f t="shared" si="39"/>
        <v/>
      </c>
      <c r="I1292" s="53"/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40"/>
        <v>1281</v>
      </c>
      <c r="E1293" s="10" t="str">
        <f t="shared" ref="E1293:E1356" si="41">IF($C$8&gt;=A1293,$E$1&amp;" "&amp;A1293,"")</f>
        <v/>
      </c>
      <c r="I1293" s="53"/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40"/>
        <v>1282</v>
      </c>
      <c r="E1294" s="10" t="str">
        <f t="shared" si="41"/>
        <v/>
      </c>
      <c r="I1294" s="53"/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42">A1294+1</f>
        <v>1283</v>
      </c>
      <c r="E1295" s="10" t="str">
        <f t="shared" si="41"/>
        <v/>
      </c>
      <c r="I1295" s="53"/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42"/>
        <v>1284</v>
      </c>
      <c r="E1296" s="10" t="str">
        <f t="shared" si="41"/>
        <v/>
      </c>
      <c r="I1296" s="53"/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42"/>
        <v>1285</v>
      </c>
      <c r="E1297" s="10" t="str">
        <f t="shared" si="41"/>
        <v/>
      </c>
      <c r="I1297" s="53"/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42"/>
        <v>1286</v>
      </c>
      <c r="E1298" s="10" t="str">
        <f t="shared" si="41"/>
        <v/>
      </c>
      <c r="I1298" s="53"/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42"/>
        <v>1287</v>
      </c>
      <c r="E1299" s="10" t="str">
        <f t="shared" si="41"/>
        <v/>
      </c>
      <c r="I1299" s="53"/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42"/>
        <v>1288</v>
      </c>
      <c r="E1300" s="10" t="str">
        <f t="shared" si="41"/>
        <v/>
      </c>
      <c r="I1300" s="53"/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42"/>
        <v>1289</v>
      </c>
      <c r="E1301" s="10" t="str">
        <f t="shared" si="41"/>
        <v/>
      </c>
      <c r="I1301" s="53"/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42"/>
        <v>1290</v>
      </c>
      <c r="E1302" s="10" t="str">
        <f t="shared" si="41"/>
        <v/>
      </c>
      <c r="I1302" s="53"/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42"/>
        <v>1291</v>
      </c>
      <c r="E1303" s="10" t="str">
        <f t="shared" si="41"/>
        <v/>
      </c>
      <c r="I1303" s="53"/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42"/>
        <v>1292</v>
      </c>
      <c r="E1304" s="10" t="str">
        <f t="shared" si="41"/>
        <v/>
      </c>
      <c r="I1304" s="53"/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42"/>
        <v>1293</v>
      </c>
      <c r="E1305" s="10" t="str">
        <f t="shared" si="41"/>
        <v/>
      </c>
      <c r="I1305" s="53"/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42"/>
        <v>1294</v>
      </c>
      <c r="E1306" s="10" t="str">
        <f t="shared" si="41"/>
        <v/>
      </c>
      <c r="I1306" s="53"/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42"/>
        <v>1295</v>
      </c>
      <c r="E1307" s="10" t="str">
        <f t="shared" si="41"/>
        <v/>
      </c>
      <c r="I1307" s="53"/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42"/>
        <v>1296</v>
      </c>
      <c r="E1308" s="10" t="str">
        <f t="shared" si="41"/>
        <v/>
      </c>
      <c r="I1308" s="53"/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42"/>
        <v>1297</v>
      </c>
      <c r="E1309" s="10" t="str">
        <f t="shared" si="41"/>
        <v/>
      </c>
      <c r="I1309" s="53"/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42"/>
        <v>1298</v>
      </c>
      <c r="E1310" s="10" t="str">
        <f t="shared" si="41"/>
        <v/>
      </c>
      <c r="I1310" s="53"/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42"/>
        <v>1299</v>
      </c>
      <c r="E1311" s="10" t="str">
        <f t="shared" si="41"/>
        <v/>
      </c>
      <c r="I1311" s="53"/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42"/>
        <v>1300</v>
      </c>
      <c r="E1312" s="10" t="str">
        <f t="shared" si="41"/>
        <v/>
      </c>
      <c r="I1312" s="53"/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42"/>
        <v>1301</v>
      </c>
      <c r="E1313" s="10" t="str">
        <f t="shared" si="41"/>
        <v/>
      </c>
      <c r="I1313" s="53"/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42"/>
        <v>1302</v>
      </c>
      <c r="E1314" s="10" t="str">
        <f t="shared" si="41"/>
        <v/>
      </c>
      <c r="I1314" s="53"/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42"/>
        <v>1303</v>
      </c>
      <c r="E1315" s="10" t="str">
        <f t="shared" si="41"/>
        <v/>
      </c>
      <c r="I1315" s="53"/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42"/>
        <v>1304</v>
      </c>
      <c r="E1316" s="10" t="str">
        <f t="shared" si="41"/>
        <v/>
      </c>
      <c r="I1316" s="53"/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42"/>
        <v>1305</v>
      </c>
      <c r="E1317" s="10" t="str">
        <f t="shared" si="41"/>
        <v/>
      </c>
      <c r="I1317" s="53"/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42"/>
        <v>1306</v>
      </c>
      <c r="E1318" s="10" t="str">
        <f t="shared" si="41"/>
        <v/>
      </c>
      <c r="I1318" s="53"/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42"/>
        <v>1307</v>
      </c>
      <c r="E1319" s="10" t="str">
        <f t="shared" si="41"/>
        <v/>
      </c>
      <c r="I1319" s="53"/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42"/>
        <v>1308</v>
      </c>
      <c r="E1320" s="10" t="str">
        <f t="shared" si="41"/>
        <v/>
      </c>
      <c r="I1320" s="53"/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42"/>
        <v>1309</v>
      </c>
      <c r="E1321" s="10" t="str">
        <f t="shared" si="41"/>
        <v/>
      </c>
      <c r="I1321" s="53"/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42"/>
        <v>1310</v>
      </c>
      <c r="E1322" s="10" t="str">
        <f t="shared" si="41"/>
        <v/>
      </c>
      <c r="I1322" s="53"/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42"/>
        <v>1311</v>
      </c>
      <c r="E1323" s="10" t="str">
        <f t="shared" si="41"/>
        <v/>
      </c>
      <c r="I1323" s="53"/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42"/>
        <v>1312</v>
      </c>
      <c r="E1324" s="10" t="str">
        <f t="shared" si="41"/>
        <v/>
      </c>
      <c r="I1324" s="53"/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42"/>
        <v>1313</v>
      </c>
      <c r="E1325" s="10" t="str">
        <f t="shared" si="41"/>
        <v/>
      </c>
      <c r="I1325" s="53"/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42"/>
        <v>1314</v>
      </c>
      <c r="E1326" s="10" t="str">
        <f t="shared" si="41"/>
        <v/>
      </c>
      <c r="I1326" s="53"/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42"/>
        <v>1315</v>
      </c>
      <c r="E1327" s="10" t="str">
        <f t="shared" si="41"/>
        <v/>
      </c>
      <c r="I1327" s="53"/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42"/>
        <v>1316</v>
      </c>
      <c r="E1328" s="10" t="str">
        <f t="shared" si="41"/>
        <v/>
      </c>
      <c r="I1328" s="53"/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42"/>
        <v>1317</v>
      </c>
      <c r="E1329" s="10" t="str">
        <f t="shared" si="41"/>
        <v/>
      </c>
      <c r="I1329" s="53"/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42"/>
        <v>1318</v>
      </c>
      <c r="E1330" s="10" t="str">
        <f t="shared" si="41"/>
        <v/>
      </c>
      <c r="I1330" s="53"/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42"/>
        <v>1319</v>
      </c>
      <c r="E1331" s="10" t="str">
        <f t="shared" si="41"/>
        <v/>
      </c>
      <c r="I1331" s="53"/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42"/>
        <v>1320</v>
      </c>
      <c r="E1332" s="10" t="str">
        <f t="shared" si="41"/>
        <v/>
      </c>
      <c r="I1332" s="53"/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42"/>
        <v>1321</v>
      </c>
      <c r="E1333" s="10" t="str">
        <f t="shared" si="41"/>
        <v/>
      </c>
      <c r="I1333" s="53"/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42"/>
        <v>1322</v>
      </c>
      <c r="E1334" s="10" t="str">
        <f t="shared" si="41"/>
        <v/>
      </c>
      <c r="I1334" s="53"/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42"/>
        <v>1323</v>
      </c>
      <c r="E1335" s="10" t="str">
        <f t="shared" si="41"/>
        <v/>
      </c>
      <c r="I1335" s="53"/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42"/>
        <v>1324</v>
      </c>
      <c r="E1336" s="10" t="str">
        <f t="shared" si="41"/>
        <v/>
      </c>
      <c r="I1336" s="53"/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42"/>
        <v>1325</v>
      </c>
      <c r="E1337" s="10" t="str">
        <f t="shared" si="41"/>
        <v/>
      </c>
      <c r="I1337" s="53"/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42"/>
        <v>1326</v>
      </c>
      <c r="E1338" s="10" t="str">
        <f t="shared" si="41"/>
        <v/>
      </c>
      <c r="I1338" s="53"/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42"/>
        <v>1327</v>
      </c>
      <c r="E1339" s="10" t="str">
        <f t="shared" si="41"/>
        <v/>
      </c>
      <c r="I1339" s="53"/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42"/>
        <v>1328</v>
      </c>
      <c r="E1340" s="10" t="str">
        <f t="shared" si="41"/>
        <v/>
      </c>
      <c r="I1340" s="53"/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42"/>
        <v>1329</v>
      </c>
      <c r="E1341" s="10" t="str">
        <f t="shared" si="41"/>
        <v/>
      </c>
      <c r="I1341" s="53"/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42"/>
        <v>1330</v>
      </c>
      <c r="E1342" s="10" t="str">
        <f t="shared" si="41"/>
        <v/>
      </c>
      <c r="I1342" s="53"/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42"/>
        <v>1331</v>
      </c>
      <c r="E1343" s="10" t="str">
        <f t="shared" si="41"/>
        <v/>
      </c>
      <c r="I1343" s="53"/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42"/>
        <v>1332</v>
      </c>
      <c r="E1344" s="10" t="str">
        <f t="shared" si="41"/>
        <v/>
      </c>
      <c r="I1344" s="53"/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42"/>
        <v>1333</v>
      </c>
      <c r="E1345" s="10" t="str">
        <f t="shared" si="41"/>
        <v/>
      </c>
      <c r="I1345" s="53"/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42"/>
        <v>1334</v>
      </c>
      <c r="E1346" s="10" t="str">
        <f t="shared" si="41"/>
        <v/>
      </c>
      <c r="I1346" s="53"/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42"/>
        <v>1335</v>
      </c>
      <c r="E1347" s="10" t="str">
        <f t="shared" si="41"/>
        <v/>
      </c>
      <c r="I1347" s="53"/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42"/>
        <v>1336</v>
      </c>
      <c r="E1348" s="10" t="str">
        <f t="shared" si="41"/>
        <v/>
      </c>
      <c r="I1348" s="53"/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42"/>
        <v>1337</v>
      </c>
      <c r="E1349" s="10" t="str">
        <f t="shared" si="41"/>
        <v/>
      </c>
      <c r="I1349" s="53"/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42"/>
        <v>1338</v>
      </c>
      <c r="E1350" s="10" t="str">
        <f t="shared" si="41"/>
        <v/>
      </c>
      <c r="I1350" s="53"/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42"/>
        <v>1339</v>
      </c>
      <c r="E1351" s="10" t="str">
        <f t="shared" si="41"/>
        <v/>
      </c>
      <c r="I1351" s="53"/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42"/>
        <v>1340</v>
      </c>
      <c r="E1352" s="10" t="str">
        <f t="shared" si="41"/>
        <v/>
      </c>
      <c r="I1352" s="53"/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42"/>
        <v>1341</v>
      </c>
      <c r="E1353" s="10" t="str">
        <f t="shared" si="41"/>
        <v/>
      </c>
      <c r="I1353" s="53"/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42"/>
        <v>1342</v>
      </c>
      <c r="E1354" s="10" t="str">
        <f t="shared" si="41"/>
        <v/>
      </c>
      <c r="I1354" s="53"/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42"/>
        <v>1343</v>
      </c>
      <c r="E1355" s="10" t="str">
        <f t="shared" si="41"/>
        <v/>
      </c>
      <c r="I1355" s="53"/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42"/>
        <v>1344</v>
      </c>
      <c r="E1356" s="10" t="str">
        <f t="shared" si="41"/>
        <v/>
      </c>
      <c r="I1356" s="53"/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42"/>
        <v>1345</v>
      </c>
      <c r="E1357" s="10" t="str">
        <f t="shared" ref="E1357:E1420" si="43">IF($C$8&gt;=A1357,$E$1&amp;" "&amp;A1357,"")</f>
        <v/>
      </c>
      <c r="I1357" s="53"/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42"/>
        <v>1346</v>
      </c>
      <c r="E1358" s="10" t="str">
        <f t="shared" si="43"/>
        <v/>
      </c>
      <c r="I1358" s="53"/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44">A1358+1</f>
        <v>1347</v>
      </c>
      <c r="E1359" s="10" t="str">
        <f t="shared" si="43"/>
        <v/>
      </c>
      <c r="I1359" s="53"/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44"/>
        <v>1348</v>
      </c>
      <c r="E1360" s="10" t="str">
        <f t="shared" si="43"/>
        <v/>
      </c>
      <c r="I1360" s="53"/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44"/>
        <v>1349</v>
      </c>
      <c r="E1361" s="10" t="str">
        <f t="shared" si="43"/>
        <v/>
      </c>
      <c r="I1361" s="53"/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44"/>
        <v>1350</v>
      </c>
      <c r="E1362" s="10" t="str">
        <f t="shared" si="43"/>
        <v/>
      </c>
      <c r="I1362" s="53"/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44"/>
        <v>1351</v>
      </c>
      <c r="E1363" s="10" t="str">
        <f t="shared" si="43"/>
        <v/>
      </c>
      <c r="I1363" s="53"/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44"/>
        <v>1352</v>
      </c>
      <c r="E1364" s="10" t="str">
        <f t="shared" si="43"/>
        <v/>
      </c>
      <c r="I1364" s="53"/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44"/>
        <v>1353</v>
      </c>
      <c r="E1365" s="10" t="str">
        <f t="shared" si="43"/>
        <v/>
      </c>
      <c r="I1365" s="53"/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44"/>
        <v>1354</v>
      </c>
      <c r="E1366" s="10" t="str">
        <f t="shared" si="43"/>
        <v/>
      </c>
      <c r="I1366" s="53"/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44"/>
        <v>1355</v>
      </c>
      <c r="E1367" s="10" t="str">
        <f t="shared" si="43"/>
        <v/>
      </c>
      <c r="I1367" s="53"/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44"/>
        <v>1356</v>
      </c>
      <c r="E1368" s="10" t="str">
        <f t="shared" si="43"/>
        <v/>
      </c>
      <c r="I1368" s="53"/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44"/>
        <v>1357</v>
      </c>
      <c r="E1369" s="10" t="str">
        <f t="shared" si="43"/>
        <v/>
      </c>
      <c r="I1369" s="53"/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44"/>
        <v>1358</v>
      </c>
      <c r="E1370" s="10" t="str">
        <f t="shared" si="43"/>
        <v/>
      </c>
      <c r="I1370" s="53"/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44"/>
        <v>1359</v>
      </c>
      <c r="E1371" s="10" t="str">
        <f t="shared" si="43"/>
        <v/>
      </c>
      <c r="I1371" s="53"/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44"/>
        <v>1360</v>
      </c>
      <c r="E1372" s="10" t="str">
        <f t="shared" si="43"/>
        <v/>
      </c>
      <c r="I1372" s="53"/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44"/>
        <v>1361</v>
      </c>
      <c r="E1373" s="10" t="str">
        <f t="shared" si="43"/>
        <v/>
      </c>
      <c r="I1373" s="53"/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44"/>
        <v>1362</v>
      </c>
      <c r="E1374" s="10" t="str">
        <f t="shared" si="43"/>
        <v/>
      </c>
      <c r="I1374" s="53"/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44"/>
        <v>1363</v>
      </c>
      <c r="E1375" s="10" t="str">
        <f t="shared" si="43"/>
        <v/>
      </c>
      <c r="I1375" s="53"/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44"/>
        <v>1364</v>
      </c>
      <c r="E1376" s="10" t="str">
        <f t="shared" si="43"/>
        <v/>
      </c>
      <c r="I1376" s="53"/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44"/>
        <v>1365</v>
      </c>
      <c r="E1377" s="10" t="str">
        <f t="shared" si="43"/>
        <v/>
      </c>
      <c r="I1377" s="53"/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44"/>
        <v>1366</v>
      </c>
      <c r="E1378" s="10" t="str">
        <f t="shared" si="43"/>
        <v/>
      </c>
      <c r="I1378" s="53"/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44"/>
        <v>1367</v>
      </c>
      <c r="E1379" s="10" t="str">
        <f t="shared" si="43"/>
        <v/>
      </c>
      <c r="I1379" s="53"/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44"/>
        <v>1368</v>
      </c>
      <c r="E1380" s="10" t="str">
        <f t="shared" si="43"/>
        <v/>
      </c>
      <c r="I1380" s="53"/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44"/>
        <v>1369</v>
      </c>
      <c r="E1381" s="10" t="str">
        <f t="shared" si="43"/>
        <v/>
      </c>
      <c r="I1381" s="53"/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44"/>
        <v>1370</v>
      </c>
      <c r="E1382" s="10" t="str">
        <f t="shared" si="43"/>
        <v/>
      </c>
      <c r="I1382" s="53"/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44"/>
        <v>1371</v>
      </c>
      <c r="E1383" s="10" t="str">
        <f t="shared" si="43"/>
        <v/>
      </c>
      <c r="I1383" s="53"/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44"/>
        <v>1372</v>
      </c>
      <c r="E1384" s="10" t="str">
        <f t="shared" si="43"/>
        <v/>
      </c>
      <c r="I1384" s="53"/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44"/>
        <v>1373</v>
      </c>
      <c r="E1385" s="10" t="str">
        <f t="shared" si="43"/>
        <v/>
      </c>
      <c r="I1385" s="53"/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44"/>
        <v>1374</v>
      </c>
      <c r="E1386" s="10" t="str">
        <f t="shared" si="43"/>
        <v/>
      </c>
      <c r="I1386" s="53"/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44"/>
        <v>1375</v>
      </c>
      <c r="E1387" s="10" t="str">
        <f t="shared" si="43"/>
        <v/>
      </c>
      <c r="I1387" s="53"/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44"/>
        <v>1376</v>
      </c>
      <c r="E1388" s="10" t="str">
        <f t="shared" si="43"/>
        <v/>
      </c>
      <c r="I1388" s="53"/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44"/>
        <v>1377</v>
      </c>
      <c r="E1389" s="10" t="str">
        <f t="shared" si="43"/>
        <v/>
      </c>
      <c r="I1389" s="53"/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44"/>
        <v>1378</v>
      </c>
      <c r="E1390" s="10" t="str">
        <f t="shared" si="43"/>
        <v/>
      </c>
      <c r="I1390" s="53"/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44"/>
        <v>1379</v>
      </c>
      <c r="E1391" s="10" t="str">
        <f t="shared" si="43"/>
        <v/>
      </c>
      <c r="I1391" s="53"/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44"/>
        <v>1380</v>
      </c>
      <c r="E1392" s="10" t="str">
        <f t="shared" si="43"/>
        <v/>
      </c>
      <c r="I1392" s="53"/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44"/>
        <v>1381</v>
      </c>
      <c r="E1393" s="10" t="str">
        <f t="shared" si="43"/>
        <v/>
      </c>
      <c r="I1393" s="53"/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44"/>
        <v>1382</v>
      </c>
      <c r="E1394" s="10" t="str">
        <f t="shared" si="43"/>
        <v/>
      </c>
      <c r="I1394" s="53"/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44"/>
        <v>1383</v>
      </c>
      <c r="E1395" s="10" t="str">
        <f t="shared" si="43"/>
        <v/>
      </c>
      <c r="I1395" s="53"/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44"/>
        <v>1384</v>
      </c>
      <c r="E1396" s="10" t="str">
        <f t="shared" si="43"/>
        <v/>
      </c>
      <c r="I1396" s="53"/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44"/>
        <v>1385</v>
      </c>
      <c r="E1397" s="10" t="str">
        <f t="shared" si="43"/>
        <v/>
      </c>
      <c r="I1397" s="53"/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44"/>
        <v>1386</v>
      </c>
      <c r="E1398" s="10" t="str">
        <f t="shared" si="43"/>
        <v/>
      </c>
      <c r="I1398" s="53"/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44"/>
        <v>1387</v>
      </c>
      <c r="E1399" s="10" t="str">
        <f t="shared" si="43"/>
        <v/>
      </c>
      <c r="I1399" s="53"/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44"/>
        <v>1388</v>
      </c>
      <c r="E1400" s="10" t="str">
        <f t="shared" si="43"/>
        <v/>
      </c>
      <c r="I1400" s="53"/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44"/>
        <v>1389</v>
      </c>
      <c r="E1401" s="10" t="str">
        <f t="shared" si="43"/>
        <v/>
      </c>
      <c r="I1401" s="53"/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44"/>
        <v>1390</v>
      </c>
      <c r="E1402" s="10" t="str">
        <f t="shared" si="43"/>
        <v/>
      </c>
      <c r="I1402" s="53"/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44"/>
        <v>1391</v>
      </c>
      <c r="E1403" s="10" t="str">
        <f t="shared" si="43"/>
        <v/>
      </c>
      <c r="I1403" s="53"/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44"/>
        <v>1392</v>
      </c>
      <c r="E1404" s="10" t="str">
        <f t="shared" si="43"/>
        <v/>
      </c>
      <c r="I1404" s="53"/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44"/>
        <v>1393</v>
      </c>
      <c r="E1405" s="10" t="str">
        <f t="shared" si="43"/>
        <v/>
      </c>
      <c r="I1405" s="53"/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44"/>
        <v>1394</v>
      </c>
      <c r="E1406" s="10" t="str">
        <f t="shared" si="43"/>
        <v/>
      </c>
      <c r="I1406" s="53"/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44"/>
        <v>1395</v>
      </c>
      <c r="E1407" s="10" t="str">
        <f t="shared" si="43"/>
        <v/>
      </c>
      <c r="I1407" s="53"/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44"/>
        <v>1396</v>
      </c>
      <c r="E1408" s="10" t="str">
        <f t="shared" si="43"/>
        <v/>
      </c>
      <c r="I1408" s="53"/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44"/>
        <v>1397</v>
      </c>
      <c r="E1409" s="10" t="str">
        <f t="shared" si="43"/>
        <v/>
      </c>
      <c r="I1409" s="53"/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44"/>
        <v>1398</v>
      </c>
      <c r="E1410" s="10" t="str">
        <f t="shared" si="43"/>
        <v/>
      </c>
      <c r="I1410" s="53"/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44"/>
        <v>1399</v>
      </c>
      <c r="E1411" s="10" t="str">
        <f t="shared" si="43"/>
        <v/>
      </c>
      <c r="I1411" s="53"/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44"/>
        <v>1400</v>
      </c>
      <c r="E1412" s="10" t="str">
        <f t="shared" si="43"/>
        <v/>
      </c>
      <c r="I1412" s="53"/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44"/>
        <v>1401</v>
      </c>
      <c r="E1413" s="10" t="str">
        <f t="shared" si="43"/>
        <v/>
      </c>
      <c r="I1413" s="53"/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44"/>
        <v>1402</v>
      </c>
      <c r="E1414" s="10" t="str">
        <f t="shared" si="43"/>
        <v/>
      </c>
      <c r="I1414" s="53"/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44"/>
        <v>1403</v>
      </c>
      <c r="E1415" s="10" t="str">
        <f t="shared" si="43"/>
        <v/>
      </c>
      <c r="I1415" s="53"/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44"/>
        <v>1404</v>
      </c>
      <c r="E1416" s="10" t="str">
        <f t="shared" si="43"/>
        <v/>
      </c>
      <c r="I1416" s="53"/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44"/>
        <v>1405</v>
      </c>
      <c r="E1417" s="10" t="str">
        <f t="shared" si="43"/>
        <v/>
      </c>
      <c r="I1417" s="53"/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44"/>
        <v>1406</v>
      </c>
      <c r="E1418" s="10" t="str">
        <f t="shared" si="43"/>
        <v/>
      </c>
      <c r="I1418" s="53"/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44"/>
        <v>1407</v>
      </c>
      <c r="E1419" s="10" t="str">
        <f t="shared" si="43"/>
        <v/>
      </c>
      <c r="I1419" s="53"/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44"/>
        <v>1408</v>
      </c>
      <c r="E1420" s="10" t="str">
        <f t="shared" si="43"/>
        <v/>
      </c>
      <c r="I1420" s="53"/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44"/>
        <v>1409</v>
      </c>
      <c r="E1421" s="10" t="str">
        <f t="shared" ref="E1421:E1484" si="45">IF($C$8&gt;=A1421,$E$1&amp;" "&amp;A1421,"")</f>
        <v/>
      </c>
      <c r="I1421" s="53"/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44"/>
        <v>1410</v>
      </c>
      <c r="E1422" s="10" t="str">
        <f t="shared" si="45"/>
        <v/>
      </c>
      <c r="I1422" s="53"/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46">A1422+1</f>
        <v>1411</v>
      </c>
      <c r="E1423" s="10" t="str">
        <f t="shared" si="45"/>
        <v/>
      </c>
      <c r="I1423" s="53"/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46"/>
        <v>1412</v>
      </c>
      <c r="E1424" s="10" t="str">
        <f t="shared" si="45"/>
        <v/>
      </c>
      <c r="I1424" s="53"/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46"/>
        <v>1413</v>
      </c>
      <c r="E1425" s="10" t="str">
        <f t="shared" si="45"/>
        <v/>
      </c>
      <c r="I1425" s="53"/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46"/>
        <v>1414</v>
      </c>
      <c r="E1426" s="10" t="str">
        <f t="shared" si="45"/>
        <v/>
      </c>
      <c r="I1426" s="53"/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46"/>
        <v>1415</v>
      </c>
      <c r="E1427" s="10" t="str">
        <f t="shared" si="45"/>
        <v/>
      </c>
      <c r="I1427" s="53"/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46"/>
        <v>1416</v>
      </c>
      <c r="E1428" s="10" t="str">
        <f t="shared" si="45"/>
        <v/>
      </c>
      <c r="I1428" s="53"/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46"/>
        <v>1417</v>
      </c>
      <c r="E1429" s="10" t="str">
        <f t="shared" si="45"/>
        <v/>
      </c>
      <c r="I1429" s="53"/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46"/>
        <v>1418</v>
      </c>
      <c r="E1430" s="10" t="str">
        <f t="shared" si="45"/>
        <v/>
      </c>
      <c r="I1430" s="53"/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46"/>
        <v>1419</v>
      </c>
      <c r="E1431" s="10" t="str">
        <f t="shared" si="45"/>
        <v/>
      </c>
      <c r="I1431" s="53"/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46"/>
        <v>1420</v>
      </c>
      <c r="E1432" s="10" t="str">
        <f t="shared" si="45"/>
        <v/>
      </c>
      <c r="I1432" s="53"/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46"/>
        <v>1421</v>
      </c>
      <c r="E1433" s="10" t="str">
        <f t="shared" si="45"/>
        <v/>
      </c>
      <c r="I1433" s="53"/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46"/>
        <v>1422</v>
      </c>
      <c r="E1434" s="10" t="str">
        <f t="shared" si="45"/>
        <v/>
      </c>
      <c r="I1434" s="53"/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46"/>
        <v>1423</v>
      </c>
      <c r="E1435" s="10" t="str">
        <f t="shared" si="45"/>
        <v/>
      </c>
      <c r="I1435" s="53"/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46"/>
        <v>1424</v>
      </c>
      <c r="E1436" s="10" t="str">
        <f t="shared" si="45"/>
        <v/>
      </c>
      <c r="I1436" s="53"/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46"/>
        <v>1425</v>
      </c>
      <c r="E1437" s="10" t="str">
        <f t="shared" si="45"/>
        <v/>
      </c>
      <c r="I1437" s="53"/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46"/>
        <v>1426</v>
      </c>
      <c r="E1438" s="10" t="str">
        <f t="shared" si="45"/>
        <v/>
      </c>
      <c r="I1438" s="53"/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46"/>
        <v>1427</v>
      </c>
      <c r="E1439" s="10" t="str">
        <f t="shared" si="45"/>
        <v/>
      </c>
      <c r="I1439" s="53"/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46"/>
        <v>1428</v>
      </c>
      <c r="E1440" s="10" t="str">
        <f t="shared" si="45"/>
        <v/>
      </c>
      <c r="I1440" s="53"/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46"/>
        <v>1429</v>
      </c>
      <c r="E1441" s="10" t="str">
        <f t="shared" si="45"/>
        <v/>
      </c>
      <c r="I1441" s="53"/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46"/>
        <v>1430</v>
      </c>
      <c r="E1442" s="10" t="str">
        <f t="shared" si="45"/>
        <v/>
      </c>
      <c r="I1442" s="53"/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46"/>
        <v>1431</v>
      </c>
      <c r="E1443" s="10" t="str">
        <f t="shared" si="45"/>
        <v/>
      </c>
      <c r="I1443" s="53"/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46"/>
        <v>1432</v>
      </c>
      <c r="E1444" s="10" t="str">
        <f t="shared" si="45"/>
        <v/>
      </c>
      <c r="I1444" s="53"/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46"/>
        <v>1433</v>
      </c>
      <c r="E1445" s="10" t="str">
        <f t="shared" si="45"/>
        <v/>
      </c>
      <c r="I1445" s="53"/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46"/>
        <v>1434</v>
      </c>
      <c r="E1446" s="10" t="str">
        <f t="shared" si="45"/>
        <v/>
      </c>
      <c r="I1446" s="53"/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46"/>
        <v>1435</v>
      </c>
      <c r="E1447" s="10" t="str">
        <f t="shared" si="45"/>
        <v/>
      </c>
      <c r="I1447" s="53"/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46"/>
        <v>1436</v>
      </c>
      <c r="E1448" s="10" t="str">
        <f t="shared" si="45"/>
        <v/>
      </c>
      <c r="I1448" s="53"/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46"/>
        <v>1437</v>
      </c>
      <c r="E1449" s="10" t="str">
        <f t="shared" si="45"/>
        <v/>
      </c>
      <c r="I1449" s="53"/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46"/>
        <v>1438</v>
      </c>
      <c r="E1450" s="10" t="str">
        <f t="shared" si="45"/>
        <v/>
      </c>
      <c r="I1450" s="53"/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46"/>
        <v>1439</v>
      </c>
      <c r="E1451" s="10" t="str">
        <f t="shared" si="45"/>
        <v/>
      </c>
      <c r="I1451" s="53"/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46"/>
        <v>1440</v>
      </c>
      <c r="E1452" s="10" t="str">
        <f t="shared" si="45"/>
        <v/>
      </c>
      <c r="I1452" s="53"/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46"/>
        <v>1441</v>
      </c>
      <c r="E1453" s="10" t="str">
        <f t="shared" si="45"/>
        <v/>
      </c>
      <c r="I1453" s="53"/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46"/>
        <v>1442</v>
      </c>
      <c r="E1454" s="10" t="str">
        <f t="shared" si="45"/>
        <v/>
      </c>
      <c r="I1454" s="53"/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46"/>
        <v>1443</v>
      </c>
      <c r="E1455" s="10" t="str">
        <f t="shared" si="45"/>
        <v/>
      </c>
      <c r="I1455" s="53"/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46"/>
        <v>1444</v>
      </c>
      <c r="E1456" s="10" t="str">
        <f t="shared" si="45"/>
        <v/>
      </c>
      <c r="I1456" s="53"/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46"/>
        <v>1445</v>
      </c>
      <c r="E1457" s="10" t="str">
        <f t="shared" si="45"/>
        <v/>
      </c>
      <c r="I1457" s="53"/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46"/>
        <v>1446</v>
      </c>
      <c r="E1458" s="10" t="str">
        <f t="shared" si="45"/>
        <v/>
      </c>
      <c r="I1458" s="53"/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46"/>
        <v>1447</v>
      </c>
      <c r="E1459" s="10" t="str">
        <f t="shared" si="45"/>
        <v/>
      </c>
      <c r="I1459" s="53"/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46"/>
        <v>1448</v>
      </c>
      <c r="E1460" s="10" t="str">
        <f t="shared" si="45"/>
        <v/>
      </c>
      <c r="I1460" s="53"/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46"/>
        <v>1449</v>
      </c>
      <c r="E1461" s="10" t="str">
        <f t="shared" si="45"/>
        <v/>
      </c>
      <c r="I1461" s="53"/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46"/>
        <v>1450</v>
      </c>
      <c r="E1462" s="10" t="str">
        <f t="shared" si="45"/>
        <v/>
      </c>
      <c r="I1462" s="53"/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46"/>
        <v>1451</v>
      </c>
      <c r="E1463" s="10" t="str">
        <f t="shared" si="45"/>
        <v/>
      </c>
      <c r="I1463" s="53"/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46"/>
        <v>1452</v>
      </c>
      <c r="E1464" s="10" t="str">
        <f t="shared" si="45"/>
        <v/>
      </c>
      <c r="I1464" s="53"/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46"/>
        <v>1453</v>
      </c>
      <c r="E1465" s="10" t="str">
        <f t="shared" si="45"/>
        <v/>
      </c>
      <c r="I1465" s="53"/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46"/>
        <v>1454</v>
      </c>
      <c r="E1466" s="10" t="str">
        <f t="shared" si="45"/>
        <v/>
      </c>
      <c r="I1466" s="53"/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46"/>
        <v>1455</v>
      </c>
      <c r="E1467" s="10" t="str">
        <f t="shared" si="45"/>
        <v/>
      </c>
      <c r="I1467" s="53"/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46"/>
        <v>1456</v>
      </c>
      <c r="E1468" s="10" t="str">
        <f t="shared" si="45"/>
        <v/>
      </c>
      <c r="I1468" s="53"/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46"/>
        <v>1457</v>
      </c>
      <c r="E1469" s="10" t="str">
        <f t="shared" si="45"/>
        <v/>
      </c>
      <c r="I1469" s="53"/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46"/>
        <v>1458</v>
      </c>
      <c r="E1470" s="10" t="str">
        <f t="shared" si="45"/>
        <v/>
      </c>
      <c r="I1470" s="53"/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46"/>
        <v>1459</v>
      </c>
      <c r="E1471" s="10" t="str">
        <f t="shared" si="45"/>
        <v/>
      </c>
      <c r="I1471" s="53"/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46"/>
        <v>1460</v>
      </c>
      <c r="E1472" s="10" t="str">
        <f t="shared" si="45"/>
        <v/>
      </c>
      <c r="I1472" s="53"/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46"/>
        <v>1461</v>
      </c>
      <c r="E1473" s="10" t="str">
        <f t="shared" si="45"/>
        <v/>
      </c>
      <c r="I1473" s="53"/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46"/>
        <v>1462</v>
      </c>
      <c r="E1474" s="10" t="str">
        <f t="shared" si="45"/>
        <v/>
      </c>
      <c r="I1474" s="53"/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46"/>
        <v>1463</v>
      </c>
      <c r="E1475" s="10" t="str">
        <f t="shared" si="45"/>
        <v/>
      </c>
      <c r="I1475" s="53"/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46"/>
        <v>1464</v>
      </c>
      <c r="E1476" s="10" t="str">
        <f t="shared" si="45"/>
        <v/>
      </c>
      <c r="I1476" s="53"/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46"/>
        <v>1465</v>
      </c>
      <c r="E1477" s="10" t="str">
        <f t="shared" si="45"/>
        <v/>
      </c>
      <c r="I1477" s="53"/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46"/>
        <v>1466</v>
      </c>
      <c r="E1478" s="10" t="str">
        <f t="shared" si="45"/>
        <v/>
      </c>
      <c r="I1478" s="53"/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46"/>
        <v>1467</v>
      </c>
      <c r="E1479" s="10" t="str">
        <f t="shared" si="45"/>
        <v/>
      </c>
      <c r="I1479" s="53"/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46"/>
        <v>1468</v>
      </c>
      <c r="E1480" s="10" t="str">
        <f t="shared" si="45"/>
        <v/>
      </c>
      <c r="I1480" s="53"/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46"/>
        <v>1469</v>
      </c>
      <c r="E1481" s="10" t="str">
        <f t="shared" si="45"/>
        <v/>
      </c>
      <c r="I1481" s="53"/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46"/>
        <v>1470</v>
      </c>
      <c r="E1482" s="10" t="str">
        <f t="shared" si="45"/>
        <v/>
      </c>
      <c r="I1482" s="53"/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46"/>
        <v>1471</v>
      </c>
      <c r="E1483" s="10" t="str">
        <f t="shared" si="45"/>
        <v/>
      </c>
      <c r="I1483" s="53"/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46"/>
        <v>1472</v>
      </c>
      <c r="E1484" s="10" t="str">
        <f t="shared" si="45"/>
        <v/>
      </c>
      <c r="I1484" s="53"/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46"/>
        <v>1473</v>
      </c>
      <c r="E1485" s="10" t="str">
        <f t="shared" ref="E1485:E1511" si="47">IF($C$8&gt;=A1485,$E$1&amp;" "&amp;A1485,"")</f>
        <v/>
      </c>
      <c r="I1485" s="53"/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46"/>
        <v>1474</v>
      </c>
      <c r="E1486" s="10" t="str">
        <f t="shared" si="47"/>
        <v/>
      </c>
      <c r="I1486" s="53"/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48">A1486+1</f>
        <v>1475</v>
      </c>
      <c r="E1487" s="10" t="str">
        <f t="shared" si="47"/>
        <v/>
      </c>
      <c r="I1487" s="53"/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48"/>
        <v>1476</v>
      </c>
      <c r="E1488" s="10" t="str">
        <f t="shared" si="47"/>
        <v/>
      </c>
      <c r="I1488" s="53"/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48"/>
        <v>1477</v>
      </c>
      <c r="E1489" s="10" t="str">
        <f t="shared" si="47"/>
        <v/>
      </c>
      <c r="I1489" s="53"/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48"/>
        <v>1478</v>
      </c>
      <c r="E1490" s="10" t="str">
        <f t="shared" si="47"/>
        <v/>
      </c>
      <c r="I1490" s="53"/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48"/>
        <v>1479</v>
      </c>
      <c r="E1491" s="10" t="str">
        <f t="shared" si="47"/>
        <v/>
      </c>
      <c r="I1491" s="53"/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48"/>
        <v>1480</v>
      </c>
      <c r="E1492" s="10" t="str">
        <f t="shared" si="47"/>
        <v/>
      </c>
      <c r="I1492" s="53"/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48"/>
        <v>1481</v>
      </c>
      <c r="E1493" s="10" t="str">
        <f t="shared" si="47"/>
        <v/>
      </c>
      <c r="I1493" s="53"/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48"/>
        <v>1482</v>
      </c>
      <c r="E1494" s="10" t="str">
        <f t="shared" si="47"/>
        <v/>
      </c>
      <c r="I1494" s="53"/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48"/>
        <v>1483</v>
      </c>
      <c r="E1495" s="10" t="str">
        <f t="shared" si="47"/>
        <v/>
      </c>
      <c r="I1495" s="53"/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48"/>
        <v>1484</v>
      </c>
      <c r="E1496" s="10" t="str">
        <f t="shared" si="47"/>
        <v/>
      </c>
      <c r="I1496" s="53"/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48"/>
        <v>1485</v>
      </c>
      <c r="E1497" s="10" t="str">
        <f t="shared" si="47"/>
        <v/>
      </c>
      <c r="I1497" s="53"/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48"/>
        <v>1486</v>
      </c>
      <c r="E1498" s="10" t="str">
        <f t="shared" si="47"/>
        <v/>
      </c>
      <c r="I1498" s="53"/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48"/>
        <v>1487</v>
      </c>
      <c r="E1499" s="10" t="str">
        <f t="shared" si="47"/>
        <v/>
      </c>
      <c r="I1499" s="53"/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48"/>
        <v>1488</v>
      </c>
      <c r="E1500" s="10" t="str">
        <f t="shared" si="47"/>
        <v/>
      </c>
      <c r="I1500" s="53"/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48"/>
        <v>1489</v>
      </c>
      <c r="E1501" s="10" t="str">
        <f t="shared" si="47"/>
        <v/>
      </c>
      <c r="I1501" s="53"/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48"/>
        <v>1490</v>
      </c>
      <c r="E1502" s="10" t="str">
        <f t="shared" si="47"/>
        <v/>
      </c>
      <c r="I1502" s="53"/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48"/>
        <v>1491</v>
      </c>
      <c r="E1503" s="10" t="str">
        <f t="shared" si="47"/>
        <v/>
      </c>
      <c r="I1503" s="53"/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48"/>
        <v>1492</v>
      </c>
      <c r="E1504" s="10" t="str">
        <f t="shared" si="47"/>
        <v/>
      </c>
      <c r="I1504" s="53"/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48"/>
        <v>1493</v>
      </c>
      <c r="E1505" s="10" t="str">
        <f t="shared" si="47"/>
        <v/>
      </c>
      <c r="I1505" s="53"/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48"/>
        <v>1494</v>
      </c>
      <c r="E1506" s="10" t="str">
        <f t="shared" si="47"/>
        <v/>
      </c>
      <c r="I1506" s="53"/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48"/>
        <v>1495</v>
      </c>
      <c r="E1507" s="10" t="str">
        <f t="shared" si="47"/>
        <v/>
      </c>
      <c r="I1507" s="53"/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48"/>
        <v>1496</v>
      </c>
      <c r="E1508" s="10" t="str">
        <f t="shared" si="47"/>
        <v/>
      </c>
      <c r="I1508" s="53"/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48"/>
        <v>1497</v>
      </c>
      <c r="E1509" s="10" t="str">
        <f t="shared" si="47"/>
        <v/>
      </c>
      <c r="I1509" s="53"/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48"/>
        <v>1498</v>
      </c>
      <c r="E1510" s="10" t="str">
        <f t="shared" si="47"/>
        <v/>
      </c>
      <c r="I1510" s="53"/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48"/>
        <v>1499</v>
      </c>
      <c r="E1511" s="10" t="str">
        <f t="shared" si="47"/>
        <v/>
      </c>
      <c r="I1511" s="53"/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48"/>
        <v>1500</v>
      </c>
      <c r="N1512" s="8"/>
      <c r="Q1512" s="1"/>
      <c r="R1512" s="1"/>
      <c r="S1512" s="1"/>
      <c r="T1512" s="9"/>
      <c r="U1512" s="9"/>
      <c r="V1512" s="8"/>
      <c r="W1512" s="8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2020-06-16T16:41:37Z</dcterms:modified>
</cp:coreProperties>
</file>